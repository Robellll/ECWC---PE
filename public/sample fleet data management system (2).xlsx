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format base\"/>
    </mc:Choice>
  </mc:AlternateContent>
  <xr:revisionPtr revIDLastSave="0" documentId="13_ncr:1_{88E35E30-E51C-4E2A-A25D-1F92DD49FAF8}" xr6:coauthVersionLast="36" xr6:coauthVersionMax="36" xr10:uidLastSave="{00000000-0000-0000-0000-000000000000}"/>
  <bookViews>
    <workbookView xWindow="0" yWindow="0" windowWidth="28800" windowHeight="12105" tabRatio="500" xr2:uid="{00000000-000D-0000-FFFF-FFFF00000000}"/>
  </bookViews>
  <sheets>
    <sheet name="Read Me" sheetId="1" r:id="rId1"/>
    <sheet name="Task Master" sheetId="2" r:id="rId2"/>
    <sheet name="Asset Register" sheetId="3" r:id="rId3"/>
    <sheet name="Lists" sheetId="4" state="hidden" r:id="rId4"/>
    <sheet name="Daily Operations Log" sheetId="5" r:id="rId5"/>
    <sheet name="Maintenance Log" sheetId="6" r:id="rId6"/>
    <sheet name="Dashboard" sheetId="7" r:id="rId7"/>
  </sheets>
  <definedNames>
    <definedName name="Air_Compressor">'Task Master'!$G$741:$G$798</definedName>
    <definedName name="AssetList">'Asset Register'!$A$2:$A$16</definedName>
    <definedName name="Automobile">'Task Master'!$G$2:$G$168</definedName>
    <definedName name="CategoryList">Lists!$A$2:$A$5</definedName>
    <definedName name="Dozer">'Task Master'!$G$571:$G$602</definedName>
    <definedName name="Earth_Moving_Machinery_General_PM_Engine">'Task Master'!$G$523:$G$570</definedName>
    <definedName name="Electrical_Electronics">'Task Master'!$G$799:$G$859</definedName>
    <definedName name="Excavator">'Task Master'!$G$603:$G$626</definedName>
    <definedName name="Generator">'Task Master'!$G$675:$G$740</definedName>
    <definedName name="Grader">'Task Master'!$G$651:$G$674</definedName>
    <definedName name="Heavy">Lists!$C$2:$C$2</definedName>
    <definedName name="Heavy_Truck">'Task Master'!$G$362:$G$522</definedName>
    <definedName name="Light">Lists!$B$2:$B$3</definedName>
    <definedName name="Loader">'Task Master'!$G$627:$G$650</definedName>
    <definedName name="Machinery">Lists!$D$2:$D$6</definedName>
    <definedName name="MTypeList">Lists!$G$2:$G$4</definedName>
    <definedName name="Others">Lists!$E$2:$E$4</definedName>
    <definedName name="Pick_Up_Station_Wagon_Mini_Bus">'Task Master'!$G$169:$G$361</definedName>
  </definedNames>
  <calcPr calcId="191029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123" i="7" l="1"/>
  <c r="F123" i="7"/>
  <c r="C123" i="7"/>
  <c r="B123" i="7"/>
  <c r="H122" i="7"/>
  <c r="F122" i="7"/>
  <c r="C122" i="7"/>
  <c r="B122" i="7"/>
  <c r="H121" i="7"/>
  <c r="D121" i="7"/>
  <c r="C121" i="7"/>
  <c r="B121" i="7"/>
  <c r="H120" i="7"/>
  <c r="F120" i="7"/>
  <c r="D120" i="7"/>
  <c r="C120" i="7"/>
  <c r="B120" i="7"/>
  <c r="H119" i="7"/>
  <c r="C119" i="7"/>
  <c r="B119" i="7"/>
  <c r="H118" i="7"/>
  <c r="C118" i="7"/>
  <c r="B118" i="7"/>
  <c r="F118" i="7" s="1"/>
  <c r="H117" i="7"/>
  <c r="F117" i="7"/>
  <c r="C117" i="7"/>
  <c r="B117" i="7"/>
  <c r="H116" i="7"/>
  <c r="F116" i="7"/>
  <c r="C116" i="7"/>
  <c r="B116" i="7"/>
  <c r="H115" i="7"/>
  <c r="F115" i="7"/>
  <c r="D115" i="7"/>
  <c r="C115" i="7"/>
  <c r="B115" i="7"/>
  <c r="H114" i="7"/>
  <c r="F114" i="7"/>
  <c r="D114" i="7"/>
  <c r="C114" i="7"/>
  <c r="B114" i="7"/>
  <c r="H113" i="7"/>
  <c r="C113" i="7"/>
  <c r="B113" i="7"/>
  <c r="H112" i="7"/>
  <c r="C112" i="7"/>
  <c r="B112" i="7"/>
  <c r="F112" i="7" s="1"/>
  <c r="H111" i="7"/>
  <c r="F111" i="7"/>
  <c r="C111" i="7"/>
  <c r="B111" i="7"/>
  <c r="H110" i="7"/>
  <c r="F110" i="7"/>
  <c r="C110" i="7"/>
  <c r="B110" i="7"/>
  <c r="J110" i="7" s="1"/>
  <c r="H109" i="7"/>
  <c r="F109" i="7"/>
  <c r="D109" i="7"/>
  <c r="C109" i="7"/>
  <c r="B109" i="7"/>
  <c r="B51" i="7"/>
  <c r="C51" i="7" s="1"/>
  <c r="D51" i="7" s="1"/>
  <c r="C50" i="7"/>
  <c r="D50" i="7" s="1"/>
  <c r="B50" i="7"/>
  <c r="B49" i="7"/>
  <c r="C49" i="7" s="1"/>
  <c r="D49" i="7" s="1"/>
  <c r="B48" i="7"/>
  <c r="C48" i="7" s="1"/>
  <c r="D48" i="7" s="1"/>
  <c r="F140" i="7" s="1"/>
  <c r="C47" i="7"/>
  <c r="D47" i="7" s="1"/>
  <c r="B47" i="7"/>
  <c r="B46" i="7"/>
  <c r="C46" i="7" s="1"/>
  <c r="D46" i="7" s="1"/>
  <c r="E45" i="7"/>
  <c r="B45" i="7"/>
  <c r="C45" i="7" s="1"/>
  <c r="D45" i="7" s="1"/>
  <c r="F137" i="7" s="1"/>
  <c r="C44" i="7"/>
  <c r="D44" i="7" s="1"/>
  <c r="B44" i="7"/>
  <c r="B43" i="7"/>
  <c r="C43" i="7" s="1"/>
  <c r="D43" i="7" s="1"/>
  <c r="B42" i="7"/>
  <c r="C42" i="7" s="1"/>
  <c r="D42" i="7" s="1"/>
  <c r="F134" i="7" s="1"/>
  <c r="C41" i="7"/>
  <c r="D41" i="7" s="1"/>
  <c r="B41" i="7"/>
  <c r="B40" i="7"/>
  <c r="C40" i="7" s="1"/>
  <c r="D40" i="7" s="1"/>
  <c r="E39" i="7"/>
  <c r="B39" i="7"/>
  <c r="C39" i="7" s="1"/>
  <c r="D39" i="7" s="1"/>
  <c r="F131" i="7" s="1"/>
  <c r="C38" i="7"/>
  <c r="D38" i="7" s="1"/>
  <c r="B38" i="7"/>
  <c r="B37" i="7"/>
  <c r="C37" i="7" s="1"/>
  <c r="D37" i="7" s="1"/>
  <c r="J31" i="7"/>
  <c r="G31" i="7"/>
  <c r="F31" i="7"/>
  <c r="E31" i="7"/>
  <c r="D31" i="7"/>
  <c r="C31" i="7"/>
  <c r="B31" i="7"/>
  <c r="G30" i="7"/>
  <c r="D30" i="7"/>
  <c r="C30" i="7"/>
  <c r="B30" i="7"/>
  <c r="F30" i="7" s="1"/>
  <c r="J29" i="7"/>
  <c r="G29" i="7"/>
  <c r="F29" i="7"/>
  <c r="E29" i="7"/>
  <c r="D29" i="7"/>
  <c r="C29" i="7"/>
  <c r="B29" i="7"/>
  <c r="G28" i="7"/>
  <c r="D28" i="7"/>
  <c r="C28" i="7"/>
  <c r="B28" i="7"/>
  <c r="F28" i="7" s="1"/>
  <c r="J27" i="7"/>
  <c r="G27" i="7"/>
  <c r="F27" i="7"/>
  <c r="E27" i="7"/>
  <c r="D27" i="7"/>
  <c r="C27" i="7"/>
  <c r="B27" i="7"/>
  <c r="G26" i="7"/>
  <c r="D26" i="7"/>
  <c r="C26" i="7"/>
  <c r="B26" i="7"/>
  <c r="F26" i="7" s="1"/>
  <c r="J25" i="7"/>
  <c r="G25" i="7"/>
  <c r="F25" i="7"/>
  <c r="E25" i="7"/>
  <c r="D25" i="7"/>
  <c r="C25" i="7"/>
  <c r="B25" i="7"/>
  <c r="G24" i="7"/>
  <c r="D24" i="7"/>
  <c r="C24" i="7"/>
  <c r="B24" i="7"/>
  <c r="F24" i="7" s="1"/>
  <c r="J23" i="7"/>
  <c r="G23" i="7"/>
  <c r="F23" i="7"/>
  <c r="E23" i="7"/>
  <c r="D23" i="7"/>
  <c r="C23" i="7"/>
  <c r="B23" i="7"/>
  <c r="G22" i="7"/>
  <c r="D22" i="7"/>
  <c r="C22" i="7"/>
  <c r="B22" i="7"/>
  <c r="F22" i="7" s="1"/>
  <c r="J21" i="7"/>
  <c r="G21" i="7"/>
  <c r="F21" i="7"/>
  <c r="E21" i="7"/>
  <c r="D21" i="7"/>
  <c r="C21" i="7"/>
  <c r="B21" i="7"/>
  <c r="G20" i="7"/>
  <c r="D20" i="7"/>
  <c r="C20" i="7"/>
  <c r="B20" i="7"/>
  <c r="F20" i="7" s="1"/>
  <c r="J19" i="7"/>
  <c r="G19" i="7"/>
  <c r="F19" i="7"/>
  <c r="E19" i="7"/>
  <c r="D19" i="7"/>
  <c r="C19" i="7"/>
  <c r="B19" i="7"/>
  <c r="G18" i="7"/>
  <c r="D18" i="7"/>
  <c r="C18" i="7"/>
  <c r="B18" i="7"/>
  <c r="F18" i="7" s="1"/>
  <c r="J17" i="7"/>
  <c r="G17" i="7"/>
  <c r="F17" i="7"/>
  <c r="E17" i="7"/>
  <c r="D17" i="7"/>
  <c r="C17" i="7"/>
  <c r="B17" i="7"/>
  <c r="H12" i="7"/>
  <c r="H8" i="7"/>
  <c r="B8" i="7"/>
  <c r="AF1000" i="6"/>
  <c r="AC1000" i="6"/>
  <c r="AD1000" i="6" s="1"/>
  <c r="Z1000" i="6"/>
  <c r="AB1000" i="6" s="1"/>
  <c r="V1000" i="6"/>
  <c r="R1000" i="6"/>
  <c r="N1000" i="6"/>
  <c r="J1000" i="6"/>
  <c r="I1000" i="6"/>
  <c r="H1000" i="6"/>
  <c r="D1000" i="6"/>
  <c r="A1000" i="6"/>
  <c r="AF999" i="6"/>
  <c r="AC999" i="6"/>
  <c r="AD999" i="6" s="1"/>
  <c r="AB999" i="6"/>
  <c r="Z999" i="6"/>
  <c r="V999" i="6"/>
  <c r="R999" i="6"/>
  <c r="N999" i="6"/>
  <c r="J999" i="6"/>
  <c r="I999" i="6"/>
  <c r="H999" i="6"/>
  <c r="D999" i="6"/>
  <c r="A999" i="6"/>
  <c r="AF998" i="6"/>
  <c r="AC998" i="6"/>
  <c r="AD998" i="6" s="1"/>
  <c r="Z998" i="6"/>
  <c r="V998" i="6"/>
  <c r="R998" i="6"/>
  <c r="AB998" i="6" s="1"/>
  <c r="N998" i="6"/>
  <c r="J998" i="6"/>
  <c r="I998" i="6"/>
  <c r="H998" i="6"/>
  <c r="D998" i="6"/>
  <c r="A998" i="6"/>
  <c r="AF997" i="6"/>
  <c r="AD997" i="6"/>
  <c r="AC997" i="6"/>
  <c r="Z997" i="6"/>
  <c r="V997" i="6"/>
  <c r="R997" i="6"/>
  <c r="AB997" i="6" s="1"/>
  <c r="N997" i="6"/>
  <c r="J997" i="6"/>
  <c r="I997" i="6"/>
  <c r="H997" i="6"/>
  <c r="D997" i="6"/>
  <c r="A997" i="6"/>
  <c r="AF996" i="6"/>
  <c r="AD996" i="6"/>
  <c r="AC996" i="6"/>
  <c r="Z996" i="6"/>
  <c r="V996" i="6"/>
  <c r="R996" i="6"/>
  <c r="AB996" i="6" s="1"/>
  <c r="N996" i="6"/>
  <c r="J996" i="6"/>
  <c r="I996" i="6"/>
  <c r="H996" i="6"/>
  <c r="D996" i="6"/>
  <c r="A996" i="6"/>
  <c r="AF995" i="6"/>
  <c r="AC995" i="6"/>
  <c r="AD995" i="6" s="1"/>
  <c r="Z995" i="6"/>
  <c r="V995" i="6"/>
  <c r="AB995" i="6" s="1"/>
  <c r="R995" i="6"/>
  <c r="N995" i="6"/>
  <c r="J995" i="6"/>
  <c r="I995" i="6"/>
  <c r="H995" i="6"/>
  <c r="D995" i="6"/>
  <c r="A995" i="6"/>
  <c r="AF994" i="6"/>
  <c r="AC994" i="6"/>
  <c r="AD994" i="6" s="1"/>
  <c r="Z994" i="6"/>
  <c r="AB994" i="6" s="1"/>
  <c r="V994" i="6"/>
  <c r="R994" i="6"/>
  <c r="N994" i="6"/>
  <c r="J994" i="6"/>
  <c r="I994" i="6"/>
  <c r="H994" i="6"/>
  <c r="D994" i="6"/>
  <c r="A994" i="6"/>
  <c r="AF993" i="6"/>
  <c r="AC993" i="6"/>
  <c r="AD993" i="6" s="1"/>
  <c r="AB993" i="6"/>
  <c r="Z993" i="6"/>
  <c r="V993" i="6"/>
  <c r="R993" i="6"/>
  <c r="N993" i="6"/>
  <c r="J993" i="6"/>
  <c r="I993" i="6"/>
  <c r="H993" i="6"/>
  <c r="D993" i="6"/>
  <c r="A993" i="6"/>
  <c r="AF992" i="6"/>
  <c r="AC992" i="6"/>
  <c r="AD992" i="6" s="1"/>
  <c r="Z992" i="6"/>
  <c r="V992" i="6"/>
  <c r="R992" i="6"/>
  <c r="AB992" i="6" s="1"/>
  <c r="N992" i="6"/>
  <c r="J992" i="6"/>
  <c r="I992" i="6"/>
  <c r="H992" i="6"/>
  <c r="D992" i="6"/>
  <c r="A992" i="6"/>
  <c r="AF991" i="6"/>
  <c r="AD991" i="6"/>
  <c r="AC991" i="6"/>
  <c r="Z991" i="6"/>
  <c r="V991" i="6"/>
  <c r="R991" i="6"/>
  <c r="AB991" i="6" s="1"/>
  <c r="N991" i="6"/>
  <c r="J991" i="6"/>
  <c r="I991" i="6"/>
  <c r="H991" i="6"/>
  <c r="D991" i="6"/>
  <c r="A991" i="6"/>
  <c r="AF990" i="6"/>
  <c r="AD990" i="6"/>
  <c r="AC990" i="6"/>
  <c r="Z990" i="6"/>
  <c r="V990" i="6"/>
  <c r="R990" i="6"/>
  <c r="AB990" i="6" s="1"/>
  <c r="N990" i="6"/>
  <c r="J990" i="6"/>
  <c r="I990" i="6"/>
  <c r="H990" i="6"/>
  <c r="D990" i="6"/>
  <c r="A990" i="6"/>
  <c r="AF989" i="6"/>
  <c r="AC989" i="6"/>
  <c r="AD989" i="6" s="1"/>
  <c r="Z989" i="6"/>
  <c r="V989" i="6"/>
  <c r="AB989" i="6" s="1"/>
  <c r="R989" i="6"/>
  <c r="N989" i="6"/>
  <c r="J989" i="6"/>
  <c r="I989" i="6"/>
  <c r="H989" i="6"/>
  <c r="D989" i="6"/>
  <c r="A989" i="6"/>
  <c r="AF988" i="6"/>
  <c r="AC988" i="6"/>
  <c r="AD988" i="6" s="1"/>
  <c r="Z988" i="6"/>
  <c r="AB988" i="6" s="1"/>
  <c r="V988" i="6"/>
  <c r="R988" i="6"/>
  <c r="N988" i="6"/>
  <c r="J988" i="6"/>
  <c r="I988" i="6"/>
  <c r="H988" i="6"/>
  <c r="D988" i="6"/>
  <c r="A988" i="6"/>
  <c r="AF987" i="6"/>
  <c r="AC987" i="6"/>
  <c r="AD987" i="6" s="1"/>
  <c r="AB987" i="6"/>
  <c r="Z987" i="6"/>
  <c r="V987" i="6"/>
  <c r="R987" i="6"/>
  <c r="N987" i="6"/>
  <c r="J987" i="6"/>
  <c r="I987" i="6"/>
  <c r="H987" i="6"/>
  <c r="D987" i="6"/>
  <c r="A987" i="6"/>
  <c r="AF986" i="6"/>
  <c r="AC986" i="6"/>
  <c r="AD986" i="6" s="1"/>
  <c r="Z986" i="6"/>
  <c r="V986" i="6"/>
  <c r="R986" i="6"/>
  <c r="AB986" i="6" s="1"/>
  <c r="N986" i="6"/>
  <c r="J986" i="6"/>
  <c r="I986" i="6"/>
  <c r="H986" i="6"/>
  <c r="D986" i="6"/>
  <c r="A986" i="6"/>
  <c r="AF985" i="6"/>
  <c r="AD985" i="6"/>
  <c r="AC985" i="6"/>
  <c r="Z985" i="6"/>
  <c r="V985" i="6"/>
  <c r="R985" i="6"/>
  <c r="AB985" i="6" s="1"/>
  <c r="N985" i="6"/>
  <c r="J985" i="6"/>
  <c r="I985" i="6"/>
  <c r="H985" i="6"/>
  <c r="D985" i="6"/>
  <c r="A985" i="6"/>
  <c r="AF984" i="6"/>
  <c r="AD984" i="6"/>
  <c r="AC984" i="6"/>
  <c r="Z984" i="6"/>
  <c r="V984" i="6"/>
  <c r="R984" i="6"/>
  <c r="AB984" i="6" s="1"/>
  <c r="N984" i="6"/>
  <c r="J984" i="6"/>
  <c r="I984" i="6"/>
  <c r="H984" i="6"/>
  <c r="D984" i="6"/>
  <c r="A984" i="6"/>
  <c r="AF983" i="6"/>
  <c r="AC983" i="6"/>
  <c r="AD983" i="6" s="1"/>
  <c r="Z983" i="6"/>
  <c r="V983" i="6"/>
  <c r="AB983" i="6" s="1"/>
  <c r="R983" i="6"/>
  <c r="N983" i="6"/>
  <c r="J983" i="6"/>
  <c r="I983" i="6"/>
  <c r="H983" i="6"/>
  <c r="D983" i="6"/>
  <c r="A983" i="6"/>
  <c r="AF982" i="6"/>
  <c r="AC982" i="6"/>
  <c r="AD982" i="6" s="1"/>
  <c r="Z982" i="6"/>
  <c r="AB982" i="6" s="1"/>
  <c r="V982" i="6"/>
  <c r="R982" i="6"/>
  <c r="N982" i="6"/>
  <c r="J982" i="6"/>
  <c r="I982" i="6"/>
  <c r="H982" i="6"/>
  <c r="D982" i="6"/>
  <c r="A982" i="6"/>
  <c r="AF981" i="6"/>
  <c r="AC981" i="6"/>
  <c r="AD981" i="6" s="1"/>
  <c r="AB981" i="6"/>
  <c r="Z981" i="6"/>
  <c r="V981" i="6"/>
  <c r="R981" i="6"/>
  <c r="N981" i="6"/>
  <c r="J981" i="6"/>
  <c r="I981" i="6"/>
  <c r="H981" i="6"/>
  <c r="D981" i="6"/>
  <c r="A981" i="6"/>
  <c r="AF980" i="6"/>
  <c r="AC980" i="6"/>
  <c r="AD980" i="6" s="1"/>
  <c r="Z980" i="6"/>
  <c r="V980" i="6"/>
  <c r="R980" i="6"/>
  <c r="AB980" i="6" s="1"/>
  <c r="N980" i="6"/>
  <c r="J980" i="6"/>
  <c r="I980" i="6"/>
  <c r="H980" i="6"/>
  <c r="D980" i="6"/>
  <c r="A980" i="6"/>
  <c r="AF979" i="6"/>
  <c r="AD979" i="6"/>
  <c r="AC979" i="6"/>
  <c r="Z979" i="6"/>
  <c r="V979" i="6"/>
  <c r="R979" i="6"/>
  <c r="AB979" i="6" s="1"/>
  <c r="N979" i="6"/>
  <c r="J979" i="6"/>
  <c r="I979" i="6"/>
  <c r="H979" i="6"/>
  <c r="D979" i="6"/>
  <c r="A979" i="6"/>
  <c r="AF978" i="6"/>
  <c r="AD978" i="6"/>
  <c r="AC978" i="6"/>
  <c r="Z978" i="6"/>
  <c r="V978" i="6"/>
  <c r="R978" i="6"/>
  <c r="AB978" i="6" s="1"/>
  <c r="N978" i="6"/>
  <c r="J978" i="6"/>
  <c r="I978" i="6"/>
  <c r="H978" i="6"/>
  <c r="D978" i="6"/>
  <c r="A978" i="6"/>
  <c r="AF977" i="6"/>
  <c r="AC977" i="6"/>
  <c r="AD977" i="6" s="1"/>
  <c r="Z977" i="6"/>
  <c r="V977" i="6"/>
  <c r="AB977" i="6" s="1"/>
  <c r="R977" i="6"/>
  <c r="N977" i="6"/>
  <c r="J977" i="6"/>
  <c r="I977" i="6"/>
  <c r="H977" i="6"/>
  <c r="D977" i="6"/>
  <c r="A977" i="6"/>
  <c r="AF976" i="6"/>
  <c r="AC976" i="6"/>
  <c r="AD976" i="6" s="1"/>
  <c r="Z976" i="6"/>
  <c r="AB976" i="6" s="1"/>
  <c r="V976" i="6"/>
  <c r="R976" i="6"/>
  <c r="N976" i="6"/>
  <c r="J976" i="6"/>
  <c r="I976" i="6"/>
  <c r="H976" i="6"/>
  <c r="D976" i="6"/>
  <c r="A976" i="6"/>
  <c r="AF975" i="6"/>
  <c r="AD975" i="6"/>
  <c r="AC975" i="6"/>
  <c r="AB975" i="6"/>
  <c r="Z975" i="6"/>
  <c r="V975" i="6"/>
  <c r="R975" i="6"/>
  <c r="N975" i="6"/>
  <c r="J975" i="6"/>
  <c r="I975" i="6"/>
  <c r="H975" i="6"/>
  <c r="D975" i="6"/>
  <c r="A975" i="6"/>
  <c r="AF974" i="6"/>
  <c r="AC974" i="6"/>
  <c r="AD974" i="6" s="1"/>
  <c r="Z974" i="6"/>
  <c r="V974" i="6"/>
  <c r="R974" i="6"/>
  <c r="AB974" i="6" s="1"/>
  <c r="N974" i="6"/>
  <c r="J974" i="6"/>
  <c r="I974" i="6"/>
  <c r="H974" i="6"/>
  <c r="D974" i="6"/>
  <c r="A974" i="6"/>
  <c r="AF973" i="6"/>
  <c r="AD973" i="6"/>
  <c r="AC973" i="6"/>
  <c r="Z973" i="6"/>
  <c r="V973" i="6"/>
  <c r="R973" i="6"/>
  <c r="AB973" i="6" s="1"/>
  <c r="N973" i="6"/>
  <c r="J973" i="6"/>
  <c r="I973" i="6"/>
  <c r="H973" i="6"/>
  <c r="D973" i="6"/>
  <c r="A973" i="6"/>
  <c r="AF972" i="6"/>
  <c r="AD972" i="6"/>
  <c r="AC972" i="6"/>
  <c r="Z972" i="6"/>
  <c r="V972" i="6"/>
  <c r="R972" i="6"/>
  <c r="AB972" i="6" s="1"/>
  <c r="N972" i="6"/>
  <c r="J972" i="6"/>
  <c r="I972" i="6"/>
  <c r="H972" i="6"/>
  <c r="D972" i="6"/>
  <c r="A972" i="6"/>
  <c r="AF971" i="6"/>
  <c r="AC971" i="6"/>
  <c r="AD971" i="6" s="1"/>
  <c r="Z971" i="6"/>
  <c r="V971" i="6"/>
  <c r="R971" i="6"/>
  <c r="AB971" i="6" s="1"/>
  <c r="N971" i="6"/>
  <c r="J971" i="6"/>
  <c r="I971" i="6"/>
  <c r="H971" i="6"/>
  <c r="D971" i="6"/>
  <c r="A971" i="6"/>
  <c r="AF970" i="6"/>
  <c r="AD970" i="6"/>
  <c r="AC970" i="6"/>
  <c r="Z970" i="6"/>
  <c r="V970" i="6"/>
  <c r="R970" i="6"/>
  <c r="AB970" i="6" s="1"/>
  <c r="N970" i="6"/>
  <c r="J970" i="6"/>
  <c r="I970" i="6"/>
  <c r="H970" i="6"/>
  <c r="D970" i="6"/>
  <c r="A970" i="6"/>
  <c r="AF969" i="6"/>
  <c r="AD969" i="6"/>
  <c r="AC969" i="6"/>
  <c r="Z969" i="6"/>
  <c r="AB969" i="6" s="1"/>
  <c r="V969" i="6"/>
  <c r="R969" i="6"/>
  <c r="N969" i="6"/>
  <c r="J969" i="6"/>
  <c r="I969" i="6"/>
  <c r="H969" i="6"/>
  <c r="D969" i="6"/>
  <c r="A969" i="6"/>
  <c r="AF968" i="6"/>
  <c r="AC968" i="6"/>
  <c r="AD968" i="6" s="1"/>
  <c r="AB968" i="6"/>
  <c r="Z968" i="6"/>
  <c r="V968" i="6"/>
  <c r="R968" i="6"/>
  <c r="N968" i="6"/>
  <c r="J968" i="6"/>
  <c r="I968" i="6"/>
  <c r="H968" i="6"/>
  <c r="D968" i="6"/>
  <c r="A968" i="6"/>
  <c r="AF967" i="6"/>
  <c r="AC967" i="6"/>
  <c r="AD967" i="6" s="1"/>
  <c r="Z967" i="6"/>
  <c r="V967" i="6"/>
  <c r="AB967" i="6" s="1"/>
  <c r="R967" i="6"/>
  <c r="N967" i="6"/>
  <c r="J967" i="6"/>
  <c r="I967" i="6"/>
  <c r="H967" i="6"/>
  <c r="D967" i="6"/>
  <c r="A967" i="6"/>
  <c r="AF966" i="6"/>
  <c r="AD966" i="6"/>
  <c r="AC966" i="6"/>
  <c r="Z966" i="6"/>
  <c r="V966" i="6"/>
  <c r="R966" i="6"/>
  <c r="AB966" i="6" s="1"/>
  <c r="N966" i="6"/>
  <c r="J966" i="6"/>
  <c r="I966" i="6"/>
  <c r="H966" i="6"/>
  <c r="D966" i="6"/>
  <c r="A966" i="6"/>
  <c r="AF965" i="6"/>
  <c r="AC965" i="6"/>
  <c r="AD965" i="6" s="1"/>
  <c r="Z965" i="6"/>
  <c r="V965" i="6"/>
  <c r="R965" i="6"/>
  <c r="AB965" i="6" s="1"/>
  <c r="N965" i="6"/>
  <c r="J965" i="6"/>
  <c r="I965" i="6"/>
  <c r="H965" i="6"/>
  <c r="D965" i="6"/>
  <c r="A965" i="6"/>
  <c r="AF964" i="6"/>
  <c r="AD964" i="6"/>
  <c r="AC964" i="6"/>
  <c r="Z964" i="6"/>
  <c r="V964" i="6"/>
  <c r="R964" i="6"/>
  <c r="AB964" i="6" s="1"/>
  <c r="N964" i="6"/>
  <c r="J964" i="6"/>
  <c r="I964" i="6"/>
  <c r="H964" i="6"/>
  <c r="D964" i="6"/>
  <c r="A964" i="6"/>
  <c r="AF963" i="6"/>
  <c r="AD963" i="6"/>
  <c r="AC963" i="6"/>
  <c r="Z963" i="6"/>
  <c r="AB963" i="6" s="1"/>
  <c r="V963" i="6"/>
  <c r="R963" i="6"/>
  <c r="N963" i="6"/>
  <c r="J963" i="6"/>
  <c r="I963" i="6"/>
  <c r="H963" i="6"/>
  <c r="D963" i="6"/>
  <c r="A963" i="6"/>
  <c r="AF962" i="6"/>
  <c r="AC962" i="6"/>
  <c r="AD962" i="6" s="1"/>
  <c r="AB962" i="6"/>
  <c r="Z962" i="6"/>
  <c r="V962" i="6"/>
  <c r="R962" i="6"/>
  <c r="N962" i="6"/>
  <c r="J962" i="6"/>
  <c r="I962" i="6"/>
  <c r="H962" i="6"/>
  <c r="D962" i="6"/>
  <c r="A962" i="6"/>
  <c r="AF961" i="6"/>
  <c r="AC961" i="6"/>
  <c r="AD961" i="6" s="1"/>
  <c r="Z961" i="6"/>
  <c r="V961" i="6"/>
  <c r="AB961" i="6" s="1"/>
  <c r="R961" i="6"/>
  <c r="N961" i="6"/>
  <c r="J961" i="6"/>
  <c r="I961" i="6"/>
  <c r="H961" i="6"/>
  <c r="D961" i="6"/>
  <c r="A961" i="6"/>
  <c r="AF960" i="6"/>
  <c r="AD960" i="6"/>
  <c r="AC960" i="6"/>
  <c r="Z960" i="6"/>
  <c r="V960" i="6"/>
  <c r="R960" i="6"/>
  <c r="AB960" i="6" s="1"/>
  <c r="N960" i="6"/>
  <c r="J960" i="6"/>
  <c r="I960" i="6"/>
  <c r="H960" i="6"/>
  <c r="D960" i="6"/>
  <c r="A960" i="6"/>
  <c r="AF959" i="6"/>
  <c r="AC959" i="6"/>
  <c r="AD959" i="6" s="1"/>
  <c r="Z959" i="6"/>
  <c r="V959" i="6"/>
  <c r="R959" i="6"/>
  <c r="AB959" i="6" s="1"/>
  <c r="N959" i="6"/>
  <c r="J959" i="6"/>
  <c r="I959" i="6"/>
  <c r="H959" i="6"/>
  <c r="D959" i="6"/>
  <c r="A959" i="6"/>
  <c r="AF958" i="6"/>
  <c r="AD958" i="6"/>
  <c r="AC958" i="6"/>
  <c r="Z958" i="6"/>
  <c r="V958" i="6"/>
  <c r="R958" i="6"/>
  <c r="N958" i="6"/>
  <c r="J958" i="6"/>
  <c r="I958" i="6"/>
  <c r="H958" i="6"/>
  <c r="D958" i="6"/>
  <c r="A958" i="6"/>
  <c r="AF957" i="6"/>
  <c r="AD957" i="6"/>
  <c r="AC957" i="6"/>
  <c r="Z957" i="6"/>
  <c r="AB957" i="6" s="1"/>
  <c r="V957" i="6"/>
  <c r="R957" i="6"/>
  <c r="N957" i="6"/>
  <c r="J957" i="6"/>
  <c r="I957" i="6"/>
  <c r="H957" i="6"/>
  <c r="D957" i="6"/>
  <c r="A957" i="6"/>
  <c r="AF956" i="6"/>
  <c r="AC956" i="6"/>
  <c r="AD956" i="6" s="1"/>
  <c r="AB956" i="6"/>
  <c r="Z956" i="6"/>
  <c r="V956" i="6"/>
  <c r="R956" i="6"/>
  <c r="N956" i="6"/>
  <c r="J956" i="6"/>
  <c r="I956" i="6"/>
  <c r="H956" i="6"/>
  <c r="D956" i="6"/>
  <c r="A956" i="6"/>
  <c r="AF955" i="6"/>
  <c r="AC955" i="6"/>
  <c r="AD955" i="6" s="1"/>
  <c r="Z955" i="6"/>
  <c r="V955" i="6"/>
  <c r="AB955" i="6" s="1"/>
  <c r="R955" i="6"/>
  <c r="N955" i="6"/>
  <c r="J955" i="6"/>
  <c r="I955" i="6"/>
  <c r="H955" i="6"/>
  <c r="D955" i="6"/>
  <c r="A955" i="6"/>
  <c r="AF954" i="6"/>
  <c r="AD954" i="6"/>
  <c r="AC954" i="6"/>
  <c r="Z954" i="6"/>
  <c r="V954" i="6"/>
  <c r="R954" i="6"/>
  <c r="AB954" i="6" s="1"/>
  <c r="N954" i="6"/>
  <c r="J954" i="6"/>
  <c r="I954" i="6"/>
  <c r="H954" i="6"/>
  <c r="D954" i="6"/>
  <c r="A954" i="6"/>
  <c r="AF953" i="6"/>
  <c r="AC953" i="6"/>
  <c r="AD953" i="6" s="1"/>
  <c r="Z953" i="6"/>
  <c r="V953" i="6"/>
  <c r="R953" i="6"/>
  <c r="AB953" i="6" s="1"/>
  <c r="N953" i="6"/>
  <c r="J953" i="6"/>
  <c r="I953" i="6"/>
  <c r="H953" i="6"/>
  <c r="D953" i="6"/>
  <c r="A953" i="6"/>
  <c r="AF952" i="6"/>
  <c r="AD952" i="6"/>
  <c r="AC952" i="6"/>
  <c r="Z952" i="6"/>
  <c r="V952" i="6"/>
  <c r="R952" i="6"/>
  <c r="AB952" i="6" s="1"/>
  <c r="N952" i="6"/>
  <c r="J952" i="6"/>
  <c r="I952" i="6"/>
  <c r="H952" i="6"/>
  <c r="D952" i="6"/>
  <c r="A952" i="6"/>
  <c r="AF951" i="6"/>
  <c r="AD951" i="6"/>
  <c r="AC951" i="6"/>
  <c r="Z951" i="6"/>
  <c r="AB951" i="6" s="1"/>
  <c r="V951" i="6"/>
  <c r="R951" i="6"/>
  <c r="N951" i="6"/>
  <c r="J951" i="6"/>
  <c r="I951" i="6"/>
  <c r="H951" i="6"/>
  <c r="D951" i="6"/>
  <c r="A951" i="6"/>
  <c r="AF950" i="6"/>
  <c r="AC950" i="6"/>
  <c r="AD950" i="6" s="1"/>
  <c r="AB950" i="6"/>
  <c r="Z950" i="6"/>
  <c r="V950" i="6"/>
  <c r="R950" i="6"/>
  <c r="N950" i="6"/>
  <c r="J950" i="6"/>
  <c r="I950" i="6"/>
  <c r="H950" i="6"/>
  <c r="D950" i="6"/>
  <c r="A950" i="6"/>
  <c r="AF949" i="6"/>
  <c r="AC949" i="6"/>
  <c r="AD949" i="6" s="1"/>
  <c r="Z949" i="6"/>
  <c r="V949" i="6"/>
  <c r="AB949" i="6" s="1"/>
  <c r="R949" i="6"/>
  <c r="N949" i="6"/>
  <c r="J949" i="6"/>
  <c r="I949" i="6"/>
  <c r="H949" i="6"/>
  <c r="D949" i="6"/>
  <c r="A949" i="6"/>
  <c r="AF948" i="6"/>
  <c r="AD948" i="6"/>
  <c r="AC948" i="6"/>
  <c r="Z948" i="6"/>
  <c r="V948" i="6"/>
  <c r="R948" i="6"/>
  <c r="AB948" i="6" s="1"/>
  <c r="N948" i="6"/>
  <c r="J948" i="6"/>
  <c r="I948" i="6"/>
  <c r="H948" i="6"/>
  <c r="D948" i="6"/>
  <c r="A948" i="6"/>
  <c r="AF947" i="6"/>
  <c r="AC947" i="6"/>
  <c r="AD947" i="6" s="1"/>
  <c r="Z947" i="6"/>
  <c r="V947" i="6"/>
  <c r="R947" i="6"/>
  <c r="AB947" i="6" s="1"/>
  <c r="N947" i="6"/>
  <c r="J947" i="6"/>
  <c r="I947" i="6"/>
  <c r="H947" i="6"/>
  <c r="D947" i="6"/>
  <c r="A947" i="6"/>
  <c r="AF946" i="6"/>
  <c r="AD946" i="6"/>
  <c r="AC946" i="6"/>
  <c r="Z946" i="6"/>
  <c r="V946" i="6"/>
  <c r="R946" i="6"/>
  <c r="AB946" i="6" s="1"/>
  <c r="N946" i="6"/>
  <c r="J946" i="6"/>
  <c r="I946" i="6"/>
  <c r="H946" i="6"/>
  <c r="D946" i="6"/>
  <c r="A946" i="6"/>
  <c r="AF945" i="6"/>
  <c r="AD945" i="6"/>
  <c r="AC945" i="6"/>
  <c r="Z945" i="6"/>
  <c r="AB945" i="6" s="1"/>
  <c r="V945" i="6"/>
  <c r="R945" i="6"/>
  <c r="N945" i="6"/>
  <c r="J945" i="6"/>
  <c r="I945" i="6"/>
  <c r="H945" i="6"/>
  <c r="D945" i="6"/>
  <c r="A945" i="6"/>
  <c r="AF944" i="6"/>
  <c r="AC944" i="6"/>
  <c r="AD944" i="6" s="1"/>
  <c r="AB944" i="6"/>
  <c r="Z944" i="6"/>
  <c r="V944" i="6"/>
  <c r="R944" i="6"/>
  <c r="N944" i="6"/>
  <c r="J944" i="6"/>
  <c r="I944" i="6"/>
  <c r="H944" i="6"/>
  <c r="D944" i="6"/>
  <c r="A944" i="6"/>
  <c r="AF943" i="6"/>
  <c r="AC943" i="6"/>
  <c r="AD943" i="6" s="1"/>
  <c r="Z943" i="6"/>
  <c r="V943" i="6"/>
  <c r="AB943" i="6" s="1"/>
  <c r="R943" i="6"/>
  <c r="N943" i="6"/>
  <c r="J943" i="6"/>
  <c r="I943" i="6"/>
  <c r="H943" i="6"/>
  <c r="D943" i="6"/>
  <c r="A943" i="6"/>
  <c r="AF942" i="6"/>
  <c r="AD942" i="6"/>
  <c r="AC942" i="6"/>
  <c r="Z942" i="6"/>
  <c r="V942" i="6"/>
  <c r="R942" i="6"/>
  <c r="AB942" i="6" s="1"/>
  <c r="N942" i="6"/>
  <c r="J942" i="6"/>
  <c r="I942" i="6"/>
  <c r="H942" i="6"/>
  <c r="D942" i="6"/>
  <c r="A942" i="6"/>
  <c r="AF941" i="6"/>
  <c r="AC941" i="6"/>
  <c r="AD941" i="6" s="1"/>
  <c r="Z941" i="6"/>
  <c r="V941" i="6"/>
  <c r="R941" i="6"/>
  <c r="AB941" i="6" s="1"/>
  <c r="N941" i="6"/>
  <c r="J941" i="6"/>
  <c r="I941" i="6"/>
  <c r="H941" i="6"/>
  <c r="D941" i="6"/>
  <c r="A941" i="6"/>
  <c r="AF940" i="6"/>
  <c r="AD940" i="6"/>
  <c r="AC940" i="6"/>
  <c r="Z940" i="6"/>
  <c r="V940" i="6"/>
  <c r="R940" i="6"/>
  <c r="N940" i="6"/>
  <c r="J940" i="6"/>
  <c r="I940" i="6"/>
  <c r="H940" i="6"/>
  <c r="D940" i="6"/>
  <c r="A940" i="6"/>
  <c r="AF939" i="6"/>
  <c r="AD939" i="6"/>
  <c r="AC939" i="6"/>
  <c r="Z939" i="6"/>
  <c r="AB939" i="6" s="1"/>
  <c r="V939" i="6"/>
  <c r="R939" i="6"/>
  <c r="N939" i="6"/>
  <c r="J939" i="6"/>
  <c r="I939" i="6"/>
  <c r="H939" i="6"/>
  <c r="D939" i="6"/>
  <c r="A939" i="6"/>
  <c r="AF938" i="6"/>
  <c r="AC938" i="6"/>
  <c r="AD938" i="6" s="1"/>
  <c r="AB938" i="6"/>
  <c r="Z938" i="6"/>
  <c r="V938" i="6"/>
  <c r="R938" i="6"/>
  <c r="N938" i="6"/>
  <c r="J938" i="6"/>
  <c r="I938" i="6"/>
  <c r="H938" i="6"/>
  <c r="D938" i="6"/>
  <c r="A938" i="6"/>
  <c r="AF937" i="6"/>
  <c r="AC937" i="6"/>
  <c r="AD937" i="6" s="1"/>
  <c r="Z937" i="6"/>
  <c r="V937" i="6"/>
  <c r="AB937" i="6" s="1"/>
  <c r="R937" i="6"/>
  <c r="N937" i="6"/>
  <c r="J937" i="6"/>
  <c r="I937" i="6"/>
  <c r="H937" i="6"/>
  <c r="D937" i="6"/>
  <c r="A937" i="6"/>
  <c r="AF936" i="6"/>
  <c r="AD936" i="6"/>
  <c r="AC936" i="6"/>
  <c r="Z936" i="6"/>
  <c r="V936" i="6"/>
  <c r="R936" i="6"/>
  <c r="AB936" i="6" s="1"/>
  <c r="N936" i="6"/>
  <c r="J936" i="6"/>
  <c r="I936" i="6"/>
  <c r="H936" i="6"/>
  <c r="D936" i="6"/>
  <c r="A936" i="6"/>
  <c r="AF935" i="6"/>
  <c r="AC935" i="6"/>
  <c r="AD935" i="6" s="1"/>
  <c r="Z935" i="6"/>
  <c r="V935" i="6"/>
  <c r="R935" i="6"/>
  <c r="AB935" i="6" s="1"/>
  <c r="N935" i="6"/>
  <c r="J935" i="6"/>
  <c r="I935" i="6"/>
  <c r="H935" i="6"/>
  <c r="D935" i="6"/>
  <c r="A935" i="6"/>
  <c r="AF934" i="6"/>
  <c r="AD934" i="6"/>
  <c r="AC934" i="6"/>
  <c r="Z934" i="6"/>
  <c r="V934" i="6"/>
  <c r="R934" i="6"/>
  <c r="AB934" i="6" s="1"/>
  <c r="N934" i="6"/>
  <c r="J934" i="6"/>
  <c r="I934" i="6"/>
  <c r="H934" i="6"/>
  <c r="D934" i="6"/>
  <c r="A934" i="6"/>
  <c r="AF933" i="6"/>
  <c r="AD933" i="6"/>
  <c r="AC933" i="6"/>
  <c r="Z933" i="6"/>
  <c r="AB933" i="6" s="1"/>
  <c r="V933" i="6"/>
  <c r="R933" i="6"/>
  <c r="N933" i="6"/>
  <c r="J933" i="6"/>
  <c r="I933" i="6"/>
  <c r="H933" i="6"/>
  <c r="D933" i="6"/>
  <c r="A933" i="6"/>
  <c r="AF932" i="6"/>
  <c r="AC932" i="6"/>
  <c r="AD932" i="6" s="1"/>
  <c r="AB932" i="6"/>
  <c r="Z932" i="6"/>
  <c r="V932" i="6"/>
  <c r="R932" i="6"/>
  <c r="N932" i="6"/>
  <c r="J932" i="6"/>
  <c r="I932" i="6"/>
  <c r="H932" i="6"/>
  <c r="D932" i="6"/>
  <c r="A932" i="6"/>
  <c r="AF931" i="6"/>
  <c r="AC931" i="6"/>
  <c r="AD931" i="6" s="1"/>
  <c r="Z931" i="6"/>
  <c r="V931" i="6"/>
  <c r="AB931" i="6" s="1"/>
  <c r="R931" i="6"/>
  <c r="N931" i="6"/>
  <c r="J931" i="6"/>
  <c r="I931" i="6"/>
  <c r="H931" i="6"/>
  <c r="D931" i="6"/>
  <c r="A931" i="6"/>
  <c r="AF930" i="6"/>
  <c r="AD930" i="6"/>
  <c r="AC930" i="6"/>
  <c r="Z930" i="6"/>
  <c r="V930" i="6"/>
  <c r="R930" i="6"/>
  <c r="AB930" i="6" s="1"/>
  <c r="N930" i="6"/>
  <c r="J930" i="6"/>
  <c r="I930" i="6"/>
  <c r="H930" i="6"/>
  <c r="D930" i="6"/>
  <c r="A930" i="6"/>
  <c r="AF929" i="6"/>
  <c r="AC929" i="6"/>
  <c r="AD929" i="6" s="1"/>
  <c r="Z929" i="6"/>
  <c r="V929" i="6"/>
  <c r="R929" i="6"/>
  <c r="AB929" i="6" s="1"/>
  <c r="N929" i="6"/>
  <c r="J929" i="6"/>
  <c r="I929" i="6"/>
  <c r="H929" i="6"/>
  <c r="D929" i="6"/>
  <c r="A929" i="6"/>
  <c r="AF928" i="6"/>
  <c r="AD928" i="6"/>
  <c r="AC928" i="6"/>
  <c r="Z928" i="6"/>
  <c r="V928" i="6"/>
  <c r="R928" i="6"/>
  <c r="N928" i="6"/>
  <c r="J928" i="6"/>
  <c r="I928" i="6"/>
  <c r="H928" i="6"/>
  <c r="D928" i="6"/>
  <c r="A928" i="6"/>
  <c r="AF927" i="6"/>
  <c r="AD927" i="6"/>
  <c r="AC927" i="6"/>
  <c r="Z927" i="6"/>
  <c r="AB927" i="6" s="1"/>
  <c r="V927" i="6"/>
  <c r="R927" i="6"/>
  <c r="N927" i="6"/>
  <c r="J927" i="6"/>
  <c r="I927" i="6"/>
  <c r="H927" i="6"/>
  <c r="D927" i="6"/>
  <c r="A927" i="6"/>
  <c r="AF926" i="6"/>
  <c r="AC926" i="6"/>
  <c r="AD926" i="6" s="1"/>
  <c r="AB926" i="6"/>
  <c r="Z926" i="6"/>
  <c r="V926" i="6"/>
  <c r="R926" i="6"/>
  <c r="N926" i="6"/>
  <c r="J926" i="6"/>
  <c r="I926" i="6"/>
  <c r="H926" i="6"/>
  <c r="D926" i="6"/>
  <c r="A926" i="6"/>
  <c r="AF925" i="6"/>
  <c r="AC925" i="6"/>
  <c r="AD925" i="6" s="1"/>
  <c r="Z925" i="6"/>
  <c r="V925" i="6"/>
  <c r="AB925" i="6" s="1"/>
  <c r="R925" i="6"/>
  <c r="N925" i="6"/>
  <c r="J925" i="6"/>
  <c r="I925" i="6"/>
  <c r="H925" i="6"/>
  <c r="D925" i="6"/>
  <c r="A925" i="6"/>
  <c r="AF924" i="6"/>
  <c r="AD924" i="6"/>
  <c r="AC924" i="6"/>
  <c r="Z924" i="6"/>
  <c r="V924" i="6"/>
  <c r="R924" i="6"/>
  <c r="AB924" i="6" s="1"/>
  <c r="N924" i="6"/>
  <c r="J924" i="6"/>
  <c r="I924" i="6"/>
  <c r="H924" i="6"/>
  <c r="D924" i="6"/>
  <c r="A924" i="6"/>
  <c r="AF923" i="6"/>
  <c r="AC923" i="6"/>
  <c r="AD923" i="6" s="1"/>
  <c r="Z923" i="6"/>
  <c r="V923" i="6"/>
  <c r="R923" i="6"/>
  <c r="AB923" i="6" s="1"/>
  <c r="N923" i="6"/>
  <c r="J923" i="6"/>
  <c r="I923" i="6"/>
  <c r="H923" i="6"/>
  <c r="D923" i="6"/>
  <c r="A923" i="6"/>
  <c r="AF922" i="6"/>
  <c r="AD922" i="6"/>
  <c r="AC922" i="6"/>
  <c r="Z922" i="6"/>
  <c r="V922" i="6"/>
  <c r="R922" i="6"/>
  <c r="N922" i="6"/>
  <c r="J922" i="6"/>
  <c r="I922" i="6"/>
  <c r="H922" i="6"/>
  <c r="D922" i="6"/>
  <c r="A922" i="6"/>
  <c r="AF921" i="6"/>
  <c r="AD921" i="6"/>
  <c r="AC921" i="6"/>
  <c r="Z921" i="6"/>
  <c r="AB921" i="6" s="1"/>
  <c r="V921" i="6"/>
  <c r="R921" i="6"/>
  <c r="N921" i="6"/>
  <c r="J921" i="6"/>
  <c r="I921" i="6"/>
  <c r="H921" i="6"/>
  <c r="D921" i="6"/>
  <c r="A921" i="6"/>
  <c r="AF920" i="6"/>
  <c r="AC920" i="6"/>
  <c r="AD920" i="6" s="1"/>
  <c r="AB920" i="6"/>
  <c r="Z920" i="6"/>
  <c r="V920" i="6"/>
  <c r="R920" i="6"/>
  <c r="N920" i="6"/>
  <c r="J920" i="6"/>
  <c r="I920" i="6"/>
  <c r="H920" i="6"/>
  <c r="D920" i="6"/>
  <c r="A920" i="6"/>
  <c r="AF919" i="6"/>
  <c r="AC919" i="6"/>
  <c r="AD919" i="6" s="1"/>
  <c r="Z919" i="6"/>
  <c r="V919" i="6"/>
  <c r="AB919" i="6" s="1"/>
  <c r="R919" i="6"/>
  <c r="N919" i="6"/>
  <c r="J919" i="6"/>
  <c r="I919" i="6"/>
  <c r="H919" i="6"/>
  <c r="D919" i="6"/>
  <c r="A919" i="6"/>
  <c r="AF918" i="6"/>
  <c r="AD918" i="6"/>
  <c r="AC918" i="6"/>
  <c r="Z918" i="6"/>
  <c r="V918" i="6"/>
  <c r="R918" i="6"/>
  <c r="AB918" i="6" s="1"/>
  <c r="N918" i="6"/>
  <c r="J918" i="6"/>
  <c r="I918" i="6"/>
  <c r="H918" i="6"/>
  <c r="D918" i="6"/>
  <c r="A918" i="6"/>
  <c r="AF917" i="6"/>
  <c r="AC917" i="6"/>
  <c r="AD917" i="6" s="1"/>
  <c r="Z917" i="6"/>
  <c r="V917" i="6"/>
  <c r="R917" i="6"/>
  <c r="AB917" i="6" s="1"/>
  <c r="N917" i="6"/>
  <c r="J917" i="6"/>
  <c r="I917" i="6"/>
  <c r="H917" i="6"/>
  <c r="D917" i="6"/>
  <c r="A917" i="6"/>
  <c r="AF916" i="6"/>
  <c r="AD916" i="6"/>
  <c r="AC916" i="6"/>
  <c r="Z916" i="6"/>
  <c r="V916" i="6"/>
  <c r="R916" i="6"/>
  <c r="AB916" i="6" s="1"/>
  <c r="N916" i="6"/>
  <c r="J916" i="6"/>
  <c r="I916" i="6"/>
  <c r="H916" i="6"/>
  <c r="D916" i="6"/>
  <c r="A916" i="6"/>
  <c r="AF915" i="6"/>
  <c r="AD915" i="6"/>
  <c r="AC915" i="6"/>
  <c r="Z915" i="6"/>
  <c r="AB915" i="6" s="1"/>
  <c r="V915" i="6"/>
  <c r="R915" i="6"/>
  <c r="N915" i="6"/>
  <c r="J915" i="6"/>
  <c r="I915" i="6"/>
  <c r="H915" i="6"/>
  <c r="D915" i="6"/>
  <c r="A915" i="6"/>
  <c r="AF914" i="6"/>
  <c r="AC914" i="6"/>
  <c r="AD914" i="6" s="1"/>
  <c r="AB914" i="6"/>
  <c r="Z914" i="6"/>
  <c r="V914" i="6"/>
  <c r="R914" i="6"/>
  <c r="N914" i="6"/>
  <c r="J914" i="6"/>
  <c r="I914" i="6"/>
  <c r="H914" i="6"/>
  <c r="D914" i="6"/>
  <c r="A914" i="6"/>
  <c r="AF913" i="6"/>
  <c r="AC913" i="6"/>
  <c r="AD913" i="6" s="1"/>
  <c r="Z913" i="6"/>
  <c r="V913" i="6"/>
  <c r="AB913" i="6" s="1"/>
  <c r="R913" i="6"/>
  <c r="N913" i="6"/>
  <c r="J913" i="6"/>
  <c r="I913" i="6"/>
  <c r="H913" i="6"/>
  <c r="D913" i="6"/>
  <c r="A913" i="6"/>
  <c r="AF912" i="6"/>
  <c r="AD912" i="6"/>
  <c r="AC912" i="6"/>
  <c r="Z912" i="6"/>
  <c r="V912" i="6"/>
  <c r="R912" i="6"/>
  <c r="AB912" i="6" s="1"/>
  <c r="N912" i="6"/>
  <c r="J912" i="6"/>
  <c r="I912" i="6"/>
  <c r="H912" i="6"/>
  <c r="D912" i="6"/>
  <c r="A912" i="6"/>
  <c r="AF911" i="6"/>
  <c r="AC911" i="6"/>
  <c r="AD911" i="6" s="1"/>
  <c r="Z911" i="6"/>
  <c r="V911" i="6"/>
  <c r="R911" i="6"/>
  <c r="AB911" i="6" s="1"/>
  <c r="N911" i="6"/>
  <c r="J911" i="6"/>
  <c r="I911" i="6"/>
  <c r="H911" i="6"/>
  <c r="D911" i="6"/>
  <c r="A911" i="6"/>
  <c r="AF910" i="6"/>
  <c r="AD910" i="6"/>
  <c r="AC910" i="6"/>
  <c r="Z910" i="6"/>
  <c r="V910" i="6"/>
  <c r="R910" i="6"/>
  <c r="N910" i="6"/>
  <c r="J910" i="6"/>
  <c r="I910" i="6"/>
  <c r="H910" i="6"/>
  <c r="D910" i="6"/>
  <c r="A910" i="6"/>
  <c r="AF909" i="6"/>
  <c r="AD909" i="6"/>
  <c r="AC909" i="6"/>
  <c r="Z909" i="6"/>
  <c r="AB909" i="6" s="1"/>
  <c r="V909" i="6"/>
  <c r="R909" i="6"/>
  <c r="N909" i="6"/>
  <c r="J909" i="6"/>
  <c r="I909" i="6"/>
  <c r="H909" i="6"/>
  <c r="D909" i="6"/>
  <c r="A909" i="6"/>
  <c r="AF908" i="6"/>
  <c r="AC908" i="6"/>
  <c r="AD908" i="6" s="1"/>
  <c r="AB908" i="6"/>
  <c r="Z908" i="6"/>
  <c r="V908" i="6"/>
  <c r="R908" i="6"/>
  <c r="N908" i="6"/>
  <c r="J908" i="6"/>
  <c r="I908" i="6"/>
  <c r="H908" i="6"/>
  <c r="D908" i="6"/>
  <c r="A908" i="6"/>
  <c r="AF907" i="6"/>
  <c r="AC907" i="6"/>
  <c r="AD907" i="6" s="1"/>
  <c r="Z907" i="6"/>
  <c r="V907" i="6"/>
  <c r="AB907" i="6" s="1"/>
  <c r="R907" i="6"/>
  <c r="N907" i="6"/>
  <c r="J907" i="6"/>
  <c r="I907" i="6"/>
  <c r="H907" i="6"/>
  <c r="D907" i="6"/>
  <c r="A907" i="6"/>
  <c r="AF906" i="6"/>
  <c r="AD906" i="6"/>
  <c r="AC906" i="6"/>
  <c r="Z906" i="6"/>
  <c r="V906" i="6"/>
  <c r="R906" i="6"/>
  <c r="AB906" i="6" s="1"/>
  <c r="N906" i="6"/>
  <c r="J906" i="6"/>
  <c r="I906" i="6"/>
  <c r="H906" i="6"/>
  <c r="D906" i="6"/>
  <c r="A906" i="6"/>
  <c r="AF905" i="6"/>
  <c r="AC905" i="6"/>
  <c r="AD905" i="6" s="1"/>
  <c r="Z905" i="6"/>
  <c r="V905" i="6"/>
  <c r="R905" i="6"/>
  <c r="AB905" i="6" s="1"/>
  <c r="N905" i="6"/>
  <c r="J905" i="6"/>
  <c r="I905" i="6"/>
  <c r="H905" i="6"/>
  <c r="D905" i="6"/>
  <c r="A905" i="6"/>
  <c r="AF904" i="6"/>
  <c r="AD904" i="6"/>
  <c r="AC904" i="6"/>
  <c r="Z904" i="6"/>
  <c r="V904" i="6"/>
  <c r="R904" i="6"/>
  <c r="N904" i="6"/>
  <c r="J904" i="6"/>
  <c r="I904" i="6"/>
  <c r="H904" i="6"/>
  <c r="D904" i="6"/>
  <c r="A904" i="6"/>
  <c r="AF903" i="6"/>
  <c r="AD903" i="6"/>
  <c r="AC903" i="6"/>
  <c r="Z903" i="6"/>
  <c r="AB903" i="6" s="1"/>
  <c r="V903" i="6"/>
  <c r="R903" i="6"/>
  <c r="N903" i="6"/>
  <c r="J903" i="6"/>
  <c r="I903" i="6"/>
  <c r="H903" i="6"/>
  <c r="D903" i="6"/>
  <c r="A903" i="6"/>
  <c r="AF902" i="6"/>
  <c r="AC902" i="6"/>
  <c r="AD902" i="6" s="1"/>
  <c r="AB902" i="6"/>
  <c r="Z902" i="6"/>
  <c r="V902" i="6"/>
  <c r="R902" i="6"/>
  <c r="N902" i="6"/>
  <c r="J902" i="6"/>
  <c r="I902" i="6"/>
  <c r="H902" i="6"/>
  <c r="D902" i="6"/>
  <c r="A902" i="6"/>
  <c r="AF901" i="6"/>
  <c r="AC901" i="6"/>
  <c r="AD901" i="6" s="1"/>
  <c r="Z901" i="6"/>
  <c r="V901" i="6"/>
  <c r="AB901" i="6" s="1"/>
  <c r="R901" i="6"/>
  <c r="N901" i="6"/>
  <c r="J901" i="6"/>
  <c r="I901" i="6"/>
  <c r="H901" i="6"/>
  <c r="D901" i="6"/>
  <c r="A901" i="6"/>
  <c r="AF900" i="6"/>
  <c r="AD900" i="6"/>
  <c r="AC900" i="6"/>
  <c r="Z900" i="6"/>
  <c r="V900" i="6"/>
  <c r="R900" i="6"/>
  <c r="AB900" i="6" s="1"/>
  <c r="N900" i="6"/>
  <c r="J900" i="6"/>
  <c r="I900" i="6"/>
  <c r="H900" i="6"/>
  <c r="D900" i="6"/>
  <c r="A900" i="6"/>
  <c r="AF899" i="6"/>
  <c r="AC899" i="6"/>
  <c r="AD899" i="6" s="1"/>
  <c r="Z899" i="6"/>
  <c r="V899" i="6"/>
  <c r="R899" i="6"/>
  <c r="AB899" i="6" s="1"/>
  <c r="N899" i="6"/>
  <c r="J899" i="6"/>
  <c r="I899" i="6"/>
  <c r="H899" i="6"/>
  <c r="D899" i="6"/>
  <c r="A899" i="6"/>
  <c r="AF898" i="6"/>
  <c r="AD898" i="6"/>
  <c r="AC898" i="6"/>
  <c r="Z898" i="6"/>
  <c r="V898" i="6"/>
  <c r="R898" i="6"/>
  <c r="AB898" i="6" s="1"/>
  <c r="N898" i="6"/>
  <c r="J898" i="6"/>
  <c r="I898" i="6"/>
  <c r="H898" i="6"/>
  <c r="D898" i="6"/>
  <c r="A898" i="6"/>
  <c r="AF897" i="6"/>
  <c r="AD897" i="6"/>
  <c r="AC897" i="6"/>
  <c r="Z897" i="6"/>
  <c r="AB897" i="6" s="1"/>
  <c r="V897" i="6"/>
  <c r="R897" i="6"/>
  <c r="N897" i="6"/>
  <c r="J897" i="6"/>
  <c r="I897" i="6"/>
  <c r="H897" i="6"/>
  <c r="D897" i="6"/>
  <c r="A897" i="6"/>
  <c r="AF896" i="6"/>
  <c r="AC896" i="6"/>
  <c r="AD896" i="6" s="1"/>
  <c r="AB896" i="6"/>
  <c r="Z896" i="6"/>
  <c r="V896" i="6"/>
  <c r="R896" i="6"/>
  <c r="N896" i="6"/>
  <c r="J896" i="6"/>
  <c r="I896" i="6"/>
  <c r="H896" i="6"/>
  <c r="D896" i="6"/>
  <c r="A896" i="6"/>
  <c r="AF895" i="6"/>
  <c r="AC895" i="6"/>
  <c r="AD895" i="6" s="1"/>
  <c r="Z895" i="6"/>
  <c r="V895" i="6"/>
  <c r="AB895" i="6" s="1"/>
  <c r="R895" i="6"/>
  <c r="N895" i="6"/>
  <c r="J895" i="6"/>
  <c r="I895" i="6"/>
  <c r="H895" i="6"/>
  <c r="D895" i="6"/>
  <c r="A895" i="6"/>
  <c r="AF894" i="6"/>
  <c r="AD894" i="6"/>
  <c r="AC894" i="6"/>
  <c r="Z894" i="6"/>
  <c r="V894" i="6"/>
  <c r="R894" i="6"/>
  <c r="AB894" i="6" s="1"/>
  <c r="N894" i="6"/>
  <c r="J894" i="6"/>
  <c r="I894" i="6"/>
  <c r="H894" i="6"/>
  <c r="D894" i="6"/>
  <c r="A894" i="6"/>
  <c r="AF893" i="6"/>
  <c r="AC893" i="6"/>
  <c r="AD893" i="6" s="1"/>
  <c r="Z893" i="6"/>
  <c r="V893" i="6"/>
  <c r="R893" i="6"/>
  <c r="AB893" i="6" s="1"/>
  <c r="N893" i="6"/>
  <c r="J893" i="6"/>
  <c r="I893" i="6"/>
  <c r="H893" i="6"/>
  <c r="D893" i="6"/>
  <c r="A893" i="6"/>
  <c r="AF892" i="6"/>
  <c r="AD892" i="6"/>
  <c r="AC892" i="6"/>
  <c r="Z892" i="6"/>
  <c r="V892" i="6"/>
  <c r="R892" i="6"/>
  <c r="N892" i="6"/>
  <c r="J892" i="6"/>
  <c r="I892" i="6"/>
  <c r="H892" i="6"/>
  <c r="D892" i="6"/>
  <c r="A892" i="6"/>
  <c r="AF891" i="6"/>
  <c r="AD891" i="6"/>
  <c r="AC891" i="6"/>
  <c r="Z891" i="6"/>
  <c r="AB891" i="6" s="1"/>
  <c r="V891" i="6"/>
  <c r="R891" i="6"/>
  <c r="N891" i="6"/>
  <c r="J891" i="6"/>
  <c r="I891" i="6"/>
  <c r="H891" i="6"/>
  <c r="D891" i="6"/>
  <c r="A891" i="6"/>
  <c r="AF890" i="6"/>
  <c r="AC890" i="6"/>
  <c r="AD890" i="6" s="1"/>
  <c r="AB890" i="6"/>
  <c r="Z890" i="6"/>
  <c r="V890" i="6"/>
  <c r="R890" i="6"/>
  <c r="N890" i="6"/>
  <c r="J890" i="6"/>
  <c r="I890" i="6"/>
  <c r="H890" i="6"/>
  <c r="D890" i="6"/>
  <c r="A890" i="6"/>
  <c r="AF889" i="6"/>
  <c r="AC889" i="6"/>
  <c r="AD889" i="6" s="1"/>
  <c r="Z889" i="6"/>
  <c r="V889" i="6"/>
  <c r="R889" i="6"/>
  <c r="AB889" i="6" s="1"/>
  <c r="N889" i="6"/>
  <c r="J889" i="6"/>
  <c r="I889" i="6"/>
  <c r="H889" i="6"/>
  <c r="D889" i="6"/>
  <c r="A889" i="6"/>
  <c r="AF888" i="6"/>
  <c r="AD888" i="6"/>
  <c r="AC888" i="6"/>
  <c r="Z888" i="6"/>
  <c r="V888" i="6"/>
  <c r="R888" i="6"/>
  <c r="AB888" i="6" s="1"/>
  <c r="N888" i="6"/>
  <c r="J888" i="6"/>
  <c r="I888" i="6"/>
  <c r="H888" i="6"/>
  <c r="D888" i="6"/>
  <c r="A888" i="6"/>
  <c r="AF887" i="6"/>
  <c r="AC887" i="6"/>
  <c r="AD887" i="6" s="1"/>
  <c r="Z887" i="6"/>
  <c r="V887" i="6"/>
  <c r="R887" i="6"/>
  <c r="AB887" i="6" s="1"/>
  <c r="N887" i="6"/>
  <c r="J887" i="6"/>
  <c r="I887" i="6"/>
  <c r="H887" i="6"/>
  <c r="D887" i="6"/>
  <c r="A887" i="6"/>
  <c r="AF886" i="6"/>
  <c r="AD886" i="6"/>
  <c r="AC886" i="6"/>
  <c r="Z886" i="6"/>
  <c r="V886" i="6"/>
  <c r="R886" i="6"/>
  <c r="N886" i="6"/>
  <c r="J886" i="6"/>
  <c r="I886" i="6"/>
  <c r="H886" i="6"/>
  <c r="D886" i="6"/>
  <c r="A886" i="6"/>
  <c r="AF885" i="6"/>
  <c r="AD885" i="6"/>
  <c r="AC885" i="6"/>
  <c r="Z885" i="6"/>
  <c r="AB885" i="6" s="1"/>
  <c r="V885" i="6"/>
  <c r="R885" i="6"/>
  <c r="N885" i="6"/>
  <c r="J885" i="6"/>
  <c r="I885" i="6"/>
  <c r="H885" i="6"/>
  <c r="D885" i="6"/>
  <c r="A885" i="6"/>
  <c r="AF884" i="6"/>
  <c r="AC884" i="6"/>
  <c r="AD884" i="6" s="1"/>
  <c r="AB884" i="6"/>
  <c r="Z884" i="6"/>
  <c r="V884" i="6"/>
  <c r="R884" i="6"/>
  <c r="N884" i="6"/>
  <c r="J884" i="6"/>
  <c r="I884" i="6"/>
  <c r="H884" i="6"/>
  <c r="D884" i="6"/>
  <c r="A884" i="6"/>
  <c r="AF883" i="6"/>
  <c r="AC883" i="6"/>
  <c r="AD883" i="6" s="1"/>
  <c r="Z883" i="6"/>
  <c r="V883" i="6"/>
  <c r="R883" i="6"/>
  <c r="AB883" i="6" s="1"/>
  <c r="N883" i="6"/>
  <c r="J883" i="6"/>
  <c r="I883" i="6"/>
  <c r="H883" i="6"/>
  <c r="D883" i="6"/>
  <c r="A883" i="6"/>
  <c r="AF882" i="6"/>
  <c r="AD882" i="6"/>
  <c r="AC882" i="6"/>
  <c r="Z882" i="6"/>
  <c r="V882" i="6"/>
  <c r="R882" i="6"/>
  <c r="AB882" i="6" s="1"/>
  <c r="N882" i="6"/>
  <c r="J882" i="6"/>
  <c r="I882" i="6"/>
  <c r="H882" i="6"/>
  <c r="D882" i="6"/>
  <c r="A882" i="6"/>
  <c r="AF881" i="6"/>
  <c r="AC881" i="6"/>
  <c r="AD881" i="6" s="1"/>
  <c r="Z881" i="6"/>
  <c r="V881" i="6"/>
  <c r="R881" i="6"/>
  <c r="AB881" i="6" s="1"/>
  <c r="N881" i="6"/>
  <c r="J881" i="6"/>
  <c r="I881" i="6"/>
  <c r="H881" i="6"/>
  <c r="D881" i="6"/>
  <c r="A881" i="6"/>
  <c r="AF880" i="6"/>
  <c r="AD880" i="6"/>
  <c r="AC880" i="6"/>
  <c r="Z880" i="6"/>
  <c r="V880" i="6"/>
  <c r="R880" i="6"/>
  <c r="AB880" i="6" s="1"/>
  <c r="N880" i="6"/>
  <c r="J880" i="6"/>
  <c r="I880" i="6"/>
  <c r="H880" i="6"/>
  <c r="D880" i="6"/>
  <c r="A880" i="6"/>
  <c r="AF879" i="6"/>
  <c r="AD879" i="6"/>
  <c r="AC879" i="6"/>
  <c r="Z879" i="6"/>
  <c r="AB879" i="6" s="1"/>
  <c r="V879" i="6"/>
  <c r="R879" i="6"/>
  <c r="N879" i="6"/>
  <c r="J879" i="6"/>
  <c r="I879" i="6"/>
  <c r="H879" i="6"/>
  <c r="D879" i="6"/>
  <c r="A879" i="6"/>
  <c r="AF878" i="6"/>
  <c r="AC878" i="6"/>
  <c r="AD878" i="6" s="1"/>
  <c r="AB878" i="6"/>
  <c r="Z878" i="6"/>
  <c r="V878" i="6"/>
  <c r="R878" i="6"/>
  <c r="N878" i="6"/>
  <c r="J878" i="6"/>
  <c r="I878" i="6"/>
  <c r="H878" i="6"/>
  <c r="D878" i="6"/>
  <c r="A878" i="6"/>
  <c r="AF877" i="6"/>
  <c r="AC877" i="6"/>
  <c r="AD877" i="6" s="1"/>
  <c r="Z877" i="6"/>
  <c r="V877" i="6"/>
  <c r="R877" i="6"/>
  <c r="AB877" i="6" s="1"/>
  <c r="N877" i="6"/>
  <c r="J877" i="6"/>
  <c r="I877" i="6"/>
  <c r="H877" i="6"/>
  <c r="D877" i="6"/>
  <c r="A877" i="6"/>
  <c r="AF876" i="6"/>
  <c r="AD876" i="6"/>
  <c r="AC876" i="6"/>
  <c r="Z876" i="6"/>
  <c r="V876" i="6"/>
  <c r="R876" i="6"/>
  <c r="AB876" i="6" s="1"/>
  <c r="N876" i="6"/>
  <c r="J876" i="6"/>
  <c r="I876" i="6"/>
  <c r="H876" i="6"/>
  <c r="D876" i="6"/>
  <c r="A876" i="6"/>
  <c r="AF875" i="6"/>
  <c r="AC875" i="6"/>
  <c r="AD875" i="6" s="1"/>
  <c r="Z875" i="6"/>
  <c r="V875" i="6"/>
  <c r="R875" i="6"/>
  <c r="AB875" i="6" s="1"/>
  <c r="N875" i="6"/>
  <c r="J875" i="6"/>
  <c r="I875" i="6"/>
  <c r="H875" i="6"/>
  <c r="D875" i="6"/>
  <c r="A875" i="6"/>
  <c r="AF874" i="6"/>
  <c r="AD874" i="6"/>
  <c r="AC874" i="6"/>
  <c r="Z874" i="6"/>
  <c r="V874" i="6"/>
  <c r="R874" i="6"/>
  <c r="N874" i="6"/>
  <c r="J874" i="6"/>
  <c r="I874" i="6"/>
  <c r="H874" i="6"/>
  <c r="D874" i="6"/>
  <c r="A874" i="6"/>
  <c r="AF873" i="6"/>
  <c r="AD873" i="6"/>
  <c r="AC873" i="6"/>
  <c r="Z873" i="6"/>
  <c r="AB873" i="6" s="1"/>
  <c r="V873" i="6"/>
  <c r="R873" i="6"/>
  <c r="N873" i="6"/>
  <c r="J873" i="6"/>
  <c r="I873" i="6"/>
  <c r="H873" i="6"/>
  <c r="D873" i="6"/>
  <c r="A873" i="6"/>
  <c r="AF872" i="6"/>
  <c r="AC872" i="6"/>
  <c r="AD872" i="6" s="1"/>
  <c r="AB872" i="6"/>
  <c r="Z872" i="6"/>
  <c r="V872" i="6"/>
  <c r="R872" i="6"/>
  <c r="N872" i="6"/>
  <c r="J872" i="6"/>
  <c r="I872" i="6"/>
  <c r="H872" i="6"/>
  <c r="D872" i="6"/>
  <c r="A872" i="6"/>
  <c r="AF871" i="6"/>
  <c r="AC871" i="6"/>
  <c r="AD871" i="6" s="1"/>
  <c r="Z871" i="6"/>
  <c r="V871" i="6"/>
  <c r="R871" i="6"/>
  <c r="AB871" i="6" s="1"/>
  <c r="N871" i="6"/>
  <c r="J871" i="6"/>
  <c r="I871" i="6"/>
  <c r="H871" i="6"/>
  <c r="D871" i="6"/>
  <c r="A871" i="6"/>
  <c r="AF870" i="6"/>
  <c r="AD870" i="6"/>
  <c r="AC870" i="6"/>
  <c r="Z870" i="6"/>
  <c r="V870" i="6"/>
  <c r="R870" i="6"/>
  <c r="AB870" i="6" s="1"/>
  <c r="N870" i="6"/>
  <c r="J870" i="6"/>
  <c r="I870" i="6"/>
  <c r="H870" i="6"/>
  <c r="D870" i="6"/>
  <c r="A870" i="6"/>
  <c r="AF869" i="6"/>
  <c r="AC869" i="6"/>
  <c r="AD869" i="6" s="1"/>
  <c r="Z869" i="6"/>
  <c r="V869" i="6"/>
  <c r="R869" i="6"/>
  <c r="AB869" i="6" s="1"/>
  <c r="N869" i="6"/>
  <c r="J869" i="6"/>
  <c r="I869" i="6"/>
  <c r="H869" i="6"/>
  <c r="D869" i="6"/>
  <c r="A869" i="6"/>
  <c r="AF868" i="6"/>
  <c r="AD868" i="6"/>
  <c r="AC868" i="6"/>
  <c r="Z868" i="6"/>
  <c r="V868" i="6"/>
  <c r="R868" i="6"/>
  <c r="N868" i="6"/>
  <c r="J868" i="6"/>
  <c r="I868" i="6"/>
  <c r="H868" i="6"/>
  <c r="D868" i="6"/>
  <c r="A868" i="6"/>
  <c r="AF867" i="6"/>
  <c r="AD867" i="6"/>
  <c r="AC867" i="6"/>
  <c r="Z867" i="6"/>
  <c r="AB867" i="6" s="1"/>
  <c r="V867" i="6"/>
  <c r="R867" i="6"/>
  <c r="N867" i="6"/>
  <c r="J867" i="6"/>
  <c r="I867" i="6"/>
  <c r="H867" i="6"/>
  <c r="D867" i="6"/>
  <c r="A867" i="6"/>
  <c r="AF866" i="6"/>
  <c r="AC866" i="6"/>
  <c r="AD866" i="6" s="1"/>
  <c r="AB866" i="6"/>
  <c r="Z866" i="6"/>
  <c r="V866" i="6"/>
  <c r="R866" i="6"/>
  <c r="N866" i="6"/>
  <c r="J866" i="6"/>
  <c r="I866" i="6"/>
  <c r="H866" i="6"/>
  <c r="D866" i="6"/>
  <c r="A866" i="6"/>
  <c r="AF865" i="6"/>
  <c r="AC865" i="6"/>
  <c r="AD865" i="6" s="1"/>
  <c r="Z865" i="6"/>
  <c r="V865" i="6"/>
  <c r="R865" i="6"/>
  <c r="AB865" i="6" s="1"/>
  <c r="N865" i="6"/>
  <c r="J865" i="6"/>
  <c r="I865" i="6"/>
  <c r="H865" i="6"/>
  <c r="D865" i="6"/>
  <c r="A865" i="6"/>
  <c r="AF864" i="6"/>
  <c r="AD864" i="6"/>
  <c r="AC864" i="6"/>
  <c r="Z864" i="6"/>
  <c r="V864" i="6"/>
  <c r="R864" i="6"/>
  <c r="AB864" i="6" s="1"/>
  <c r="N864" i="6"/>
  <c r="J864" i="6"/>
  <c r="I864" i="6"/>
  <c r="H864" i="6"/>
  <c r="D864" i="6"/>
  <c r="A864" i="6"/>
  <c r="AF863" i="6"/>
  <c r="AC863" i="6"/>
  <c r="AD863" i="6" s="1"/>
  <c r="Z863" i="6"/>
  <c r="V863" i="6"/>
  <c r="R863" i="6"/>
  <c r="AB863" i="6" s="1"/>
  <c r="N863" i="6"/>
  <c r="J863" i="6"/>
  <c r="I863" i="6"/>
  <c r="H863" i="6"/>
  <c r="D863" i="6"/>
  <c r="A863" i="6"/>
  <c r="AF862" i="6"/>
  <c r="AD862" i="6"/>
  <c r="AC862" i="6"/>
  <c r="Z862" i="6"/>
  <c r="V862" i="6"/>
  <c r="R862" i="6"/>
  <c r="AB862" i="6" s="1"/>
  <c r="N862" i="6"/>
  <c r="J862" i="6"/>
  <c r="I862" i="6"/>
  <c r="H862" i="6"/>
  <c r="D862" i="6"/>
  <c r="A862" i="6"/>
  <c r="AF861" i="6"/>
  <c r="AD861" i="6"/>
  <c r="AC861" i="6"/>
  <c r="Z861" i="6"/>
  <c r="AB861" i="6" s="1"/>
  <c r="V861" i="6"/>
  <c r="R861" i="6"/>
  <c r="N861" i="6"/>
  <c r="J861" i="6"/>
  <c r="I861" i="6"/>
  <c r="H861" i="6"/>
  <c r="D861" i="6"/>
  <c r="A861" i="6"/>
  <c r="AF860" i="6"/>
  <c r="AC860" i="6"/>
  <c r="AD860" i="6" s="1"/>
  <c r="AB860" i="6"/>
  <c r="Z860" i="6"/>
  <c r="V860" i="6"/>
  <c r="R860" i="6"/>
  <c r="N860" i="6"/>
  <c r="J860" i="6"/>
  <c r="I860" i="6"/>
  <c r="H860" i="6"/>
  <c r="D860" i="6"/>
  <c r="A860" i="6"/>
  <c r="AF859" i="6"/>
  <c r="AC859" i="6"/>
  <c r="AD859" i="6" s="1"/>
  <c r="Z859" i="6"/>
  <c r="V859" i="6"/>
  <c r="R859" i="6"/>
  <c r="AB859" i="6" s="1"/>
  <c r="N859" i="6"/>
  <c r="J859" i="6"/>
  <c r="I859" i="6"/>
  <c r="H859" i="6"/>
  <c r="D859" i="6"/>
  <c r="A859" i="6"/>
  <c r="AF858" i="6"/>
  <c r="AD858" i="6"/>
  <c r="AC858" i="6"/>
  <c r="Z858" i="6"/>
  <c r="V858" i="6"/>
  <c r="R858" i="6"/>
  <c r="AB858" i="6" s="1"/>
  <c r="N858" i="6"/>
  <c r="J858" i="6"/>
  <c r="I858" i="6"/>
  <c r="H858" i="6"/>
  <c r="D858" i="6"/>
  <c r="A858" i="6"/>
  <c r="AF857" i="6"/>
  <c r="AC857" i="6"/>
  <c r="AD857" i="6" s="1"/>
  <c r="Z857" i="6"/>
  <c r="V857" i="6"/>
  <c r="R857" i="6"/>
  <c r="AB857" i="6" s="1"/>
  <c r="N857" i="6"/>
  <c r="J857" i="6"/>
  <c r="I857" i="6"/>
  <c r="H857" i="6"/>
  <c r="D857" i="6"/>
  <c r="A857" i="6"/>
  <c r="AF856" i="6"/>
  <c r="AD856" i="6"/>
  <c r="AC856" i="6"/>
  <c r="Z856" i="6"/>
  <c r="V856" i="6"/>
  <c r="R856" i="6"/>
  <c r="N856" i="6"/>
  <c r="J856" i="6"/>
  <c r="I856" i="6"/>
  <c r="H856" i="6"/>
  <c r="D856" i="6"/>
  <c r="A856" i="6"/>
  <c r="AF855" i="6"/>
  <c r="AD855" i="6"/>
  <c r="AC855" i="6"/>
  <c r="Z855" i="6"/>
  <c r="AB855" i="6" s="1"/>
  <c r="V855" i="6"/>
  <c r="R855" i="6"/>
  <c r="N855" i="6"/>
  <c r="J855" i="6"/>
  <c r="I855" i="6"/>
  <c r="H855" i="6"/>
  <c r="D855" i="6"/>
  <c r="A855" i="6"/>
  <c r="AF854" i="6"/>
  <c r="AC854" i="6"/>
  <c r="AD854" i="6" s="1"/>
  <c r="AB854" i="6"/>
  <c r="Z854" i="6"/>
  <c r="V854" i="6"/>
  <c r="R854" i="6"/>
  <c r="N854" i="6"/>
  <c r="J854" i="6"/>
  <c r="I854" i="6"/>
  <c r="H854" i="6"/>
  <c r="D854" i="6"/>
  <c r="A854" i="6"/>
  <c r="AF853" i="6"/>
  <c r="AC853" i="6"/>
  <c r="AD853" i="6" s="1"/>
  <c r="Z853" i="6"/>
  <c r="V853" i="6"/>
  <c r="R853" i="6"/>
  <c r="AB853" i="6" s="1"/>
  <c r="N853" i="6"/>
  <c r="J853" i="6"/>
  <c r="I853" i="6"/>
  <c r="H853" i="6"/>
  <c r="D853" i="6"/>
  <c r="A853" i="6"/>
  <c r="AF852" i="6"/>
  <c r="AD852" i="6"/>
  <c r="AC852" i="6"/>
  <c r="Z852" i="6"/>
  <c r="V852" i="6"/>
  <c r="R852" i="6"/>
  <c r="AB852" i="6" s="1"/>
  <c r="N852" i="6"/>
  <c r="J852" i="6"/>
  <c r="I852" i="6"/>
  <c r="H852" i="6"/>
  <c r="D852" i="6"/>
  <c r="A852" i="6"/>
  <c r="AF851" i="6"/>
  <c r="AC851" i="6"/>
  <c r="AD851" i="6" s="1"/>
  <c r="Z851" i="6"/>
  <c r="V851" i="6"/>
  <c r="R851" i="6"/>
  <c r="AB851" i="6" s="1"/>
  <c r="N851" i="6"/>
  <c r="J851" i="6"/>
  <c r="I851" i="6"/>
  <c r="H851" i="6"/>
  <c r="D851" i="6"/>
  <c r="A851" i="6"/>
  <c r="AF850" i="6"/>
  <c r="AD850" i="6"/>
  <c r="AC850" i="6"/>
  <c r="Z850" i="6"/>
  <c r="V850" i="6"/>
  <c r="R850" i="6"/>
  <c r="N850" i="6"/>
  <c r="J850" i="6"/>
  <c r="I850" i="6"/>
  <c r="H850" i="6"/>
  <c r="D850" i="6"/>
  <c r="A850" i="6"/>
  <c r="AF849" i="6"/>
  <c r="AD849" i="6"/>
  <c r="AC849" i="6"/>
  <c r="Z849" i="6"/>
  <c r="AB849" i="6" s="1"/>
  <c r="V849" i="6"/>
  <c r="R849" i="6"/>
  <c r="N849" i="6"/>
  <c r="J849" i="6"/>
  <c r="I849" i="6"/>
  <c r="H849" i="6"/>
  <c r="D849" i="6"/>
  <c r="A849" i="6"/>
  <c r="AF848" i="6"/>
  <c r="AC848" i="6"/>
  <c r="AD848" i="6" s="1"/>
  <c r="AB848" i="6"/>
  <c r="Z848" i="6"/>
  <c r="V848" i="6"/>
  <c r="R848" i="6"/>
  <c r="N848" i="6"/>
  <c r="J848" i="6"/>
  <c r="I848" i="6"/>
  <c r="H848" i="6"/>
  <c r="D848" i="6"/>
  <c r="A848" i="6"/>
  <c r="AF847" i="6"/>
  <c r="AC847" i="6"/>
  <c r="AD847" i="6" s="1"/>
  <c r="Z847" i="6"/>
  <c r="V847" i="6"/>
  <c r="R847" i="6"/>
  <c r="AB847" i="6" s="1"/>
  <c r="N847" i="6"/>
  <c r="J847" i="6"/>
  <c r="I847" i="6"/>
  <c r="H847" i="6"/>
  <c r="D847" i="6"/>
  <c r="A847" i="6"/>
  <c r="AF846" i="6"/>
  <c r="AD846" i="6"/>
  <c r="AC846" i="6"/>
  <c r="Z846" i="6"/>
  <c r="V846" i="6"/>
  <c r="R846" i="6"/>
  <c r="AB846" i="6" s="1"/>
  <c r="N846" i="6"/>
  <c r="J846" i="6"/>
  <c r="I846" i="6"/>
  <c r="H846" i="6"/>
  <c r="D846" i="6"/>
  <c r="A846" i="6"/>
  <c r="AF845" i="6"/>
  <c r="AC845" i="6"/>
  <c r="AD845" i="6" s="1"/>
  <c r="Z845" i="6"/>
  <c r="V845" i="6"/>
  <c r="R845" i="6"/>
  <c r="AB845" i="6" s="1"/>
  <c r="N845" i="6"/>
  <c r="J845" i="6"/>
  <c r="I845" i="6"/>
  <c r="H845" i="6"/>
  <c r="D845" i="6"/>
  <c r="A845" i="6"/>
  <c r="AF844" i="6"/>
  <c r="AD844" i="6"/>
  <c r="AC844" i="6"/>
  <c r="Z844" i="6"/>
  <c r="V844" i="6"/>
  <c r="R844" i="6"/>
  <c r="AB844" i="6" s="1"/>
  <c r="N844" i="6"/>
  <c r="J844" i="6"/>
  <c r="I844" i="6"/>
  <c r="H844" i="6"/>
  <c r="D844" i="6"/>
  <c r="A844" i="6"/>
  <c r="AF843" i="6"/>
  <c r="AD843" i="6"/>
  <c r="AC843" i="6"/>
  <c r="Z843" i="6"/>
  <c r="AB843" i="6" s="1"/>
  <c r="V843" i="6"/>
  <c r="R843" i="6"/>
  <c r="N843" i="6"/>
  <c r="J843" i="6"/>
  <c r="I843" i="6"/>
  <c r="H843" i="6"/>
  <c r="D843" i="6"/>
  <c r="A843" i="6"/>
  <c r="AF842" i="6"/>
  <c r="AC842" i="6"/>
  <c r="AD842" i="6" s="1"/>
  <c r="AB842" i="6"/>
  <c r="Z842" i="6"/>
  <c r="V842" i="6"/>
  <c r="R842" i="6"/>
  <c r="N842" i="6"/>
  <c r="J842" i="6"/>
  <c r="I842" i="6"/>
  <c r="H842" i="6"/>
  <c r="D842" i="6"/>
  <c r="A842" i="6"/>
  <c r="AF841" i="6"/>
  <c r="AC841" i="6"/>
  <c r="AD841" i="6" s="1"/>
  <c r="Z841" i="6"/>
  <c r="V841" i="6"/>
  <c r="R841" i="6"/>
  <c r="AB841" i="6" s="1"/>
  <c r="N841" i="6"/>
  <c r="J841" i="6"/>
  <c r="I841" i="6"/>
  <c r="H841" i="6"/>
  <c r="D841" i="6"/>
  <c r="A841" i="6"/>
  <c r="AF840" i="6"/>
  <c r="AD840" i="6"/>
  <c r="AC840" i="6"/>
  <c r="Z840" i="6"/>
  <c r="V840" i="6"/>
  <c r="R840" i="6"/>
  <c r="AB840" i="6" s="1"/>
  <c r="N840" i="6"/>
  <c r="J840" i="6"/>
  <c r="I840" i="6"/>
  <c r="H840" i="6"/>
  <c r="D840" i="6"/>
  <c r="A840" i="6"/>
  <c r="AF839" i="6"/>
  <c r="AC839" i="6"/>
  <c r="AD839" i="6" s="1"/>
  <c r="Z839" i="6"/>
  <c r="V839" i="6"/>
  <c r="R839" i="6"/>
  <c r="AB839" i="6" s="1"/>
  <c r="N839" i="6"/>
  <c r="J839" i="6"/>
  <c r="I839" i="6"/>
  <c r="H839" i="6"/>
  <c r="D839" i="6"/>
  <c r="A839" i="6"/>
  <c r="AF838" i="6"/>
  <c r="AD838" i="6"/>
  <c r="AC838" i="6"/>
  <c r="Z838" i="6"/>
  <c r="V838" i="6"/>
  <c r="R838" i="6"/>
  <c r="N838" i="6"/>
  <c r="J838" i="6"/>
  <c r="I838" i="6"/>
  <c r="H838" i="6"/>
  <c r="D838" i="6"/>
  <c r="A838" i="6"/>
  <c r="AF837" i="6"/>
  <c r="AD837" i="6"/>
  <c r="AC837" i="6"/>
  <c r="Z837" i="6"/>
  <c r="AB837" i="6" s="1"/>
  <c r="V837" i="6"/>
  <c r="R837" i="6"/>
  <c r="N837" i="6"/>
  <c r="J837" i="6"/>
  <c r="I837" i="6"/>
  <c r="H837" i="6"/>
  <c r="D837" i="6"/>
  <c r="A837" i="6"/>
  <c r="AF836" i="6"/>
  <c r="AC836" i="6"/>
  <c r="AD836" i="6" s="1"/>
  <c r="AB836" i="6"/>
  <c r="Z836" i="6"/>
  <c r="V836" i="6"/>
  <c r="R836" i="6"/>
  <c r="N836" i="6"/>
  <c r="J836" i="6"/>
  <c r="I836" i="6"/>
  <c r="H836" i="6"/>
  <c r="D836" i="6"/>
  <c r="A836" i="6"/>
  <c r="AF835" i="6"/>
  <c r="AC835" i="6"/>
  <c r="AD835" i="6" s="1"/>
  <c r="Z835" i="6"/>
  <c r="V835" i="6"/>
  <c r="AB835" i="6" s="1"/>
  <c r="R835" i="6"/>
  <c r="N835" i="6"/>
  <c r="J835" i="6"/>
  <c r="I835" i="6"/>
  <c r="H835" i="6"/>
  <c r="D835" i="6"/>
  <c r="A835" i="6"/>
  <c r="AF834" i="6"/>
  <c r="AD834" i="6"/>
  <c r="AC834" i="6"/>
  <c r="Z834" i="6"/>
  <c r="V834" i="6"/>
  <c r="R834" i="6"/>
  <c r="AB834" i="6" s="1"/>
  <c r="N834" i="6"/>
  <c r="J834" i="6"/>
  <c r="I834" i="6"/>
  <c r="H834" i="6"/>
  <c r="D834" i="6"/>
  <c r="A834" i="6"/>
  <c r="AF833" i="6"/>
  <c r="AC833" i="6"/>
  <c r="AD833" i="6" s="1"/>
  <c r="Z833" i="6"/>
  <c r="V833" i="6"/>
  <c r="R833" i="6"/>
  <c r="AB833" i="6" s="1"/>
  <c r="N833" i="6"/>
  <c r="J833" i="6"/>
  <c r="I833" i="6"/>
  <c r="H833" i="6"/>
  <c r="D833" i="6"/>
  <c r="A833" i="6"/>
  <c r="AF832" i="6"/>
  <c r="AD832" i="6"/>
  <c r="AC832" i="6"/>
  <c r="Z832" i="6"/>
  <c r="V832" i="6"/>
  <c r="R832" i="6"/>
  <c r="N832" i="6"/>
  <c r="J832" i="6"/>
  <c r="I832" i="6"/>
  <c r="H832" i="6"/>
  <c r="D832" i="6"/>
  <c r="A832" i="6"/>
  <c r="AF831" i="6"/>
  <c r="AD831" i="6"/>
  <c r="AC831" i="6"/>
  <c r="Z831" i="6"/>
  <c r="AB831" i="6" s="1"/>
  <c r="V831" i="6"/>
  <c r="R831" i="6"/>
  <c r="N831" i="6"/>
  <c r="J831" i="6"/>
  <c r="I831" i="6"/>
  <c r="H831" i="6"/>
  <c r="D831" i="6"/>
  <c r="A831" i="6"/>
  <c r="AF830" i="6"/>
  <c r="AC830" i="6"/>
  <c r="AD830" i="6" s="1"/>
  <c r="AB830" i="6"/>
  <c r="Z830" i="6"/>
  <c r="V830" i="6"/>
  <c r="R830" i="6"/>
  <c r="N830" i="6"/>
  <c r="J830" i="6"/>
  <c r="I830" i="6"/>
  <c r="H830" i="6"/>
  <c r="D830" i="6"/>
  <c r="A830" i="6"/>
  <c r="AF829" i="6"/>
  <c r="AC829" i="6"/>
  <c r="AD829" i="6" s="1"/>
  <c r="Z829" i="6"/>
  <c r="AB829" i="6" s="1"/>
  <c r="V829" i="6"/>
  <c r="R829" i="6"/>
  <c r="N829" i="6"/>
  <c r="J829" i="6"/>
  <c r="I829" i="6"/>
  <c r="H829" i="6"/>
  <c r="D829" i="6"/>
  <c r="A829" i="6"/>
  <c r="AF828" i="6"/>
  <c r="AD828" i="6"/>
  <c r="AC828" i="6"/>
  <c r="Z828" i="6"/>
  <c r="V828" i="6"/>
  <c r="R828" i="6"/>
  <c r="AB828" i="6" s="1"/>
  <c r="N828" i="6"/>
  <c r="J828" i="6"/>
  <c r="I828" i="6"/>
  <c r="H828" i="6"/>
  <c r="D828" i="6"/>
  <c r="A828" i="6"/>
  <c r="AF827" i="6"/>
  <c r="AC827" i="6"/>
  <c r="AD827" i="6" s="1"/>
  <c r="Z827" i="6"/>
  <c r="V827" i="6"/>
  <c r="R827" i="6"/>
  <c r="AB827" i="6" s="1"/>
  <c r="N827" i="6"/>
  <c r="J827" i="6"/>
  <c r="I827" i="6"/>
  <c r="H827" i="6"/>
  <c r="D827" i="6"/>
  <c r="A827" i="6"/>
  <c r="AF826" i="6"/>
  <c r="AD826" i="6"/>
  <c r="AC826" i="6"/>
  <c r="Z826" i="6"/>
  <c r="V826" i="6"/>
  <c r="R826" i="6"/>
  <c r="N826" i="6"/>
  <c r="J826" i="6"/>
  <c r="I826" i="6"/>
  <c r="H826" i="6"/>
  <c r="D826" i="6"/>
  <c r="A826" i="6"/>
  <c r="AF825" i="6"/>
  <c r="AD825" i="6"/>
  <c r="AC825" i="6"/>
  <c r="Z825" i="6"/>
  <c r="AB825" i="6" s="1"/>
  <c r="V825" i="6"/>
  <c r="R825" i="6"/>
  <c r="N825" i="6"/>
  <c r="J825" i="6"/>
  <c r="I825" i="6"/>
  <c r="H825" i="6"/>
  <c r="D825" i="6"/>
  <c r="A825" i="6"/>
  <c r="AF824" i="6"/>
  <c r="AC824" i="6"/>
  <c r="AD824" i="6" s="1"/>
  <c r="AB824" i="6"/>
  <c r="Z824" i="6"/>
  <c r="V824" i="6"/>
  <c r="R824" i="6"/>
  <c r="N824" i="6"/>
  <c r="J824" i="6"/>
  <c r="I824" i="6"/>
  <c r="H824" i="6"/>
  <c r="D824" i="6"/>
  <c r="A824" i="6"/>
  <c r="AF823" i="6"/>
  <c r="AC823" i="6"/>
  <c r="AD823" i="6" s="1"/>
  <c r="Z823" i="6"/>
  <c r="AB823" i="6" s="1"/>
  <c r="V823" i="6"/>
  <c r="R823" i="6"/>
  <c r="N823" i="6"/>
  <c r="J823" i="6"/>
  <c r="I823" i="6"/>
  <c r="H823" i="6"/>
  <c r="D823" i="6"/>
  <c r="A823" i="6"/>
  <c r="AF822" i="6"/>
  <c r="AD822" i="6"/>
  <c r="AC822" i="6"/>
  <c r="Z822" i="6"/>
  <c r="V822" i="6"/>
  <c r="R822" i="6"/>
  <c r="AB822" i="6" s="1"/>
  <c r="N822" i="6"/>
  <c r="J822" i="6"/>
  <c r="I822" i="6"/>
  <c r="H822" i="6"/>
  <c r="D822" i="6"/>
  <c r="A822" i="6"/>
  <c r="AF821" i="6"/>
  <c r="AC821" i="6"/>
  <c r="AD821" i="6" s="1"/>
  <c r="Z821" i="6"/>
  <c r="V821" i="6"/>
  <c r="R821" i="6"/>
  <c r="AB821" i="6" s="1"/>
  <c r="N821" i="6"/>
  <c r="J821" i="6"/>
  <c r="I821" i="6"/>
  <c r="H821" i="6"/>
  <c r="D821" i="6"/>
  <c r="A821" i="6"/>
  <c r="AF820" i="6"/>
  <c r="AD820" i="6"/>
  <c r="AC820" i="6"/>
  <c r="Z820" i="6"/>
  <c r="V820" i="6"/>
  <c r="R820" i="6"/>
  <c r="N820" i="6"/>
  <c r="J820" i="6"/>
  <c r="I820" i="6"/>
  <c r="H820" i="6"/>
  <c r="D820" i="6"/>
  <c r="A820" i="6"/>
  <c r="AF819" i="6"/>
  <c r="AD819" i="6"/>
  <c r="AC819" i="6"/>
  <c r="Z819" i="6"/>
  <c r="AB819" i="6" s="1"/>
  <c r="V819" i="6"/>
  <c r="R819" i="6"/>
  <c r="N819" i="6"/>
  <c r="J819" i="6"/>
  <c r="I819" i="6"/>
  <c r="H819" i="6"/>
  <c r="D819" i="6"/>
  <c r="A819" i="6"/>
  <c r="AF818" i="6"/>
  <c r="AC818" i="6"/>
  <c r="AD818" i="6" s="1"/>
  <c r="AB818" i="6"/>
  <c r="Z818" i="6"/>
  <c r="V818" i="6"/>
  <c r="R818" i="6"/>
  <c r="N818" i="6"/>
  <c r="J818" i="6"/>
  <c r="I818" i="6"/>
  <c r="H818" i="6"/>
  <c r="D818" i="6"/>
  <c r="A818" i="6"/>
  <c r="AF817" i="6"/>
  <c r="AC817" i="6"/>
  <c r="AD817" i="6" s="1"/>
  <c r="Z817" i="6"/>
  <c r="AB817" i="6" s="1"/>
  <c r="V817" i="6"/>
  <c r="R817" i="6"/>
  <c r="N817" i="6"/>
  <c r="J817" i="6"/>
  <c r="I817" i="6"/>
  <c r="H817" i="6"/>
  <c r="D817" i="6"/>
  <c r="A817" i="6"/>
  <c r="AF816" i="6"/>
  <c r="AD816" i="6"/>
  <c r="AC816" i="6"/>
  <c r="Z816" i="6"/>
  <c r="V816" i="6"/>
  <c r="R816" i="6"/>
  <c r="AB816" i="6" s="1"/>
  <c r="N816" i="6"/>
  <c r="J816" i="6"/>
  <c r="I816" i="6"/>
  <c r="H816" i="6"/>
  <c r="D816" i="6"/>
  <c r="A816" i="6"/>
  <c r="AF815" i="6"/>
  <c r="AC815" i="6"/>
  <c r="AD815" i="6" s="1"/>
  <c r="Z815" i="6"/>
  <c r="V815" i="6"/>
  <c r="R815" i="6"/>
  <c r="AB815" i="6" s="1"/>
  <c r="N815" i="6"/>
  <c r="J815" i="6"/>
  <c r="I815" i="6"/>
  <c r="H815" i="6"/>
  <c r="D815" i="6"/>
  <c r="A815" i="6"/>
  <c r="AF814" i="6"/>
  <c r="AD814" i="6"/>
  <c r="AC814" i="6"/>
  <c r="Z814" i="6"/>
  <c r="V814" i="6"/>
  <c r="R814" i="6"/>
  <c r="N814" i="6"/>
  <c r="J814" i="6"/>
  <c r="I814" i="6"/>
  <c r="H814" i="6"/>
  <c r="D814" i="6"/>
  <c r="A814" i="6"/>
  <c r="AF813" i="6"/>
  <c r="AD813" i="6"/>
  <c r="AC813" i="6"/>
  <c r="Z813" i="6"/>
  <c r="AB813" i="6" s="1"/>
  <c r="V813" i="6"/>
  <c r="R813" i="6"/>
  <c r="N813" i="6"/>
  <c r="J813" i="6"/>
  <c r="I813" i="6"/>
  <c r="H813" i="6"/>
  <c r="D813" i="6"/>
  <c r="A813" i="6"/>
  <c r="AF812" i="6"/>
  <c r="AC812" i="6"/>
  <c r="AD812" i="6" s="1"/>
  <c r="AB812" i="6"/>
  <c r="Z812" i="6"/>
  <c r="V812" i="6"/>
  <c r="R812" i="6"/>
  <c r="N812" i="6"/>
  <c r="J812" i="6"/>
  <c r="I812" i="6"/>
  <c r="H812" i="6"/>
  <c r="D812" i="6"/>
  <c r="A812" i="6"/>
  <c r="AF811" i="6"/>
  <c r="AC811" i="6"/>
  <c r="AD811" i="6" s="1"/>
  <c r="Z811" i="6"/>
  <c r="AB811" i="6" s="1"/>
  <c r="V811" i="6"/>
  <c r="R811" i="6"/>
  <c r="N811" i="6"/>
  <c r="J811" i="6"/>
  <c r="I811" i="6"/>
  <c r="H811" i="6"/>
  <c r="D811" i="6"/>
  <c r="A811" i="6"/>
  <c r="AF810" i="6"/>
  <c r="AD810" i="6"/>
  <c r="AC810" i="6"/>
  <c r="Z810" i="6"/>
  <c r="V810" i="6"/>
  <c r="R810" i="6"/>
  <c r="AB810" i="6" s="1"/>
  <c r="N810" i="6"/>
  <c r="J810" i="6"/>
  <c r="I810" i="6"/>
  <c r="H810" i="6"/>
  <c r="D810" i="6"/>
  <c r="A810" i="6"/>
  <c r="AF809" i="6"/>
  <c r="AC809" i="6"/>
  <c r="AD809" i="6" s="1"/>
  <c r="Z809" i="6"/>
  <c r="V809" i="6"/>
  <c r="R809" i="6"/>
  <c r="AB809" i="6" s="1"/>
  <c r="N809" i="6"/>
  <c r="J809" i="6"/>
  <c r="I809" i="6"/>
  <c r="H809" i="6"/>
  <c r="D809" i="6"/>
  <c r="A809" i="6"/>
  <c r="AF808" i="6"/>
  <c r="AD808" i="6"/>
  <c r="AC808" i="6"/>
  <c r="Z808" i="6"/>
  <c r="V808" i="6"/>
  <c r="R808" i="6"/>
  <c r="N808" i="6"/>
  <c r="J808" i="6"/>
  <c r="I808" i="6"/>
  <c r="H808" i="6"/>
  <c r="D808" i="6"/>
  <c r="A808" i="6"/>
  <c r="AF807" i="6"/>
  <c r="AD807" i="6"/>
  <c r="AC807" i="6"/>
  <c r="Z807" i="6"/>
  <c r="AB807" i="6" s="1"/>
  <c r="V807" i="6"/>
  <c r="R807" i="6"/>
  <c r="N807" i="6"/>
  <c r="J807" i="6"/>
  <c r="I807" i="6"/>
  <c r="H807" i="6"/>
  <c r="D807" i="6"/>
  <c r="A807" i="6"/>
  <c r="AF806" i="6"/>
  <c r="AC806" i="6"/>
  <c r="AD806" i="6" s="1"/>
  <c r="AB806" i="6"/>
  <c r="Z806" i="6"/>
  <c r="V806" i="6"/>
  <c r="R806" i="6"/>
  <c r="N806" i="6"/>
  <c r="J806" i="6"/>
  <c r="I806" i="6"/>
  <c r="H806" i="6"/>
  <c r="D806" i="6"/>
  <c r="A806" i="6"/>
  <c r="AF805" i="6"/>
  <c r="AC805" i="6"/>
  <c r="AD805" i="6" s="1"/>
  <c r="Z805" i="6"/>
  <c r="AB805" i="6" s="1"/>
  <c r="V805" i="6"/>
  <c r="R805" i="6"/>
  <c r="N805" i="6"/>
  <c r="J805" i="6"/>
  <c r="I805" i="6"/>
  <c r="H805" i="6"/>
  <c r="D805" i="6"/>
  <c r="A805" i="6"/>
  <c r="AF804" i="6"/>
  <c r="AD804" i="6"/>
  <c r="AC804" i="6"/>
  <c r="Z804" i="6"/>
  <c r="V804" i="6"/>
  <c r="R804" i="6"/>
  <c r="AB804" i="6" s="1"/>
  <c r="N804" i="6"/>
  <c r="J804" i="6"/>
  <c r="I804" i="6"/>
  <c r="H804" i="6"/>
  <c r="D804" i="6"/>
  <c r="A804" i="6"/>
  <c r="AF803" i="6"/>
  <c r="AC803" i="6"/>
  <c r="AD803" i="6" s="1"/>
  <c r="Z803" i="6"/>
  <c r="V803" i="6"/>
  <c r="R803" i="6"/>
  <c r="AB803" i="6" s="1"/>
  <c r="N803" i="6"/>
  <c r="J803" i="6"/>
  <c r="I803" i="6"/>
  <c r="H803" i="6"/>
  <c r="D803" i="6"/>
  <c r="A803" i="6"/>
  <c r="AF802" i="6"/>
  <c r="AD802" i="6"/>
  <c r="AC802" i="6"/>
  <c r="Z802" i="6"/>
  <c r="V802" i="6"/>
  <c r="R802" i="6"/>
  <c r="N802" i="6"/>
  <c r="J802" i="6"/>
  <c r="I802" i="6"/>
  <c r="H802" i="6"/>
  <c r="D802" i="6"/>
  <c r="A802" i="6"/>
  <c r="AF801" i="6"/>
  <c r="AD801" i="6"/>
  <c r="AC801" i="6"/>
  <c r="Z801" i="6"/>
  <c r="AB801" i="6" s="1"/>
  <c r="V801" i="6"/>
  <c r="R801" i="6"/>
  <c r="N801" i="6"/>
  <c r="J801" i="6"/>
  <c r="I801" i="6"/>
  <c r="H801" i="6"/>
  <c r="D801" i="6"/>
  <c r="A801" i="6"/>
  <c r="AF800" i="6"/>
  <c r="AC800" i="6"/>
  <c r="AD800" i="6" s="1"/>
  <c r="AB800" i="6"/>
  <c r="Z800" i="6"/>
  <c r="V800" i="6"/>
  <c r="R800" i="6"/>
  <c r="N800" i="6"/>
  <c r="J800" i="6"/>
  <c r="I800" i="6"/>
  <c r="H800" i="6"/>
  <c r="D800" i="6"/>
  <c r="A800" i="6"/>
  <c r="AF799" i="6"/>
  <c r="AC799" i="6"/>
  <c r="AD799" i="6" s="1"/>
  <c r="Z799" i="6"/>
  <c r="AB799" i="6" s="1"/>
  <c r="V799" i="6"/>
  <c r="R799" i="6"/>
  <c r="N799" i="6"/>
  <c r="J799" i="6"/>
  <c r="I799" i="6"/>
  <c r="H799" i="6"/>
  <c r="D799" i="6"/>
  <c r="A799" i="6"/>
  <c r="AF798" i="6"/>
  <c r="AD798" i="6"/>
  <c r="AC798" i="6"/>
  <c r="Z798" i="6"/>
  <c r="V798" i="6"/>
  <c r="R798" i="6"/>
  <c r="AB798" i="6" s="1"/>
  <c r="N798" i="6"/>
  <c r="J798" i="6"/>
  <c r="I798" i="6"/>
  <c r="H798" i="6"/>
  <c r="D798" i="6"/>
  <c r="A798" i="6"/>
  <c r="AF797" i="6"/>
  <c r="AC797" i="6"/>
  <c r="AD797" i="6" s="1"/>
  <c r="Z797" i="6"/>
  <c r="V797" i="6"/>
  <c r="R797" i="6"/>
  <c r="AB797" i="6" s="1"/>
  <c r="N797" i="6"/>
  <c r="J797" i="6"/>
  <c r="I797" i="6"/>
  <c r="H797" i="6"/>
  <c r="D797" i="6"/>
  <c r="A797" i="6"/>
  <c r="AF796" i="6"/>
  <c r="AD796" i="6"/>
  <c r="AC796" i="6"/>
  <c r="Z796" i="6"/>
  <c r="V796" i="6"/>
  <c r="R796" i="6"/>
  <c r="N796" i="6"/>
  <c r="J796" i="6"/>
  <c r="I796" i="6"/>
  <c r="H796" i="6"/>
  <c r="D796" i="6"/>
  <c r="A796" i="6"/>
  <c r="AF795" i="6"/>
  <c r="AD795" i="6"/>
  <c r="AC795" i="6"/>
  <c r="Z795" i="6"/>
  <c r="AB795" i="6" s="1"/>
  <c r="V795" i="6"/>
  <c r="R795" i="6"/>
  <c r="N795" i="6"/>
  <c r="J795" i="6"/>
  <c r="I795" i="6"/>
  <c r="H795" i="6"/>
  <c r="D795" i="6"/>
  <c r="A795" i="6"/>
  <c r="AF794" i="6"/>
  <c r="AC794" i="6"/>
  <c r="AD794" i="6" s="1"/>
  <c r="AB794" i="6"/>
  <c r="Z794" i="6"/>
  <c r="V794" i="6"/>
  <c r="R794" i="6"/>
  <c r="N794" i="6"/>
  <c r="J794" i="6"/>
  <c r="I794" i="6"/>
  <c r="H794" i="6"/>
  <c r="D794" i="6"/>
  <c r="A794" i="6"/>
  <c r="AF793" i="6"/>
  <c r="AC793" i="6"/>
  <c r="AD793" i="6" s="1"/>
  <c r="Z793" i="6"/>
  <c r="AB793" i="6" s="1"/>
  <c r="V793" i="6"/>
  <c r="R793" i="6"/>
  <c r="N793" i="6"/>
  <c r="J793" i="6"/>
  <c r="I793" i="6"/>
  <c r="H793" i="6"/>
  <c r="D793" i="6"/>
  <c r="A793" i="6"/>
  <c r="AF792" i="6"/>
  <c r="AD792" i="6"/>
  <c r="AC792" i="6"/>
  <c r="Z792" i="6"/>
  <c r="V792" i="6"/>
  <c r="R792" i="6"/>
  <c r="AB792" i="6" s="1"/>
  <c r="N792" i="6"/>
  <c r="J792" i="6"/>
  <c r="I792" i="6"/>
  <c r="H792" i="6"/>
  <c r="D792" i="6"/>
  <c r="A792" i="6"/>
  <c r="AF791" i="6"/>
  <c r="AC791" i="6"/>
  <c r="AD791" i="6" s="1"/>
  <c r="Z791" i="6"/>
  <c r="V791" i="6"/>
  <c r="R791" i="6"/>
  <c r="N791" i="6"/>
  <c r="J791" i="6"/>
  <c r="I791" i="6"/>
  <c r="H791" i="6"/>
  <c r="D791" i="6"/>
  <c r="A791" i="6"/>
  <c r="AF790" i="6"/>
  <c r="AD790" i="6"/>
  <c r="AC790" i="6"/>
  <c r="Z790" i="6"/>
  <c r="V790" i="6"/>
  <c r="R790" i="6"/>
  <c r="N790" i="6"/>
  <c r="J790" i="6"/>
  <c r="I790" i="6"/>
  <c r="H790" i="6"/>
  <c r="D790" i="6"/>
  <c r="A790" i="6"/>
  <c r="AF789" i="6"/>
  <c r="AD789" i="6"/>
  <c r="AC789" i="6"/>
  <c r="Z789" i="6"/>
  <c r="AB789" i="6" s="1"/>
  <c r="V789" i="6"/>
  <c r="R789" i="6"/>
  <c r="N789" i="6"/>
  <c r="J789" i="6"/>
  <c r="I789" i="6"/>
  <c r="H789" i="6"/>
  <c r="D789" i="6"/>
  <c r="A789" i="6"/>
  <c r="AF788" i="6"/>
  <c r="AC788" i="6"/>
  <c r="AD788" i="6" s="1"/>
  <c r="AB788" i="6"/>
  <c r="Z788" i="6"/>
  <c r="V788" i="6"/>
  <c r="R788" i="6"/>
  <c r="N788" i="6"/>
  <c r="J788" i="6"/>
  <c r="I788" i="6"/>
  <c r="H788" i="6"/>
  <c r="D788" i="6"/>
  <c r="A788" i="6"/>
  <c r="AF787" i="6"/>
  <c r="AD787" i="6"/>
  <c r="AC787" i="6"/>
  <c r="Z787" i="6"/>
  <c r="AB787" i="6" s="1"/>
  <c r="V787" i="6"/>
  <c r="R787" i="6"/>
  <c r="N787" i="6"/>
  <c r="J787" i="6"/>
  <c r="I787" i="6"/>
  <c r="H787" i="6"/>
  <c r="D787" i="6"/>
  <c r="A787" i="6"/>
  <c r="AF786" i="6"/>
  <c r="AD786" i="6"/>
  <c r="AC786" i="6"/>
  <c r="Z786" i="6"/>
  <c r="V786" i="6"/>
  <c r="R786" i="6"/>
  <c r="AB786" i="6" s="1"/>
  <c r="N786" i="6"/>
  <c r="J786" i="6"/>
  <c r="I786" i="6"/>
  <c r="H786" i="6"/>
  <c r="D786" i="6"/>
  <c r="A786" i="6"/>
  <c r="AF785" i="6"/>
  <c r="AC785" i="6"/>
  <c r="AD785" i="6" s="1"/>
  <c r="Z785" i="6"/>
  <c r="V785" i="6"/>
  <c r="R785" i="6"/>
  <c r="N785" i="6"/>
  <c r="J785" i="6"/>
  <c r="I785" i="6"/>
  <c r="H785" i="6"/>
  <c r="D785" i="6"/>
  <c r="A785" i="6"/>
  <c r="AF784" i="6"/>
  <c r="AD784" i="6"/>
  <c r="AC784" i="6"/>
  <c r="Z784" i="6"/>
  <c r="V784" i="6"/>
  <c r="R784" i="6"/>
  <c r="N784" i="6"/>
  <c r="J784" i="6"/>
  <c r="I784" i="6"/>
  <c r="H784" i="6"/>
  <c r="D784" i="6"/>
  <c r="A784" i="6"/>
  <c r="AF783" i="6"/>
  <c r="AD783" i="6"/>
  <c r="AC783" i="6"/>
  <c r="Z783" i="6"/>
  <c r="AB783" i="6" s="1"/>
  <c r="V783" i="6"/>
  <c r="R783" i="6"/>
  <c r="N783" i="6"/>
  <c r="J783" i="6"/>
  <c r="I783" i="6"/>
  <c r="H783" i="6"/>
  <c r="D783" i="6"/>
  <c r="A783" i="6"/>
  <c r="AF782" i="6"/>
  <c r="AC782" i="6"/>
  <c r="AD782" i="6" s="1"/>
  <c r="AB782" i="6"/>
  <c r="Z782" i="6"/>
  <c r="V782" i="6"/>
  <c r="R782" i="6"/>
  <c r="N782" i="6"/>
  <c r="J782" i="6"/>
  <c r="I782" i="6"/>
  <c r="H782" i="6"/>
  <c r="D782" i="6"/>
  <c r="A782" i="6"/>
  <c r="AF781" i="6"/>
  <c r="AD781" i="6"/>
  <c r="AC781" i="6"/>
  <c r="Z781" i="6"/>
  <c r="AB781" i="6" s="1"/>
  <c r="V781" i="6"/>
  <c r="R781" i="6"/>
  <c r="N781" i="6"/>
  <c r="J781" i="6"/>
  <c r="I781" i="6"/>
  <c r="H781" i="6"/>
  <c r="D781" i="6"/>
  <c r="A781" i="6"/>
  <c r="AF780" i="6"/>
  <c r="AD780" i="6"/>
  <c r="AC780" i="6"/>
  <c r="Z780" i="6"/>
  <c r="V780" i="6"/>
  <c r="R780" i="6"/>
  <c r="AB780" i="6" s="1"/>
  <c r="N780" i="6"/>
  <c r="J780" i="6"/>
  <c r="I780" i="6"/>
  <c r="H780" i="6"/>
  <c r="D780" i="6"/>
  <c r="A780" i="6"/>
  <c r="AF779" i="6"/>
  <c r="AC779" i="6"/>
  <c r="AD779" i="6" s="1"/>
  <c r="Z779" i="6"/>
  <c r="V779" i="6"/>
  <c r="R779" i="6"/>
  <c r="N779" i="6"/>
  <c r="J779" i="6"/>
  <c r="I779" i="6"/>
  <c r="H779" i="6"/>
  <c r="D779" i="6"/>
  <c r="A779" i="6"/>
  <c r="AF778" i="6"/>
  <c r="AD778" i="6"/>
  <c r="AC778" i="6"/>
  <c r="Z778" i="6"/>
  <c r="V778" i="6"/>
  <c r="R778" i="6"/>
  <c r="N778" i="6"/>
  <c r="J778" i="6"/>
  <c r="I778" i="6"/>
  <c r="H778" i="6"/>
  <c r="D778" i="6"/>
  <c r="A778" i="6"/>
  <c r="AF777" i="6"/>
  <c r="AD777" i="6"/>
  <c r="AC777" i="6"/>
  <c r="Z777" i="6"/>
  <c r="V777" i="6"/>
  <c r="R777" i="6"/>
  <c r="AB777" i="6" s="1"/>
  <c r="N777" i="6"/>
  <c r="J777" i="6"/>
  <c r="I777" i="6"/>
  <c r="H777" i="6"/>
  <c r="D777" i="6"/>
  <c r="A777" i="6"/>
  <c r="AF776" i="6"/>
  <c r="AC776" i="6"/>
  <c r="AD776" i="6" s="1"/>
  <c r="AB776" i="6"/>
  <c r="Z776" i="6"/>
  <c r="V776" i="6"/>
  <c r="R776" i="6"/>
  <c r="N776" i="6"/>
  <c r="J776" i="6"/>
  <c r="I776" i="6"/>
  <c r="H776" i="6"/>
  <c r="D776" i="6"/>
  <c r="A776" i="6"/>
  <c r="AF775" i="6"/>
  <c r="AD775" i="6"/>
  <c r="AC775" i="6"/>
  <c r="AB775" i="6"/>
  <c r="Z775" i="6"/>
  <c r="V775" i="6"/>
  <c r="R775" i="6"/>
  <c r="N775" i="6"/>
  <c r="J775" i="6"/>
  <c r="I775" i="6"/>
  <c r="H775" i="6"/>
  <c r="D775" i="6"/>
  <c r="A775" i="6"/>
  <c r="AF774" i="6"/>
  <c r="AD774" i="6"/>
  <c r="AC774" i="6"/>
  <c r="Z774" i="6"/>
  <c r="V774" i="6"/>
  <c r="R774" i="6"/>
  <c r="AB774" i="6" s="1"/>
  <c r="N774" i="6"/>
  <c r="J774" i="6"/>
  <c r="I774" i="6"/>
  <c r="H774" i="6"/>
  <c r="D774" i="6"/>
  <c r="A774" i="6"/>
  <c r="AF773" i="6"/>
  <c r="AD773" i="6"/>
  <c r="AC773" i="6"/>
  <c r="Z773" i="6"/>
  <c r="V773" i="6"/>
  <c r="R773" i="6"/>
  <c r="AB773" i="6" s="1"/>
  <c r="N773" i="6"/>
  <c r="J773" i="6"/>
  <c r="I773" i="6"/>
  <c r="H773" i="6"/>
  <c r="D773" i="6"/>
  <c r="A773" i="6"/>
  <c r="AF772" i="6"/>
  <c r="AD772" i="6"/>
  <c r="AC772" i="6"/>
  <c r="Z772" i="6"/>
  <c r="V772" i="6"/>
  <c r="R772" i="6"/>
  <c r="AB772" i="6" s="1"/>
  <c r="N772" i="6"/>
  <c r="J772" i="6"/>
  <c r="I772" i="6"/>
  <c r="H772" i="6"/>
  <c r="D772" i="6"/>
  <c r="A772" i="6"/>
  <c r="AF771" i="6"/>
  <c r="AD771" i="6"/>
  <c r="AC771" i="6"/>
  <c r="Z771" i="6"/>
  <c r="V771" i="6"/>
  <c r="R771" i="6"/>
  <c r="AB771" i="6" s="1"/>
  <c r="N771" i="6"/>
  <c r="J771" i="6"/>
  <c r="I771" i="6"/>
  <c r="H771" i="6"/>
  <c r="D771" i="6"/>
  <c r="A771" i="6"/>
  <c r="AF770" i="6"/>
  <c r="AC770" i="6"/>
  <c r="AD770" i="6" s="1"/>
  <c r="AB770" i="6"/>
  <c r="Z770" i="6"/>
  <c r="V770" i="6"/>
  <c r="R770" i="6"/>
  <c r="N770" i="6"/>
  <c r="J770" i="6"/>
  <c r="I770" i="6"/>
  <c r="H770" i="6"/>
  <c r="D770" i="6"/>
  <c r="A770" i="6"/>
  <c r="AF769" i="6"/>
  <c r="AC769" i="6"/>
  <c r="AD769" i="6" s="1"/>
  <c r="Z769" i="6"/>
  <c r="AB769" i="6" s="1"/>
  <c r="V769" i="6"/>
  <c r="R769" i="6"/>
  <c r="N769" i="6"/>
  <c r="J769" i="6"/>
  <c r="I769" i="6"/>
  <c r="H769" i="6"/>
  <c r="D769" i="6"/>
  <c r="A769" i="6"/>
  <c r="AF768" i="6"/>
  <c r="AD768" i="6"/>
  <c r="AC768" i="6"/>
  <c r="AB768" i="6"/>
  <c r="Z768" i="6"/>
  <c r="V768" i="6"/>
  <c r="R768" i="6"/>
  <c r="N768" i="6"/>
  <c r="J768" i="6"/>
  <c r="I768" i="6"/>
  <c r="H768" i="6"/>
  <c r="D768" i="6"/>
  <c r="A768" i="6"/>
  <c r="AF767" i="6"/>
  <c r="AC767" i="6"/>
  <c r="AD767" i="6" s="1"/>
  <c r="Z767" i="6"/>
  <c r="V767" i="6"/>
  <c r="R767" i="6"/>
  <c r="AB767" i="6" s="1"/>
  <c r="N767" i="6"/>
  <c r="J767" i="6"/>
  <c r="I767" i="6"/>
  <c r="H767" i="6"/>
  <c r="D767" i="6"/>
  <c r="A767" i="6"/>
  <c r="AF766" i="6"/>
  <c r="AD766" i="6"/>
  <c r="AC766" i="6"/>
  <c r="Z766" i="6"/>
  <c r="V766" i="6"/>
  <c r="R766" i="6"/>
  <c r="AB766" i="6" s="1"/>
  <c r="N766" i="6"/>
  <c r="J766" i="6"/>
  <c r="I766" i="6"/>
  <c r="H766" i="6"/>
  <c r="D766" i="6"/>
  <c r="A766" i="6"/>
  <c r="AF765" i="6"/>
  <c r="AD765" i="6"/>
  <c r="AC765" i="6"/>
  <c r="Z765" i="6"/>
  <c r="V765" i="6"/>
  <c r="AB765" i="6" s="1"/>
  <c r="R765" i="6"/>
  <c r="N765" i="6"/>
  <c r="J765" i="6"/>
  <c r="I765" i="6"/>
  <c r="H765" i="6"/>
  <c r="D765" i="6"/>
  <c r="A765" i="6"/>
  <c r="AF764" i="6"/>
  <c r="AD764" i="6"/>
  <c r="AC764" i="6"/>
  <c r="Z764" i="6"/>
  <c r="V764" i="6"/>
  <c r="R764" i="6"/>
  <c r="AB764" i="6" s="1"/>
  <c r="N764" i="6"/>
  <c r="J764" i="6"/>
  <c r="I764" i="6"/>
  <c r="H764" i="6"/>
  <c r="D764" i="6"/>
  <c r="A764" i="6"/>
  <c r="AF763" i="6"/>
  <c r="AD763" i="6"/>
  <c r="AC763" i="6"/>
  <c r="Z763" i="6"/>
  <c r="V763" i="6"/>
  <c r="R763" i="6"/>
  <c r="AB763" i="6" s="1"/>
  <c r="N763" i="6"/>
  <c r="J763" i="6"/>
  <c r="I763" i="6"/>
  <c r="H763" i="6"/>
  <c r="D763" i="6"/>
  <c r="A763" i="6"/>
  <c r="AF762" i="6"/>
  <c r="AC762" i="6"/>
  <c r="AD762" i="6" s="1"/>
  <c r="Z762" i="6"/>
  <c r="V762" i="6"/>
  <c r="R762" i="6"/>
  <c r="AB762" i="6" s="1"/>
  <c r="N762" i="6"/>
  <c r="J762" i="6"/>
  <c r="I762" i="6"/>
  <c r="H762" i="6"/>
  <c r="D762" i="6"/>
  <c r="A762" i="6"/>
  <c r="AF761" i="6"/>
  <c r="AD761" i="6"/>
  <c r="AC761" i="6"/>
  <c r="AB761" i="6"/>
  <c r="Z761" i="6"/>
  <c r="V761" i="6"/>
  <c r="R761" i="6"/>
  <c r="N761" i="6"/>
  <c r="J761" i="6"/>
  <c r="I761" i="6"/>
  <c r="H761" i="6"/>
  <c r="D761" i="6"/>
  <c r="A761" i="6"/>
  <c r="AF760" i="6"/>
  <c r="AC760" i="6"/>
  <c r="AD760" i="6" s="1"/>
  <c r="Z760" i="6"/>
  <c r="V760" i="6"/>
  <c r="R760" i="6"/>
  <c r="AB760" i="6" s="1"/>
  <c r="N760" i="6"/>
  <c r="J760" i="6"/>
  <c r="I760" i="6"/>
  <c r="H760" i="6"/>
  <c r="D760" i="6"/>
  <c r="A760" i="6"/>
  <c r="AF759" i="6"/>
  <c r="AD759" i="6"/>
  <c r="AC759" i="6"/>
  <c r="Z759" i="6"/>
  <c r="V759" i="6"/>
  <c r="AB759" i="6" s="1"/>
  <c r="R759" i="6"/>
  <c r="N759" i="6"/>
  <c r="J759" i="6"/>
  <c r="I759" i="6"/>
  <c r="H759" i="6"/>
  <c r="D759" i="6"/>
  <c r="A759" i="6"/>
  <c r="AF758" i="6"/>
  <c r="AD758" i="6"/>
  <c r="AC758" i="6"/>
  <c r="Z758" i="6"/>
  <c r="V758" i="6"/>
  <c r="R758" i="6"/>
  <c r="AB758" i="6" s="1"/>
  <c r="N758" i="6"/>
  <c r="J758" i="6"/>
  <c r="I758" i="6"/>
  <c r="H758" i="6"/>
  <c r="D758" i="6"/>
  <c r="A758" i="6"/>
  <c r="AF757" i="6"/>
  <c r="AD757" i="6"/>
  <c r="AC757" i="6"/>
  <c r="Z757" i="6"/>
  <c r="V757" i="6"/>
  <c r="R757" i="6"/>
  <c r="AB757" i="6" s="1"/>
  <c r="N757" i="6"/>
  <c r="J757" i="6"/>
  <c r="I757" i="6"/>
  <c r="H757" i="6"/>
  <c r="D757" i="6"/>
  <c r="A757" i="6"/>
  <c r="AF756" i="6"/>
  <c r="AC756" i="6"/>
  <c r="AD756" i="6" s="1"/>
  <c r="Z756" i="6"/>
  <c r="V756" i="6"/>
  <c r="R756" i="6"/>
  <c r="AB756" i="6" s="1"/>
  <c r="N756" i="6"/>
  <c r="J756" i="6"/>
  <c r="I756" i="6"/>
  <c r="H756" i="6"/>
  <c r="D756" i="6"/>
  <c r="A756" i="6"/>
  <c r="AF755" i="6"/>
  <c r="AD755" i="6"/>
  <c r="AC755" i="6"/>
  <c r="AB755" i="6"/>
  <c r="Z755" i="6"/>
  <c r="V755" i="6"/>
  <c r="R755" i="6"/>
  <c r="N755" i="6"/>
  <c r="J755" i="6"/>
  <c r="I755" i="6"/>
  <c r="H755" i="6"/>
  <c r="D755" i="6"/>
  <c r="A755" i="6"/>
  <c r="AF754" i="6"/>
  <c r="AC754" i="6"/>
  <c r="AD754" i="6" s="1"/>
  <c r="Z754" i="6"/>
  <c r="V754" i="6"/>
  <c r="R754" i="6"/>
  <c r="AB754" i="6" s="1"/>
  <c r="N754" i="6"/>
  <c r="J754" i="6"/>
  <c r="I754" i="6"/>
  <c r="H754" i="6"/>
  <c r="D754" i="6"/>
  <c r="A754" i="6"/>
  <c r="AF753" i="6"/>
  <c r="AD753" i="6"/>
  <c r="AC753" i="6"/>
  <c r="Z753" i="6"/>
  <c r="V753" i="6"/>
  <c r="AB753" i="6" s="1"/>
  <c r="R753" i="6"/>
  <c r="N753" i="6"/>
  <c r="J753" i="6"/>
  <c r="I753" i="6"/>
  <c r="H753" i="6"/>
  <c r="D753" i="6"/>
  <c r="A753" i="6"/>
  <c r="AF752" i="6"/>
  <c r="AD752" i="6"/>
  <c r="AC752" i="6"/>
  <c r="Z752" i="6"/>
  <c r="V752" i="6"/>
  <c r="R752" i="6"/>
  <c r="AB752" i="6" s="1"/>
  <c r="N752" i="6"/>
  <c r="J752" i="6"/>
  <c r="I752" i="6"/>
  <c r="H752" i="6"/>
  <c r="D752" i="6"/>
  <c r="A752" i="6"/>
  <c r="AF751" i="6"/>
  <c r="AD751" i="6"/>
  <c r="AC751" i="6"/>
  <c r="Z751" i="6"/>
  <c r="V751" i="6"/>
  <c r="R751" i="6"/>
  <c r="AB751" i="6" s="1"/>
  <c r="N751" i="6"/>
  <c r="J751" i="6"/>
  <c r="I751" i="6"/>
  <c r="H751" i="6"/>
  <c r="D751" i="6"/>
  <c r="A751" i="6"/>
  <c r="AF750" i="6"/>
  <c r="AC750" i="6"/>
  <c r="AD750" i="6" s="1"/>
  <c r="Z750" i="6"/>
  <c r="V750" i="6"/>
  <c r="R750" i="6"/>
  <c r="AB750" i="6" s="1"/>
  <c r="N750" i="6"/>
  <c r="J750" i="6"/>
  <c r="I750" i="6"/>
  <c r="H750" i="6"/>
  <c r="D750" i="6"/>
  <c r="A750" i="6"/>
  <c r="AF749" i="6"/>
  <c r="AD749" i="6"/>
  <c r="AC749" i="6"/>
  <c r="AB749" i="6"/>
  <c r="Z749" i="6"/>
  <c r="V749" i="6"/>
  <c r="R749" i="6"/>
  <c r="N749" i="6"/>
  <c r="J749" i="6"/>
  <c r="I749" i="6"/>
  <c r="H749" i="6"/>
  <c r="D749" i="6"/>
  <c r="A749" i="6"/>
  <c r="AF748" i="6"/>
  <c r="AC748" i="6"/>
  <c r="AD748" i="6" s="1"/>
  <c r="Z748" i="6"/>
  <c r="V748" i="6"/>
  <c r="R748" i="6"/>
  <c r="AB748" i="6" s="1"/>
  <c r="N748" i="6"/>
  <c r="J748" i="6"/>
  <c r="I748" i="6"/>
  <c r="H748" i="6"/>
  <c r="D748" i="6"/>
  <c r="A748" i="6"/>
  <c r="AF747" i="6"/>
  <c r="AD747" i="6"/>
  <c r="AC747" i="6"/>
  <c r="Z747" i="6"/>
  <c r="V747" i="6"/>
  <c r="AB747" i="6" s="1"/>
  <c r="R747" i="6"/>
  <c r="N747" i="6"/>
  <c r="J747" i="6"/>
  <c r="I747" i="6"/>
  <c r="H747" i="6"/>
  <c r="D747" i="6"/>
  <c r="A747" i="6"/>
  <c r="AF746" i="6"/>
  <c r="AD746" i="6"/>
  <c r="AC746" i="6"/>
  <c r="Z746" i="6"/>
  <c r="V746" i="6"/>
  <c r="R746" i="6"/>
  <c r="AB746" i="6" s="1"/>
  <c r="N746" i="6"/>
  <c r="J746" i="6"/>
  <c r="I746" i="6"/>
  <c r="H746" i="6"/>
  <c r="D746" i="6"/>
  <c r="A746" i="6"/>
  <c r="AF745" i="6"/>
  <c r="AD745" i="6"/>
  <c r="AC745" i="6"/>
  <c r="Z745" i="6"/>
  <c r="V745" i="6"/>
  <c r="R745" i="6"/>
  <c r="AB745" i="6" s="1"/>
  <c r="N745" i="6"/>
  <c r="J745" i="6"/>
  <c r="I745" i="6"/>
  <c r="H745" i="6"/>
  <c r="D745" i="6"/>
  <c r="A745" i="6"/>
  <c r="AF744" i="6"/>
  <c r="AC744" i="6"/>
  <c r="AD744" i="6" s="1"/>
  <c r="Z744" i="6"/>
  <c r="V744" i="6"/>
  <c r="R744" i="6"/>
  <c r="AB744" i="6" s="1"/>
  <c r="N744" i="6"/>
  <c r="J744" i="6"/>
  <c r="I744" i="6"/>
  <c r="H744" i="6"/>
  <c r="D744" i="6"/>
  <c r="A744" i="6"/>
  <c r="AF743" i="6"/>
  <c r="AD743" i="6"/>
  <c r="AC743" i="6"/>
  <c r="AB743" i="6"/>
  <c r="Z743" i="6"/>
  <c r="V743" i="6"/>
  <c r="R743" i="6"/>
  <c r="N743" i="6"/>
  <c r="J743" i="6"/>
  <c r="I743" i="6"/>
  <c r="H743" i="6"/>
  <c r="D743" i="6"/>
  <c r="A743" i="6"/>
  <c r="AF742" i="6"/>
  <c r="AC742" i="6"/>
  <c r="AD742" i="6" s="1"/>
  <c r="Z742" i="6"/>
  <c r="V742" i="6"/>
  <c r="R742" i="6"/>
  <c r="AB742" i="6" s="1"/>
  <c r="N742" i="6"/>
  <c r="J742" i="6"/>
  <c r="I742" i="6"/>
  <c r="H742" i="6"/>
  <c r="D742" i="6"/>
  <c r="A742" i="6"/>
  <c r="AF741" i="6"/>
  <c r="AD741" i="6"/>
  <c r="AC741" i="6"/>
  <c r="Z741" i="6"/>
  <c r="V741" i="6"/>
  <c r="AB741" i="6" s="1"/>
  <c r="R741" i="6"/>
  <c r="N741" i="6"/>
  <c r="J741" i="6"/>
  <c r="I741" i="6"/>
  <c r="H741" i="6"/>
  <c r="D741" i="6"/>
  <c r="A741" i="6"/>
  <c r="AF740" i="6"/>
  <c r="AD740" i="6"/>
  <c r="AC740" i="6"/>
  <c r="Z740" i="6"/>
  <c r="V740" i="6"/>
  <c r="R740" i="6"/>
  <c r="AB740" i="6" s="1"/>
  <c r="N740" i="6"/>
  <c r="J740" i="6"/>
  <c r="I740" i="6"/>
  <c r="H740" i="6"/>
  <c r="D740" i="6"/>
  <c r="A740" i="6"/>
  <c r="AF739" i="6"/>
  <c r="AD739" i="6"/>
  <c r="AC739" i="6"/>
  <c r="Z739" i="6"/>
  <c r="V739" i="6"/>
  <c r="R739" i="6"/>
  <c r="AB739" i="6" s="1"/>
  <c r="N739" i="6"/>
  <c r="J739" i="6"/>
  <c r="I739" i="6"/>
  <c r="H739" i="6"/>
  <c r="D739" i="6"/>
  <c r="A739" i="6"/>
  <c r="AF738" i="6"/>
  <c r="AC738" i="6"/>
  <c r="AD738" i="6" s="1"/>
  <c r="Z738" i="6"/>
  <c r="V738" i="6"/>
  <c r="R738" i="6"/>
  <c r="AB738" i="6" s="1"/>
  <c r="N738" i="6"/>
  <c r="J738" i="6"/>
  <c r="I738" i="6"/>
  <c r="H738" i="6"/>
  <c r="D738" i="6"/>
  <c r="A738" i="6"/>
  <c r="AF737" i="6"/>
  <c r="AD737" i="6"/>
  <c r="AC737" i="6"/>
  <c r="AB737" i="6"/>
  <c r="Z737" i="6"/>
  <c r="V737" i="6"/>
  <c r="R737" i="6"/>
  <c r="N737" i="6"/>
  <c r="J737" i="6"/>
  <c r="I737" i="6"/>
  <c r="H737" i="6"/>
  <c r="D737" i="6"/>
  <c r="A737" i="6"/>
  <c r="AF736" i="6"/>
  <c r="AC736" i="6"/>
  <c r="AD736" i="6" s="1"/>
  <c r="Z736" i="6"/>
  <c r="V736" i="6"/>
  <c r="R736" i="6"/>
  <c r="AB736" i="6" s="1"/>
  <c r="N736" i="6"/>
  <c r="J736" i="6"/>
  <c r="I736" i="6"/>
  <c r="H736" i="6"/>
  <c r="D736" i="6"/>
  <c r="A736" i="6"/>
  <c r="AF735" i="6"/>
  <c r="AD735" i="6"/>
  <c r="AC735" i="6"/>
  <c r="Z735" i="6"/>
  <c r="V735" i="6"/>
  <c r="AB735" i="6" s="1"/>
  <c r="R735" i="6"/>
  <c r="N735" i="6"/>
  <c r="J735" i="6"/>
  <c r="I735" i="6"/>
  <c r="H735" i="6"/>
  <c r="D735" i="6"/>
  <c r="A735" i="6"/>
  <c r="AF734" i="6"/>
  <c r="AD734" i="6"/>
  <c r="AC734" i="6"/>
  <c r="Z734" i="6"/>
  <c r="V734" i="6"/>
  <c r="R734" i="6"/>
  <c r="AB734" i="6" s="1"/>
  <c r="N734" i="6"/>
  <c r="J734" i="6"/>
  <c r="I734" i="6"/>
  <c r="H734" i="6"/>
  <c r="D734" i="6"/>
  <c r="A734" i="6"/>
  <c r="AF733" i="6"/>
  <c r="AD733" i="6"/>
  <c r="AC733" i="6"/>
  <c r="Z733" i="6"/>
  <c r="V733" i="6"/>
  <c r="R733" i="6"/>
  <c r="AB733" i="6" s="1"/>
  <c r="N733" i="6"/>
  <c r="J733" i="6"/>
  <c r="I733" i="6"/>
  <c r="H733" i="6"/>
  <c r="D733" i="6"/>
  <c r="A733" i="6"/>
  <c r="AF732" i="6"/>
  <c r="AC732" i="6"/>
  <c r="AD732" i="6" s="1"/>
  <c r="Z732" i="6"/>
  <c r="V732" i="6"/>
  <c r="R732" i="6"/>
  <c r="AB732" i="6" s="1"/>
  <c r="N732" i="6"/>
  <c r="J732" i="6"/>
  <c r="I732" i="6"/>
  <c r="H732" i="6"/>
  <c r="D732" i="6"/>
  <c r="A732" i="6"/>
  <c r="AF731" i="6"/>
  <c r="AD731" i="6"/>
  <c r="AC731" i="6"/>
  <c r="AB731" i="6"/>
  <c r="Z731" i="6"/>
  <c r="V731" i="6"/>
  <c r="R731" i="6"/>
  <c r="N731" i="6"/>
  <c r="J731" i="6"/>
  <c r="I731" i="6"/>
  <c r="H731" i="6"/>
  <c r="D731" i="6"/>
  <c r="A731" i="6"/>
  <c r="AF730" i="6"/>
  <c r="AC730" i="6"/>
  <c r="AD730" i="6" s="1"/>
  <c r="Z730" i="6"/>
  <c r="V730" i="6"/>
  <c r="R730" i="6"/>
  <c r="AB730" i="6" s="1"/>
  <c r="N730" i="6"/>
  <c r="J730" i="6"/>
  <c r="I730" i="6"/>
  <c r="H730" i="6"/>
  <c r="D730" i="6"/>
  <c r="A730" i="6"/>
  <c r="AF729" i="6"/>
  <c r="AD729" i="6"/>
  <c r="AC729" i="6"/>
  <c r="Z729" i="6"/>
  <c r="V729" i="6"/>
  <c r="AB729" i="6" s="1"/>
  <c r="R729" i="6"/>
  <c r="N729" i="6"/>
  <c r="J729" i="6"/>
  <c r="I729" i="6"/>
  <c r="H729" i="6"/>
  <c r="D729" i="6"/>
  <c r="A729" i="6"/>
  <c r="AF728" i="6"/>
  <c r="AD728" i="6"/>
  <c r="AC728" i="6"/>
  <c r="Z728" i="6"/>
  <c r="V728" i="6"/>
  <c r="R728" i="6"/>
  <c r="AB728" i="6" s="1"/>
  <c r="N728" i="6"/>
  <c r="J728" i="6"/>
  <c r="I728" i="6"/>
  <c r="H728" i="6"/>
  <c r="D728" i="6"/>
  <c r="A728" i="6"/>
  <c r="AF727" i="6"/>
  <c r="AD727" i="6"/>
  <c r="AC727" i="6"/>
  <c r="Z727" i="6"/>
  <c r="V727" i="6"/>
  <c r="R727" i="6"/>
  <c r="AB727" i="6" s="1"/>
  <c r="N727" i="6"/>
  <c r="J727" i="6"/>
  <c r="I727" i="6"/>
  <c r="H727" i="6"/>
  <c r="D727" i="6"/>
  <c r="A727" i="6"/>
  <c r="AF726" i="6"/>
  <c r="AC726" i="6"/>
  <c r="AD726" i="6" s="1"/>
  <c r="Z726" i="6"/>
  <c r="V726" i="6"/>
  <c r="R726" i="6"/>
  <c r="AB726" i="6" s="1"/>
  <c r="N726" i="6"/>
  <c r="J726" i="6"/>
  <c r="I726" i="6"/>
  <c r="H726" i="6"/>
  <c r="D726" i="6"/>
  <c r="A726" i="6"/>
  <c r="AF725" i="6"/>
  <c r="AD725" i="6"/>
  <c r="AC725" i="6"/>
  <c r="AB725" i="6"/>
  <c r="Z725" i="6"/>
  <c r="V725" i="6"/>
  <c r="R725" i="6"/>
  <c r="N725" i="6"/>
  <c r="J725" i="6"/>
  <c r="I725" i="6"/>
  <c r="H725" i="6"/>
  <c r="D725" i="6"/>
  <c r="A725" i="6"/>
  <c r="AF724" i="6"/>
  <c r="AC724" i="6"/>
  <c r="AD724" i="6" s="1"/>
  <c r="Z724" i="6"/>
  <c r="V724" i="6"/>
  <c r="R724" i="6"/>
  <c r="AB724" i="6" s="1"/>
  <c r="N724" i="6"/>
  <c r="J724" i="6"/>
  <c r="I724" i="6"/>
  <c r="H724" i="6"/>
  <c r="D724" i="6"/>
  <c r="A724" i="6"/>
  <c r="AF723" i="6"/>
  <c r="AD723" i="6"/>
  <c r="AC723" i="6"/>
  <c r="Z723" i="6"/>
  <c r="V723" i="6"/>
  <c r="AB723" i="6" s="1"/>
  <c r="R723" i="6"/>
  <c r="N723" i="6"/>
  <c r="J723" i="6"/>
  <c r="I723" i="6"/>
  <c r="H723" i="6"/>
  <c r="D723" i="6"/>
  <c r="A723" i="6"/>
  <c r="AF722" i="6"/>
  <c r="AD722" i="6"/>
  <c r="AC722" i="6"/>
  <c r="Z722" i="6"/>
  <c r="V722" i="6"/>
  <c r="R722" i="6"/>
  <c r="AB722" i="6" s="1"/>
  <c r="N722" i="6"/>
  <c r="J722" i="6"/>
  <c r="I722" i="6"/>
  <c r="H722" i="6"/>
  <c r="D722" i="6"/>
  <c r="A722" i="6"/>
  <c r="AF721" i="6"/>
  <c r="AD721" i="6"/>
  <c r="AC721" i="6"/>
  <c r="Z721" i="6"/>
  <c r="V721" i="6"/>
  <c r="R721" i="6"/>
  <c r="AB721" i="6" s="1"/>
  <c r="N721" i="6"/>
  <c r="J721" i="6"/>
  <c r="I721" i="6"/>
  <c r="H721" i="6"/>
  <c r="D721" i="6"/>
  <c r="A721" i="6"/>
  <c r="AF720" i="6"/>
  <c r="AC720" i="6"/>
  <c r="AD720" i="6" s="1"/>
  <c r="Z720" i="6"/>
  <c r="V720" i="6"/>
  <c r="R720" i="6"/>
  <c r="AB720" i="6" s="1"/>
  <c r="N720" i="6"/>
  <c r="J720" i="6"/>
  <c r="I720" i="6"/>
  <c r="H720" i="6"/>
  <c r="D720" i="6"/>
  <c r="A720" i="6"/>
  <c r="AF719" i="6"/>
  <c r="AD719" i="6"/>
  <c r="AC719" i="6"/>
  <c r="AB719" i="6"/>
  <c r="Z719" i="6"/>
  <c r="V719" i="6"/>
  <c r="R719" i="6"/>
  <c r="N719" i="6"/>
  <c r="J719" i="6"/>
  <c r="I719" i="6"/>
  <c r="H719" i="6"/>
  <c r="D719" i="6"/>
  <c r="A719" i="6"/>
  <c r="AF718" i="6"/>
  <c r="AC718" i="6"/>
  <c r="AD718" i="6" s="1"/>
  <c r="Z718" i="6"/>
  <c r="V718" i="6"/>
  <c r="R718" i="6"/>
  <c r="AB718" i="6" s="1"/>
  <c r="N718" i="6"/>
  <c r="J718" i="6"/>
  <c r="I718" i="6"/>
  <c r="H718" i="6"/>
  <c r="D718" i="6"/>
  <c r="A718" i="6"/>
  <c r="AF717" i="6"/>
  <c r="AD717" i="6"/>
  <c r="AC717" i="6"/>
  <c r="Z717" i="6"/>
  <c r="V717" i="6"/>
  <c r="AB717" i="6" s="1"/>
  <c r="R717" i="6"/>
  <c r="N717" i="6"/>
  <c r="J717" i="6"/>
  <c r="I717" i="6"/>
  <c r="H717" i="6"/>
  <c r="D717" i="6"/>
  <c r="A717" i="6"/>
  <c r="AF716" i="6"/>
  <c r="AD716" i="6"/>
  <c r="AC716" i="6"/>
  <c r="Z716" i="6"/>
  <c r="V716" i="6"/>
  <c r="R716" i="6"/>
  <c r="AB716" i="6" s="1"/>
  <c r="N716" i="6"/>
  <c r="J716" i="6"/>
  <c r="I716" i="6"/>
  <c r="H716" i="6"/>
  <c r="D716" i="6"/>
  <c r="A716" i="6"/>
  <c r="AF715" i="6"/>
  <c r="AD715" i="6"/>
  <c r="AC715" i="6"/>
  <c r="Z715" i="6"/>
  <c r="V715" i="6"/>
  <c r="AB715" i="6" s="1"/>
  <c r="R715" i="6"/>
  <c r="N715" i="6"/>
  <c r="J715" i="6"/>
  <c r="I715" i="6"/>
  <c r="H715" i="6"/>
  <c r="D715" i="6"/>
  <c r="A715" i="6"/>
  <c r="AF714" i="6"/>
  <c r="AC714" i="6"/>
  <c r="AD714" i="6" s="1"/>
  <c r="Z714" i="6"/>
  <c r="V714" i="6"/>
  <c r="R714" i="6"/>
  <c r="AB714" i="6" s="1"/>
  <c r="N714" i="6"/>
  <c r="J714" i="6"/>
  <c r="I714" i="6"/>
  <c r="H714" i="6"/>
  <c r="D714" i="6"/>
  <c r="A714" i="6"/>
  <c r="AF713" i="6"/>
  <c r="AD713" i="6"/>
  <c r="AC713" i="6"/>
  <c r="AB713" i="6"/>
  <c r="Z713" i="6"/>
  <c r="V713" i="6"/>
  <c r="R713" i="6"/>
  <c r="N713" i="6"/>
  <c r="J713" i="6"/>
  <c r="I713" i="6"/>
  <c r="H713" i="6"/>
  <c r="D713" i="6"/>
  <c r="A713" i="6"/>
  <c r="AF712" i="6"/>
  <c r="AC712" i="6"/>
  <c r="AD712" i="6" s="1"/>
  <c r="Z712" i="6"/>
  <c r="V712" i="6"/>
  <c r="R712" i="6"/>
  <c r="AB712" i="6" s="1"/>
  <c r="N712" i="6"/>
  <c r="J712" i="6"/>
  <c r="I712" i="6"/>
  <c r="H712" i="6"/>
  <c r="D712" i="6"/>
  <c r="A712" i="6"/>
  <c r="AF711" i="6"/>
  <c r="AD711" i="6"/>
  <c r="AC711" i="6"/>
  <c r="Z711" i="6"/>
  <c r="V711" i="6"/>
  <c r="AB711" i="6" s="1"/>
  <c r="R711" i="6"/>
  <c r="N711" i="6"/>
  <c r="J711" i="6"/>
  <c r="I711" i="6"/>
  <c r="H711" i="6"/>
  <c r="D711" i="6"/>
  <c r="A711" i="6"/>
  <c r="AF710" i="6"/>
  <c r="AD710" i="6"/>
  <c r="AC710" i="6"/>
  <c r="Z710" i="6"/>
  <c r="V710" i="6"/>
  <c r="R710" i="6"/>
  <c r="AB710" i="6" s="1"/>
  <c r="N710" i="6"/>
  <c r="J710" i="6"/>
  <c r="I710" i="6"/>
  <c r="H710" i="6"/>
  <c r="D710" i="6"/>
  <c r="A710" i="6"/>
  <c r="AF709" i="6"/>
  <c r="AD709" i="6"/>
  <c r="AC709" i="6"/>
  <c r="Z709" i="6"/>
  <c r="V709" i="6"/>
  <c r="AB709" i="6" s="1"/>
  <c r="R709" i="6"/>
  <c r="N709" i="6"/>
  <c r="J709" i="6"/>
  <c r="I709" i="6"/>
  <c r="H709" i="6"/>
  <c r="D709" i="6"/>
  <c r="A709" i="6"/>
  <c r="AF708" i="6"/>
  <c r="AC708" i="6"/>
  <c r="AD708" i="6" s="1"/>
  <c r="Z708" i="6"/>
  <c r="V708" i="6"/>
  <c r="R708" i="6"/>
  <c r="AB708" i="6" s="1"/>
  <c r="N708" i="6"/>
  <c r="J708" i="6"/>
  <c r="I708" i="6"/>
  <c r="H708" i="6"/>
  <c r="D708" i="6"/>
  <c r="A708" i="6"/>
  <c r="AF707" i="6"/>
  <c r="AD707" i="6"/>
  <c r="AC707" i="6"/>
  <c r="AB707" i="6"/>
  <c r="Z707" i="6"/>
  <c r="V707" i="6"/>
  <c r="R707" i="6"/>
  <c r="N707" i="6"/>
  <c r="J707" i="6"/>
  <c r="I707" i="6"/>
  <c r="H707" i="6"/>
  <c r="D707" i="6"/>
  <c r="A707" i="6"/>
  <c r="AF706" i="6"/>
  <c r="AC706" i="6"/>
  <c r="AD706" i="6" s="1"/>
  <c r="Z706" i="6"/>
  <c r="V706" i="6"/>
  <c r="R706" i="6"/>
  <c r="AB706" i="6" s="1"/>
  <c r="N706" i="6"/>
  <c r="J706" i="6"/>
  <c r="I706" i="6"/>
  <c r="H706" i="6"/>
  <c r="D706" i="6"/>
  <c r="A706" i="6"/>
  <c r="AF705" i="6"/>
  <c r="AD705" i="6"/>
  <c r="AC705" i="6"/>
  <c r="Z705" i="6"/>
  <c r="V705" i="6"/>
  <c r="AB705" i="6" s="1"/>
  <c r="R705" i="6"/>
  <c r="N705" i="6"/>
  <c r="J705" i="6"/>
  <c r="I705" i="6"/>
  <c r="H705" i="6"/>
  <c r="D705" i="6"/>
  <c r="A705" i="6"/>
  <c r="AF704" i="6"/>
  <c r="AD704" i="6"/>
  <c r="AC704" i="6"/>
  <c r="Z704" i="6"/>
  <c r="V704" i="6"/>
  <c r="R704" i="6"/>
  <c r="AB704" i="6" s="1"/>
  <c r="N704" i="6"/>
  <c r="J704" i="6"/>
  <c r="I704" i="6"/>
  <c r="H704" i="6"/>
  <c r="D704" i="6"/>
  <c r="A704" i="6"/>
  <c r="AF703" i="6"/>
  <c r="AD703" i="6"/>
  <c r="AC703" i="6"/>
  <c r="Z703" i="6"/>
  <c r="V703" i="6"/>
  <c r="AB703" i="6" s="1"/>
  <c r="R703" i="6"/>
  <c r="N703" i="6"/>
  <c r="J703" i="6"/>
  <c r="I703" i="6"/>
  <c r="H703" i="6"/>
  <c r="D703" i="6"/>
  <c r="A703" i="6"/>
  <c r="AF702" i="6"/>
  <c r="AC702" i="6"/>
  <c r="AD702" i="6" s="1"/>
  <c r="Z702" i="6"/>
  <c r="V702" i="6"/>
  <c r="R702" i="6"/>
  <c r="AB702" i="6" s="1"/>
  <c r="N702" i="6"/>
  <c r="J702" i="6"/>
  <c r="I702" i="6"/>
  <c r="H702" i="6"/>
  <c r="D702" i="6"/>
  <c r="A702" i="6"/>
  <c r="AF701" i="6"/>
  <c r="AD701" i="6"/>
  <c r="AC701" i="6"/>
  <c r="AB701" i="6"/>
  <c r="Z701" i="6"/>
  <c r="V701" i="6"/>
  <c r="R701" i="6"/>
  <c r="N701" i="6"/>
  <c r="J701" i="6"/>
  <c r="I701" i="6"/>
  <c r="H701" i="6"/>
  <c r="D701" i="6"/>
  <c r="A701" i="6"/>
  <c r="AF700" i="6"/>
  <c r="AC700" i="6"/>
  <c r="AD700" i="6" s="1"/>
  <c r="Z700" i="6"/>
  <c r="V700" i="6"/>
  <c r="R700" i="6"/>
  <c r="AB700" i="6" s="1"/>
  <c r="N700" i="6"/>
  <c r="J700" i="6"/>
  <c r="I700" i="6"/>
  <c r="H700" i="6"/>
  <c r="D700" i="6"/>
  <c r="A700" i="6"/>
  <c r="AF699" i="6"/>
  <c r="AD699" i="6"/>
  <c r="AC699" i="6"/>
  <c r="Z699" i="6"/>
  <c r="V699" i="6"/>
  <c r="AB699" i="6" s="1"/>
  <c r="R699" i="6"/>
  <c r="N699" i="6"/>
  <c r="J699" i="6"/>
  <c r="I699" i="6"/>
  <c r="H699" i="6"/>
  <c r="D699" i="6"/>
  <c r="A699" i="6"/>
  <c r="AF698" i="6"/>
  <c r="AD698" i="6"/>
  <c r="AC698" i="6"/>
  <c r="Z698" i="6"/>
  <c r="V698" i="6"/>
  <c r="R698" i="6"/>
  <c r="AB698" i="6" s="1"/>
  <c r="N698" i="6"/>
  <c r="J698" i="6"/>
  <c r="I698" i="6"/>
  <c r="H698" i="6"/>
  <c r="D698" i="6"/>
  <c r="A698" i="6"/>
  <c r="AF697" i="6"/>
  <c r="AD697" i="6"/>
  <c r="AC697" i="6"/>
  <c r="Z697" i="6"/>
  <c r="V697" i="6"/>
  <c r="AB697" i="6" s="1"/>
  <c r="R697" i="6"/>
  <c r="N697" i="6"/>
  <c r="J697" i="6"/>
  <c r="I697" i="6"/>
  <c r="H697" i="6"/>
  <c r="D697" i="6"/>
  <c r="A697" i="6"/>
  <c r="AF696" i="6"/>
  <c r="AC696" i="6"/>
  <c r="AD696" i="6" s="1"/>
  <c r="Z696" i="6"/>
  <c r="V696" i="6"/>
  <c r="R696" i="6"/>
  <c r="AB696" i="6" s="1"/>
  <c r="N696" i="6"/>
  <c r="J696" i="6"/>
  <c r="I696" i="6"/>
  <c r="H696" i="6"/>
  <c r="D696" i="6"/>
  <c r="A696" i="6"/>
  <c r="AF695" i="6"/>
  <c r="AD695" i="6"/>
  <c r="AC695" i="6"/>
  <c r="AB695" i="6"/>
  <c r="Z695" i="6"/>
  <c r="V695" i="6"/>
  <c r="R695" i="6"/>
  <c r="N695" i="6"/>
  <c r="J695" i="6"/>
  <c r="I695" i="6"/>
  <c r="H695" i="6"/>
  <c r="D695" i="6"/>
  <c r="A695" i="6"/>
  <c r="AF694" i="6"/>
  <c r="AC694" i="6"/>
  <c r="AD694" i="6" s="1"/>
  <c r="Z694" i="6"/>
  <c r="V694" i="6"/>
  <c r="R694" i="6"/>
  <c r="AB694" i="6" s="1"/>
  <c r="N694" i="6"/>
  <c r="J694" i="6"/>
  <c r="I694" i="6"/>
  <c r="H694" i="6"/>
  <c r="D694" i="6"/>
  <c r="A694" i="6"/>
  <c r="AF693" i="6"/>
  <c r="AD693" i="6"/>
  <c r="AC693" i="6"/>
  <c r="Z693" i="6"/>
  <c r="V693" i="6"/>
  <c r="AB693" i="6" s="1"/>
  <c r="R693" i="6"/>
  <c r="N693" i="6"/>
  <c r="J693" i="6"/>
  <c r="I693" i="6"/>
  <c r="H693" i="6"/>
  <c r="D693" i="6"/>
  <c r="A693" i="6"/>
  <c r="AF692" i="6"/>
  <c r="AD692" i="6"/>
  <c r="AC692" i="6"/>
  <c r="Z692" i="6"/>
  <c r="V692" i="6"/>
  <c r="R692" i="6"/>
  <c r="AB692" i="6" s="1"/>
  <c r="N692" i="6"/>
  <c r="J692" i="6"/>
  <c r="I692" i="6"/>
  <c r="H692" i="6"/>
  <c r="D692" i="6"/>
  <c r="A692" i="6"/>
  <c r="AF691" i="6"/>
  <c r="AD691" i="6"/>
  <c r="AC691" i="6"/>
  <c r="Z691" i="6"/>
  <c r="V691" i="6"/>
  <c r="AB691" i="6" s="1"/>
  <c r="R691" i="6"/>
  <c r="N691" i="6"/>
  <c r="J691" i="6"/>
  <c r="I691" i="6"/>
  <c r="H691" i="6"/>
  <c r="D691" i="6"/>
  <c r="A691" i="6"/>
  <c r="AF690" i="6"/>
  <c r="AC690" i="6"/>
  <c r="AD690" i="6" s="1"/>
  <c r="Z690" i="6"/>
  <c r="V690" i="6"/>
  <c r="R690" i="6"/>
  <c r="AB690" i="6" s="1"/>
  <c r="N690" i="6"/>
  <c r="J690" i="6"/>
  <c r="I690" i="6"/>
  <c r="H690" i="6"/>
  <c r="D690" i="6"/>
  <c r="A690" i="6"/>
  <c r="AF689" i="6"/>
  <c r="AD689" i="6"/>
  <c r="AC689" i="6"/>
  <c r="AB689" i="6"/>
  <c r="Z689" i="6"/>
  <c r="V689" i="6"/>
  <c r="R689" i="6"/>
  <c r="N689" i="6"/>
  <c r="J689" i="6"/>
  <c r="I689" i="6"/>
  <c r="H689" i="6"/>
  <c r="D689" i="6"/>
  <c r="A689" i="6"/>
  <c r="AF688" i="6"/>
  <c r="AC688" i="6"/>
  <c r="AD688" i="6" s="1"/>
  <c r="Z688" i="6"/>
  <c r="V688" i="6"/>
  <c r="R688" i="6"/>
  <c r="AB688" i="6" s="1"/>
  <c r="N688" i="6"/>
  <c r="J688" i="6"/>
  <c r="I688" i="6"/>
  <c r="H688" i="6"/>
  <c r="D688" i="6"/>
  <c r="A688" i="6"/>
  <c r="AF687" i="6"/>
  <c r="AD687" i="6"/>
  <c r="AC687" i="6"/>
  <c r="Z687" i="6"/>
  <c r="V687" i="6"/>
  <c r="AB687" i="6" s="1"/>
  <c r="R687" i="6"/>
  <c r="N687" i="6"/>
  <c r="J687" i="6"/>
  <c r="I687" i="6"/>
  <c r="H687" i="6"/>
  <c r="D687" i="6"/>
  <c r="A687" i="6"/>
  <c r="AF686" i="6"/>
  <c r="AD686" i="6"/>
  <c r="AC686" i="6"/>
  <c r="Z686" i="6"/>
  <c r="V686" i="6"/>
  <c r="R686" i="6"/>
  <c r="AB686" i="6" s="1"/>
  <c r="N686" i="6"/>
  <c r="J686" i="6"/>
  <c r="I686" i="6"/>
  <c r="H686" i="6"/>
  <c r="D686" i="6"/>
  <c r="A686" i="6"/>
  <c r="AF685" i="6"/>
  <c r="AD685" i="6"/>
  <c r="AC685" i="6"/>
  <c r="Z685" i="6"/>
  <c r="V685" i="6"/>
  <c r="AB685" i="6" s="1"/>
  <c r="R685" i="6"/>
  <c r="N685" i="6"/>
  <c r="J685" i="6"/>
  <c r="I685" i="6"/>
  <c r="H685" i="6"/>
  <c r="D685" i="6"/>
  <c r="A685" i="6"/>
  <c r="AF684" i="6"/>
  <c r="AC684" i="6"/>
  <c r="AD684" i="6" s="1"/>
  <c r="Z684" i="6"/>
  <c r="V684" i="6"/>
  <c r="R684" i="6"/>
  <c r="AB684" i="6" s="1"/>
  <c r="N684" i="6"/>
  <c r="J684" i="6"/>
  <c r="I684" i="6"/>
  <c r="H684" i="6"/>
  <c r="D684" i="6"/>
  <c r="A684" i="6"/>
  <c r="AF683" i="6"/>
  <c r="AD683" i="6"/>
  <c r="AC683" i="6"/>
  <c r="AB683" i="6"/>
  <c r="Z683" i="6"/>
  <c r="V683" i="6"/>
  <c r="R683" i="6"/>
  <c r="N683" i="6"/>
  <c r="J683" i="6"/>
  <c r="I683" i="6"/>
  <c r="H683" i="6"/>
  <c r="D683" i="6"/>
  <c r="A683" i="6"/>
  <c r="AF682" i="6"/>
  <c r="AC682" i="6"/>
  <c r="AD682" i="6" s="1"/>
  <c r="Z682" i="6"/>
  <c r="V682" i="6"/>
  <c r="R682" i="6"/>
  <c r="AB682" i="6" s="1"/>
  <c r="N682" i="6"/>
  <c r="J682" i="6"/>
  <c r="I682" i="6"/>
  <c r="H682" i="6"/>
  <c r="D682" i="6"/>
  <c r="A682" i="6"/>
  <c r="AF681" i="6"/>
  <c r="AD681" i="6"/>
  <c r="AC681" i="6"/>
  <c r="Z681" i="6"/>
  <c r="V681" i="6"/>
  <c r="AB681" i="6" s="1"/>
  <c r="R681" i="6"/>
  <c r="N681" i="6"/>
  <c r="J681" i="6"/>
  <c r="I681" i="6"/>
  <c r="H681" i="6"/>
  <c r="D681" i="6"/>
  <c r="A681" i="6"/>
  <c r="AF680" i="6"/>
  <c r="AD680" i="6"/>
  <c r="AC680" i="6"/>
  <c r="Z680" i="6"/>
  <c r="V680" i="6"/>
  <c r="R680" i="6"/>
  <c r="AB680" i="6" s="1"/>
  <c r="N680" i="6"/>
  <c r="J680" i="6"/>
  <c r="I680" i="6"/>
  <c r="H680" i="6"/>
  <c r="D680" i="6"/>
  <c r="A680" i="6"/>
  <c r="AF679" i="6"/>
  <c r="AD679" i="6"/>
  <c r="AC679" i="6"/>
  <c r="Z679" i="6"/>
  <c r="V679" i="6"/>
  <c r="AB679" i="6" s="1"/>
  <c r="R679" i="6"/>
  <c r="N679" i="6"/>
  <c r="J679" i="6"/>
  <c r="I679" i="6"/>
  <c r="H679" i="6"/>
  <c r="D679" i="6"/>
  <c r="A679" i="6"/>
  <c r="AF678" i="6"/>
  <c r="AC678" i="6"/>
  <c r="AD678" i="6" s="1"/>
  <c r="Z678" i="6"/>
  <c r="V678" i="6"/>
  <c r="R678" i="6"/>
  <c r="AB678" i="6" s="1"/>
  <c r="N678" i="6"/>
  <c r="J678" i="6"/>
  <c r="I678" i="6"/>
  <c r="H678" i="6"/>
  <c r="D678" i="6"/>
  <c r="A678" i="6"/>
  <c r="AF677" i="6"/>
  <c r="AD677" i="6"/>
  <c r="AC677" i="6"/>
  <c r="AB677" i="6"/>
  <c r="Z677" i="6"/>
  <c r="V677" i="6"/>
  <c r="R677" i="6"/>
  <c r="N677" i="6"/>
  <c r="J677" i="6"/>
  <c r="I677" i="6"/>
  <c r="H677" i="6"/>
  <c r="D677" i="6"/>
  <c r="A677" i="6"/>
  <c r="AF676" i="6"/>
  <c r="AC676" i="6"/>
  <c r="AD676" i="6" s="1"/>
  <c r="Z676" i="6"/>
  <c r="V676" i="6"/>
  <c r="R676" i="6"/>
  <c r="AB676" i="6" s="1"/>
  <c r="N676" i="6"/>
  <c r="J676" i="6"/>
  <c r="I676" i="6"/>
  <c r="H676" i="6"/>
  <c r="D676" i="6"/>
  <c r="A676" i="6"/>
  <c r="AF675" i="6"/>
  <c r="AD675" i="6"/>
  <c r="AC675" i="6"/>
  <c r="Z675" i="6"/>
  <c r="V675" i="6"/>
  <c r="AB675" i="6" s="1"/>
  <c r="R675" i="6"/>
  <c r="N675" i="6"/>
  <c r="J675" i="6"/>
  <c r="I675" i="6"/>
  <c r="H675" i="6"/>
  <c r="D675" i="6"/>
  <c r="A675" i="6"/>
  <c r="AF674" i="6"/>
  <c r="AD674" i="6"/>
  <c r="AC674" i="6"/>
  <c r="Z674" i="6"/>
  <c r="V674" i="6"/>
  <c r="R674" i="6"/>
  <c r="AB674" i="6" s="1"/>
  <c r="N674" i="6"/>
  <c r="J674" i="6"/>
  <c r="I674" i="6"/>
  <c r="H674" i="6"/>
  <c r="D674" i="6"/>
  <c r="A674" i="6"/>
  <c r="AF673" i="6"/>
  <c r="AD673" i="6"/>
  <c r="AC673" i="6"/>
  <c r="Z673" i="6"/>
  <c r="V673" i="6"/>
  <c r="AB673" i="6" s="1"/>
  <c r="R673" i="6"/>
  <c r="N673" i="6"/>
  <c r="J673" i="6"/>
  <c r="I673" i="6"/>
  <c r="H673" i="6"/>
  <c r="D673" i="6"/>
  <c r="A673" i="6"/>
  <c r="AF672" i="6"/>
  <c r="AC672" i="6"/>
  <c r="AD672" i="6" s="1"/>
  <c r="Z672" i="6"/>
  <c r="V672" i="6"/>
  <c r="R672" i="6"/>
  <c r="AB672" i="6" s="1"/>
  <c r="N672" i="6"/>
  <c r="J672" i="6"/>
  <c r="I672" i="6"/>
  <c r="H672" i="6"/>
  <c r="D672" i="6"/>
  <c r="A672" i="6"/>
  <c r="AF671" i="6"/>
  <c r="AD671" i="6"/>
  <c r="AC671" i="6"/>
  <c r="AB671" i="6"/>
  <c r="Z671" i="6"/>
  <c r="V671" i="6"/>
  <c r="R671" i="6"/>
  <c r="N671" i="6"/>
  <c r="J671" i="6"/>
  <c r="I671" i="6"/>
  <c r="H671" i="6"/>
  <c r="D671" i="6"/>
  <c r="A671" i="6"/>
  <c r="AF670" i="6"/>
  <c r="AC670" i="6"/>
  <c r="AD670" i="6" s="1"/>
  <c r="Z670" i="6"/>
  <c r="V670" i="6"/>
  <c r="R670" i="6"/>
  <c r="AB670" i="6" s="1"/>
  <c r="N670" i="6"/>
  <c r="J670" i="6"/>
  <c r="I670" i="6"/>
  <c r="H670" i="6"/>
  <c r="D670" i="6"/>
  <c r="A670" i="6"/>
  <c r="AF669" i="6"/>
  <c r="AD669" i="6"/>
  <c r="AC669" i="6"/>
  <c r="Z669" i="6"/>
  <c r="V669" i="6"/>
  <c r="AB669" i="6" s="1"/>
  <c r="R669" i="6"/>
  <c r="N669" i="6"/>
  <c r="J669" i="6"/>
  <c r="I669" i="6"/>
  <c r="H669" i="6"/>
  <c r="D669" i="6"/>
  <c r="A669" i="6"/>
  <c r="AF668" i="6"/>
  <c r="AD668" i="6"/>
  <c r="AC668" i="6"/>
  <c r="Z668" i="6"/>
  <c r="V668" i="6"/>
  <c r="R668" i="6"/>
  <c r="AB668" i="6" s="1"/>
  <c r="N668" i="6"/>
  <c r="J668" i="6"/>
  <c r="I668" i="6"/>
  <c r="H668" i="6"/>
  <c r="D668" i="6"/>
  <c r="A668" i="6"/>
  <c r="AF667" i="6"/>
  <c r="AD667" i="6"/>
  <c r="AC667" i="6"/>
  <c r="Z667" i="6"/>
  <c r="V667" i="6"/>
  <c r="AB667" i="6" s="1"/>
  <c r="R667" i="6"/>
  <c r="N667" i="6"/>
  <c r="J667" i="6"/>
  <c r="I667" i="6"/>
  <c r="H667" i="6"/>
  <c r="D667" i="6"/>
  <c r="A667" i="6"/>
  <c r="AF666" i="6"/>
  <c r="AC666" i="6"/>
  <c r="AD666" i="6" s="1"/>
  <c r="Z666" i="6"/>
  <c r="V666" i="6"/>
  <c r="R666" i="6"/>
  <c r="AB666" i="6" s="1"/>
  <c r="N666" i="6"/>
  <c r="J666" i="6"/>
  <c r="I666" i="6"/>
  <c r="H666" i="6"/>
  <c r="D666" i="6"/>
  <c r="A666" i="6"/>
  <c r="AF665" i="6"/>
  <c r="AD665" i="6"/>
  <c r="AC665" i="6"/>
  <c r="AB665" i="6"/>
  <c r="Z665" i="6"/>
  <c r="V665" i="6"/>
  <c r="R665" i="6"/>
  <c r="N665" i="6"/>
  <c r="J665" i="6"/>
  <c r="I665" i="6"/>
  <c r="H665" i="6"/>
  <c r="D665" i="6"/>
  <c r="A665" i="6"/>
  <c r="AF664" i="6"/>
  <c r="AC664" i="6"/>
  <c r="AD664" i="6" s="1"/>
  <c r="Z664" i="6"/>
  <c r="V664" i="6"/>
  <c r="R664" i="6"/>
  <c r="AB664" i="6" s="1"/>
  <c r="N664" i="6"/>
  <c r="J664" i="6"/>
  <c r="I664" i="6"/>
  <c r="H664" i="6"/>
  <c r="D664" i="6"/>
  <c r="A664" i="6"/>
  <c r="AF663" i="6"/>
  <c r="AD663" i="6"/>
  <c r="AC663" i="6"/>
  <c r="Z663" i="6"/>
  <c r="V663" i="6"/>
  <c r="AB663" i="6" s="1"/>
  <c r="R663" i="6"/>
  <c r="N663" i="6"/>
  <c r="J663" i="6"/>
  <c r="I663" i="6"/>
  <c r="H663" i="6"/>
  <c r="D663" i="6"/>
  <c r="A663" i="6"/>
  <c r="AF662" i="6"/>
  <c r="AD662" i="6"/>
  <c r="AC662" i="6"/>
  <c r="Z662" i="6"/>
  <c r="V662" i="6"/>
  <c r="R662" i="6"/>
  <c r="AB662" i="6" s="1"/>
  <c r="N662" i="6"/>
  <c r="J662" i="6"/>
  <c r="I662" i="6"/>
  <c r="H662" i="6"/>
  <c r="D662" i="6"/>
  <c r="A662" i="6"/>
  <c r="AF661" i="6"/>
  <c r="AD661" i="6"/>
  <c r="AC661" i="6"/>
  <c r="AB661" i="6"/>
  <c r="Z661" i="6"/>
  <c r="V661" i="6"/>
  <c r="R661" i="6"/>
  <c r="N661" i="6"/>
  <c r="J661" i="6"/>
  <c r="I661" i="6"/>
  <c r="H661" i="6"/>
  <c r="D661" i="6"/>
  <c r="A661" i="6"/>
  <c r="AF660" i="6"/>
  <c r="AC660" i="6"/>
  <c r="AD660" i="6" s="1"/>
  <c r="Z660" i="6"/>
  <c r="V660" i="6"/>
  <c r="R660" i="6"/>
  <c r="AB660" i="6" s="1"/>
  <c r="N660" i="6"/>
  <c r="J660" i="6"/>
  <c r="I660" i="6"/>
  <c r="H660" i="6"/>
  <c r="D660" i="6"/>
  <c r="A660" i="6"/>
  <c r="AF659" i="6"/>
  <c r="AD659" i="6"/>
  <c r="AC659" i="6"/>
  <c r="AB659" i="6"/>
  <c r="Z659" i="6"/>
  <c r="V659" i="6"/>
  <c r="R659" i="6"/>
  <c r="N659" i="6"/>
  <c r="J659" i="6"/>
  <c r="I659" i="6"/>
  <c r="H659" i="6"/>
  <c r="D659" i="6"/>
  <c r="A659" i="6"/>
  <c r="AF658" i="6"/>
  <c r="AC658" i="6"/>
  <c r="AD658" i="6" s="1"/>
  <c r="Z658" i="6"/>
  <c r="V658" i="6"/>
  <c r="R658" i="6"/>
  <c r="AB658" i="6" s="1"/>
  <c r="N658" i="6"/>
  <c r="J658" i="6"/>
  <c r="I658" i="6"/>
  <c r="H658" i="6"/>
  <c r="D658" i="6"/>
  <c r="A658" i="6"/>
  <c r="AF657" i="6"/>
  <c r="AD657" i="6"/>
  <c r="AC657" i="6"/>
  <c r="Z657" i="6"/>
  <c r="V657" i="6"/>
  <c r="AB657" i="6" s="1"/>
  <c r="R657" i="6"/>
  <c r="N657" i="6"/>
  <c r="J657" i="6"/>
  <c r="I657" i="6"/>
  <c r="H657" i="6"/>
  <c r="D657" i="6"/>
  <c r="A657" i="6"/>
  <c r="AF656" i="6"/>
  <c r="AD656" i="6"/>
  <c r="AC656" i="6"/>
  <c r="Z656" i="6"/>
  <c r="V656" i="6"/>
  <c r="R656" i="6"/>
  <c r="AB656" i="6" s="1"/>
  <c r="N656" i="6"/>
  <c r="J656" i="6"/>
  <c r="I656" i="6"/>
  <c r="H656" i="6"/>
  <c r="D656" i="6"/>
  <c r="A656" i="6"/>
  <c r="AF655" i="6"/>
  <c r="AD655" i="6"/>
  <c r="AC655" i="6"/>
  <c r="AB655" i="6"/>
  <c r="Z655" i="6"/>
  <c r="V655" i="6"/>
  <c r="R655" i="6"/>
  <c r="N655" i="6"/>
  <c r="J655" i="6"/>
  <c r="I655" i="6"/>
  <c r="H655" i="6"/>
  <c r="D655" i="6"/>
  <c r="A655" i="6"/>
  <c r="AF654" i="6"/>
  <c r="AC654" i="6"/>
  <c r="AD654" i="6" s="1"/>
  <c r="Z654" i="6"/>
  <c r="V654" i="6"/>
  <c r="R654" i="6"/>
  <c r="AB654" i="6" s="1"/>
  <c r="N654" i="6"/>
  <c r="J654" i="6"/>
  <c r="I654" i="6"/>
  <c r="H654" i="6"/>
  <c r="D654" i="6"/>
  <c r="A654" i="6"/>
  <c r="AF653" i="6"/>
  <c r="AD653" i="6"/>
  <c r="AC653" i="6"/>
  <c r="AB653" i="6"/>
  <c r="Z653" i="6"/>
  <c r="V653" i="6"/>
  <c r="R653" i="6"/>
  <c r="N653" i="6"/>
  <c r="J653" i="6"/>
  <c r="I653" i="6"/>
  <c r="H653" i="6"/>
  <c r="D653" i="6"/>
  <c r="A653" i="6"/>
  <c r="AF652" i="6"/>
  <c r="AC652" i="6"/>
  <c r="AD652" i="6" s="1"/>
  <c r="Z652" i="6"/>
  <c r="V652" i="6"/>
  <c r="R652" i="6"/>
  <c r="AB652" i="6" s="1"/>
  <c r="N652" i="6"/>
  <c r="J652" i="6"/>
  <c r="I652" i="6"/>
  <c r="H652" i="6"/>
  <c r="D652" i="6"/>
  <c r="A652" i="6"/>
  <c r="AF651" i="6"/>
  <c r="AD651" i="6"/>
  <c r="AC651" i="6"/>
  <c r="Z651" i="6"/>
  <c r="V651" i="6"/>
  <c r="AB651" i="6" s="1"/>
  <c r="R651" i="6"/>
  <c r="N651" i="6"/>
  <c r="J651" i="6"/>
  <c r="I651" i="6"/>
  <c r="H651" i="6"/>
  <c r="D651" i="6"/>
  <c r="A651" i="6"/>
  <c r="AF650" i="6"/>
  <c r="AD650" i="6"/>
  <c r="AC650" i="6"/>
  <c r="Z650" i="6"/>
  <c r="V650" i="6"/>
  <c r="R650" i="6"/>
  <c r="AB650" i="6" s="1"/>
  <c r="N650" i="6"/>
  <c r="J650" i="6"/>
  <c r="I650" i="6"/>
  <c r="H650" i="6"/>
  <c r="D650" i="6"/>
  <c r="A650" i="6"/>
  <c r="AF649" i="6"/>
  <c r="AD649" i="6"/>
  <c r="AC649" i="6"/>
  <c r="AB649" i="6"/>
  <c r="Z649" i="6"/>
  <c r="V649" i="6"/>
  <c r="R649" i="6"/>
  <c r="N649" i="6"/>
  <c r="J649" i="6"/>
  <c r="I649" i="6"/>
  <c r="H649" i="6"/>
  <c r="D649" i="6"/>
  <c r="A649" i="6"/>
  <c r="AF648" i="6"/>
  <c r="AC648" i="6"/>
  <c r="AD648" i="6" s="1"/>
  <c r="Z648" i="6"/>
  <c r="V648" i="6"/>
  <c r="R648" i="6"/>
  <c r="AB648" i="6" s="1"/>
  <c r="N648" i="6"/>
  <c r="J648" i="6"/>
  <c r="I648" i="6"/>
  <c r="H648" i="6"/>
  <c r="D648" i="6"/>
  <c r="A648" i="6"/>
  <c r="AF647" i="6"/>
  <c r="AD647" i="6"/>
  <c r="AC647" i="6"/>
  <c r="AB647" i="6"/>
  <c r="Z647" i="6"/>
  <c r="V647" i="6"/>
  <c r="R647" i="6"/>
  <c r="N647" i="6"/>
  <c r="J647" i="6"/>
  <c r="I647" i="6"/>
  <c r="H647" i="6"/>
  <c r="D647" i="6"/>
  <c r="A647" i="6"/>
  <c r="AF646" i="6"/>
  <c r="AC646" i="6"/>
  <c r="AD646" i="6" s="1"/>
  <c r="Z646" i="6"/>
  <c r="V646" i="6"/>
  <c r="R646" i="6"/>
  <c r="AB646" i="6" s="1"/>
  <c r="N646" i="6"/>
  <c r="J646" i="6"/>
  <c r="I646" i="6"/>
  <c r="H646" i="6"/>
  <c r="D646" i="6"/>
  <c r="A646" i="6"/>
  <c r="AF645" i="6"/>
  <c r="AD645" i="6"/>
  <c r="AC645" i="6"/>
  <c r="Z645" i="6"/>
  <c r="V645" i="6"/>
  <c r="AB645" i="6" s="1"/>
  <c r="R645" i="6"/>
  <c r="N645" i="6"/>
  <c r="J645" i="6"/>
  <c r="I645" i="6"/>
  <c r="H645" i="6"/>
  <c r="D645" i="6"/>
  <c r="A645" i="6"/>
  <c r="AF644" i="6"/>
  <c r="AD644" i="6"/>
  <c r="AC644" i="6"/>
  <c r="Z644" i="6"/>
  <c r="V644" i="6"/>
  <c r="R644" i="6"/>
  <c r="AB644" i="6" s="1"/>
  <c r="N644" i="6"/>
  <c r="J644" i="6"/>
  <c r="I644" i="6"/>
  <c r="H644" i="6"/>
  <c r="D644" i="6"/>
  <c r="A644" i="6"/>
  <c r="AF643" i="6"/>
  <c r="AD643" i="6"/>
  <c r="AC643" i="6"/>
  <c r="AB643" i="6"/>
  <c r="Z643" i="6"/>
  <c r="V643" i="6"/>
  <c r="R643" i="6"/>
  <c r="N643" i="6"/>
  <c r="J643" i="6"/>
  <c r="I643" i="6"/>
  <c r="H643" i="6"/>
  <c r="D643" i="6"/>
  <c r="A643" i="6"/>
  <c r="AF642" i="6"/>
  <c r="AC642" i="6"/>
  <c r="AD642" i="6" s="1"/>
  <c r="Z642" i="6"/>
  <c r="V642" i="6"/>
  <c r="R642" i="6"/>
  <c r="AB642" i="6" s="1"/>
  <c r="N642" i="6"/>
  <c r="J642" i="6"/>
  <c r="I642" i="6"/>
  <c r="H642" i="6"/>
  <c r="D642" i="6"/>
  <c r="A642" i="6"/>
  <c r="AF641" i="6"/>
  <c r="AD641" i="6"/>
  <c r="AC641" i="6"/>
  <c r="AB641" i="6"/>
  <c r="Z641" i="6"/>
  <c r="V641" i="6"/>
  <c r="R641" i="6"/>
  <c r="N641" i="6"/>
  <c r="J641" i="6"/>
  <c r="I641" i="6"/>
  <c r="H641" i="6"/>
  <c r="D641" i="6"/>
  <c r="A641" i="6"/>
  <c r="AF640" i="6"/>
  <c r="AC640" i="6"/>
  <c r="AD640" i="6" s="1"/>
  <c r="Z640" i="6"/>
  <c r="V640" i="6"/>
  <c r="R640" i="6"/>
  <c r="AB640" i="6" s="1"/>
  <c r="N640" i="6"/>
  <c r="J640" i="6"/>
  <c r="I640" i="6"/>
  <c r="H640" i="6"/>
  <c r="D640" i="6"/>
  <c r="A640" i="6"/>
  <c r="AF639" i="6"/>
  <c r="AD639" i="6"/>
  <c r="AC639" i="6"/>
  <c r="Z639" i="6"/>
  <c r="V639" i="6"/>
  <c r="AB639" i="6" s="1"/>
  <c r="R639" i="6"/>
  <c r="N639" i="6"/>
  <c r="J639" i="6"/>
  <c r="I639" i="6"/>
  <c r="H639" i="6"/>
  <c r="D639" i="6"/>
  <c r="A639" i="6"/>
  <c r="AF638" i="6"/>
  <c r="AD638" i="6"/>
  <c r="AC638" i="6"/>
  <c r="Z638" i="6"/>
  <c r="V638" i="6"/>
  <c r="R638" i="6"/>
  <c r="AB638" i="6" s="1"/>
  <c r="N638" i="6"/>
  <c r="J638" i="6"/>
  <c r="I638" i="6"/>
  <c r="H638" i="6"/>
  <c r="D638" i="6"/>
  <c r="A638" i="6"/>
  <c r="AF637" i="6"/>
  <c r="AD637" i="6"/>
  <c r="AC637" i="6"/>
  <c r="AB637" i="6"/>
  <c r="Z637" i="6"/>
  <c r="V637" i="6"/>
  <c r="R637" i="6"/>
  <c r="N637" i="6"/>
  <c r="J637" i="6"/>
  <c r="I637" i="6"/>
  <c r="H637" i="6"/>
  <c r="D637" i="6"/>
  <c r="A637" i="6"/>
  <c r="AF636" i="6"/>
  <c r="AC636" i="6"/>
  <c r="AD636" i="6" s="1"/>
  <c r="Z636" i="6"/>
  <c r="V636" i="6"/>
  <c r="R636" i="6"/>
  <c r="AB636" i="6" s="1"/>
  <c r="N636" i="6"/>
  <c r="J636" i="6"/>
  <c r="I636" i="6"/>
  <c r="H636" i="6"/>
  <c r="D636" i="6"/>
  <c r="A636" i="6"/>
  <c r="AF635" i="6"/>
  <c r="AD635" i="6"/>
  <c r="AC635" i="6"/>
  <c r="AB635" i="6"/>
  <c r="Z635" i="6"/>
  <c r="V635" i="6"/>
  <c r="R635" i="6"/>
  <c r="N635" i="6"/>
  <c r="J635" i="6"/>
  <c r="I635" i="6"/>
  <c r="H635" i="6"/>
  <c r="D635" i="6"/>
  <c r="A635" i="6"/>
  <c r="AF634" i="6"/>
  <c r="AC634" i="6"/>
  <c r="AD634" i="6" s="1"/>
  <c r="Z634" i="6"/>
  <c r="V634" i="6"/>
  <c r="R634" i="6"/>
  <c r="AB634" i="6" s="1"/>
  <c r="N634" i="6"/>
  <c r="J634" i="6"/>
  <c r="I634" i="6"/>
  <c r="H634" i="6"/>
  <c r="D634" i="6"/>
  <c r="A634" i="6"/>
  <c r="AF633" i="6"/>
  <c r="AD633" i="6"/>
  <c r="AC633" i="6"/>
  <c r="Z633" i="6"/>
  <c r="V633" i="6"/>
  <c r="AB633" i="6" s="1"/>
  <c r="R633" i="6"/>
  <c r="N633" i="6"/>
  <c r="J633" i="6"/>
  <c r="I633" i="6"/>
  <c r="H633" i="6"/>
  <c r="D633" i="6"/>
  <c r="A633" i="6"/>
  <c r="AF632" i="6"/>
  <c r="AD632" i="6"/>
  <c r="AC632" i="6"/>
  <c r="Z632" i="6"/>
  <c r="V632" i="6"/>
  <c r="R632" i="6"/>
  <c r="AB632" i="6" s="1"/>
  <c r="N632" i="6"/>
  <c r="J632" i="6"/>
  <c r="I632" i="6"/>
  <c r="H632" i="6"/>
  <c r="D632" i="6"/>
  <c r="A632" i="6"/>
  <c r="AF631" i="6"/>
  <c r="AD631" i="6"/>
  <c r="AC631" i="6"/>
  <c r="AB631" i="6"/>
  <c r="Z631" i="6"/>
  <c r="V631" i="6"/>
  <c r="R631" i="6"/>
  <c r="N631" i="6"/>
  <c r="J631" i="6"/>
  <c r="I631" i="6"/>
  <c r="H631" i="6"/>
  <c r="D631" i="6"/>
  <c r="A631" i="6"/>
  <c r="AF630" i="6"/>
  <c r="AC630" i="6"/>
  <c r="AD630" i="6" s="1"/>
  <c r="Z630" i="6"/>
  <c r="V630" i="6"/>
  <c r="R630" i="6"/>
  <c r="AB630" i="6" s="1"/>
  <c r="N630" i="6"/>
  <c r="J630" i="6"/>
  <c r="I630" i="6"/>
  <c r="H630" i="6"/>
  <c r="D630" i="6"/>
  <c r="A630" i="6"/>
  <c r="AF629" i="6"/>
  <c r="AD629" i="6"/>
  <c r="AC629" i="6"/>
  <c r="AB629" i="6"/>
  <c r="Z629" i="6"/>
  <c r="V629" i="6"/>
  <c r="R629" i="6"/>
  <c r="N629" i="6"/>
  <c r="J629" i="6"/>
  <c r="I629" i="6"/>
  <c r="H629" i="6"/>
  <c r="D629" i="6"/>
  <c r="A629" i="6"/>
  <c r="AF628" i="6"/>
  <c r="AC628" i="6"/>
  <c r="AD628" i="6" s="1"/>
  <c r="Z628" i="6"/>
  <c r="V628" i="6"/>
  <c r="R628" i="6"/>
  <c r="AB628" i="6" s="1"/>
  <c r="N628" i="6"/>
  <c r="J628" i="6"/>
  <c r="I628" i="6"/>
  <c r="H628" i="6"/>
  <c r="D628" i="6"/>
  <c r="A628" i="6"/>
  <c r="AF627" i="6"/>
  <c r="AD627" i="6"/>
  <c r="AC627" i="6"/>
  <c r="Z627" i="6"/>
  <c r="V627" i="6"/>
  <c r="AB627" i="6" s="1"/>
  <c r="R627" i="6"/>
  <c r="N627" i="6"/>
  <c r="J627" i="6"/>
  <c r="I627" i="6"/>
  <c r="H627" i="6"/>
  <c r="D627" i="6"/>
  <c r="A627" i="6"/>
  <c r="AF626" i="6"/>
  <c r="AD626" i="6"/>
  <c r="AC626" i="6"/>
  <c r="Z626" i="6"/>
  <c r="V626" i="6"/>
  <c r="R626" i="6"/>
  <c r="AB626" i="6" s="1"/>
  <c r="N626" i="6"/>
  <c r="J626" i="6"/>
  <c r="I626" i="6"/>
  <c r="H626" i="6"/>
  <c r="D626" i="6"/>
  <c r="A626" i="6"/>
  <c r="AF625" i="6"/>
  <c r="AD625" i="6"/>
  <c r="AC625" i="6"/>
  <c r="AB625" i="6"/>
  <c r="Z625" i="6"/>
  <c r="V625" i="6"/>
  <c r="R625" i="6"/>
  <c r="N625" i="6"/>
  <c r="J625" i="6"/>
  <c r="I625" i="6"/>
  <c r="H625" i="6"/>
  <c r="D625" i="6"/>
  <c r="A625" i="6"/>
  <c r="AF624" i="6"/>
  <c r="AC624" i="6"/>
  <c r="AD624" i="6" s="1"/>
  <c r="Z624" i="6"/>
  <c r="V624" i="6"/>
  <c r="R624" i="6"/>
  <c r="AB624" i="6" s="1"/>
  <c r="N624" i="6"/>
  <c r="J624" i="6"/>
  <c r="I624" i="6"/>
  <c r="H624" i="6"/>
  <c r="D624" i="6"/>
  <c r="A624" i="6"/>
  <c r="AF623" i="6"/>
  <c r="AD623" i="6"/>
  <c r="AC623" i="6"/>
  <c r="AB623" i="6"/>
  <c r="Z623" i="6"/>
  <c r="V623" i="6"/>
  <c r="R623" i="6"/>
  <c r="N623" i="6"/>
  <c r="J623" i="6"/>
  <c r="I623" i="6"/>
  <c r="H623" i="6"/>
  <c r="D623" i="6"/>
  <c r="A623" i="6"/>
  <c r="AF622" i="6"/>
  <c r="AC622" i="6"/>
  <c r="AD622" i="6" s="1"/>
  <c r="Z622" i="6"/>
  <c r="V622" i="6"/>
  <c r="R622" i="6"/>
  <c r="AB622" i="6" s="1"/>
  <c r="N622" i="6"/>
  <c r="J622" i="6"/>
  <c r="I622" i="6"/>
  <c r="H622" i="6"/>
  <c r="D622" i="6"/>
  <c r="A622" i="6"/>
  <c r="AF621" i="6"/>
  <c r="AD621" i="6"/>
  <c r="AC621" i="6"/>
  <c r="Z621" i="6"/>
  <c r="V621" i="6"/>
  <c r="AB621" i="6" s="1"/>
  <c r="R621" i="6"/>
  <c r="N621" i="6"/>
  <c r="J621" i="6"/>
  <c r="I621" i="6"/>
  <c r="H621" i="6"/>
  <c r="D621" i="6"/>
  <c r="A621" i="6"/>
  <c r="AF620" i="6"/>
  <c r="AD620" i="6"/>
  <c r="AC620" i="6"/>
  <c r="Z620" i="6"/>
  <c r="V620" i="6"/>
  <c r="R620" i="6"/>
  <c r="AB620" i="6" s="1"/>
  <c r="N620" i="6"/>
  <c r="J620" i="6"/>
  <c r="I620" i="6"/>
  <c r="H620" i="6"/>
  <c r="D620" i="6"/>
  <c r="A620" i="6"/>
  <c r="AF619" i="6"/>
  <c r="AD619" i="6"/>
  <c r="AC619" i="6"/>
  <c r="AB619" i="6"/>
  <c r="Z619" i="6"/>
  <c r="V619" i="6"/>
  <c r="R619" i="6"/>
  <c r="N619" i="6"/>
  <c r="J619" i="6"/>
  <c r="I619" i="6"/>
  <c r="H619" i="6"/>
  <c r="D619" i="6"/>
  <c r="A619" i="6"/>
  <c r="AF618" i="6"/>
  <c r="AC618" i="6"/>
  <c r="AD618" i="6" s="1"/>
  <c r="Z618" i="6"/>
  <c r="V618" i="6"/>
  <c r="R618" i="6"/>
  <c r="AB618" i="6" s="1"/>
  <c r="N618" i="6"/>
  <c r="J618" i="6"/>
  <c r="I618" i="6"/>
  <c r="H618" i="6"/>
  <c r="D618" i="6"/>
  <c r="A618" i="6"/>
  <c r="AF617" i="6"/>
  <c r="AD617" i="6"/>
  <c r="AC617" i="6"/>
  <c r="AB617" i="6"/>
  <c r="Z617" i="6"/>
  <c r="V617" i="6"/>
  <c r="R617" i="6"/>
  <c r="N617" i="6"/>
  <c r="J617" i="6"/>
  <c r="I617" i="6"/>
  <c r="H617" i="6"/>
  <c r="D617" i="6"/>
  <c r="A617" i="6"/>
  <c r="AF616" i="6"/>
  <c r="AC616" i="6"/>
  <c r="AD616" i="6" s="1"/>
  <c r="Z616" i="6"/>
  <c r="V616" i="6"/>
  <c r="R616" i="6"/>
  <c r="AB616" i="6" s="1"/>
  <c r="N616" i="6"/>
  <c r="J616" i="6"/>
  <c r="I616" i="6"/>
  <c r="H616" i="6"/>
  <c r="D616" i="6"/>
  <c r="A616" i="6"/>
  <c r="AF615" i="6"/>
  <c r="AD615" i="6"/>
  <c r="AC615" i="6"/>
  <c r="Z615" i="6"/>
  <c r="V615" i="6"/>
  <c r="AB615" i="6" s="1"/>
  <c r="R615" i="6"/>
  <c r="N615" i="6"/>
  <c r="J615" i="6"/>
  <c r="I615" i="6"/>
  <c r="H615" i="6"/>
  <c r="D615" i="6"/>
  <c r="A615" i="6"/>
  <c r="AF614" i="6"/>
  <c r="AD614" i="6"/>
  <c r="AC614" i="6"/>
  <c r="Z614" i="6"/>
  <c r="V614" i="6"/>
  <c r="R614" i="6"/>
  <c r="AB614" i="6" s="1"/>
  <c r="N614" i="6"/>
  <c r="J614" i="6"/>
  <c r="I614" i="6"/>
  <c r="H614" i="6"/>
  <c r="D614" i="6"/>
  <c r="A614" i="6"/>
  <c r="AF613" i="6"/>
  <c r="AD613" i="6"/>
  <c r="AC613" i="6"/>
  <c r="AB613" i="6"/>
  <c r="Z613" i="6"/>
  <c r="V613" i="6"/>
  <c r="R613" i="6"/>
  <c r="N613" i="6"/>
  <c r="J613" i="6"/>
  <c r="I613" i="6"/>
  <c r="H613" i="6"/>
  <c r="D613" i="6"/>
  <c r="A613" i="6"/>
  <c r="AF612" i="6"/>
  <c r="AC612" i="6"/>
  <c r="AD612" i="6" s="1"/>
  <c r="Z612" i="6"/>
  <c r="V612" i="6"/>
  <c r="R612" i="6"/>
  <c r="AB612" i="6" s="1"/>
  <c r="N612" i="6"/>
  <c r="J612" i="6"/>
  <c r="I612" i="6"/>
  <c r="H612" i="6"/>
  <c r="D612" i="6"/>
  <c r="A612" i="6"/>
  <c r="AF611" i="6"/>
  <c r="AD611" i="6"/>
  <c r="AC611" i="6"/>
  <c r="AB611" i="6"/>
  <c r="Z611" i="6"/>
  <c r="V611" i="6"/>
  <c r="R611" i="6"/>
  <c r="N611" i="6"/>
  <c r="J611" i="6"/>
  <c r="I611" i="6"/>
  <c r="H611" i="6"/>
  <c r="D611" i="6"/>
  <c r="A611" i="6"/>
  <c r="AF610" i="6"/>
  <c r="AC610" i="6"/>
  <c r="AD610" i="6" s="1"/>
  <c r="Z610" i="6"/>
  <c r="V610" i="6"/>
  <c r="R610" i="6"/>
  <c r="AB610" i="6" s="1"/>
  <c r="N610" i="6"/>
  <c r="J610" i="6"/>
  <c r="I610" i="6"/>
  <c r="H610" i="6"/>
  <c r="D610" i="6"/>
  <c r="A610" i="6"/>
  <c r="AF609" i="6"/>
  <c r="AD609" i="6"/>
  <c r="AC609" i="6"/>
  <c r="Z609" i="6"/>
  <c r="V609" i="6"/>
  <c r="AB609" i="6" s="1"/>
  <c r="R609" i="6"/>
  <c r="N609" i="6"/>
  <c r="J609" i="6"/>
  <c r="I609" i="6"/>
  <c r="H609" i="6"/>
  <c r="D609" i="6"/>
  <c r="A609" i="6"/>
  <c r="AF608" i="6"/>
  <c r="AD608" i="6"/>
  <c r="AC608" i="6"/>
  <c r="Z608" i="6"/>
  <c r="V608" i="6"/>
  <c r="R608" i="6"/>
  <c r="AB608" i="6" s="1"/>
  <c r="N608" i="6"/>
  <c r="J608" i="6"/>
  <c r="I608" i="6"/>
  <c r="H608" i="6"/>
  <c r="D608" i="6"/>
  <c r="A608" i="6"/>
  <c r="AF607" i="6"/>
  <c r="AD607" i="6"/>
  <c r="AC607" i="6"/>
  <c r="AB607" i="6"/>
  <c r="Z607" i="6"/>
  <c r="V607" i="6"/>
  <c r="R607" i="6"/>
  <c r="N607" i="6"/>
  <c r="J607" i="6"/>
  <c r="I607" i="6"/>
  <c r="H607" i="6"/>
  <c r="D607" i="6"/>
  <c r="A607" i="6"/>
  <c r="AF606" i="6"/>
  <c r="AC606" i="6"/>
  <c r="AD606" i="6" s="1"/>
  <c r="Z606" i="6"/>
  <c r="V606" i="6"/>
  <c r="R606" i="6"/>
  <c r="AB606" i="6" s="1"/>
  <c r="N606" i="6"/>
  <c r="J606" i="6"/>
  <c r="I606" i="6"/>
  <c r="H606" i="6"/>
  <c r="D606" i="6"/>
  <c r="A606" i="6"/>
  <c r="AF605" i="6"/>
  <c r="AD605" i="6"/>
  <c r="AC605" i="6"/>
  <c r="AB605" i="6"/>
  <c r="Z605" i="6"/>
  <c r="V605" i="6"/>
  <c r="R605" i="6"/>
  <c r="N605" i="6"/>
  <c r="J605" i="6"/>
  <c r="I605" i="6"/>
  <c r="H605" i="6"/>
  <c r="D605" i="6"/>
  <c r="A605" i="6"/>
  <c r="AF604" i="6"/>
  <c r="AC604" i="6"/>
  <c r="AD604" i="6" s="1"/>
  <c r="Z604" i="6"/>
  <c r="V604" i="6"/>
  <c r="R604" i="6"/>
  <c r="AB604" i="6" s="1"/>
  <c r="N604" i="6"/>
  <c r="J604" i="6"/>
  <c r="I604" i="6"/>
  <c r="H604" i="6"/>
  <c r="D604" i="6"/>
  <c r="A604" i="6"/>
  <c r="AF603" i="6"/>
  <c r="AD603" i="6"/>
  <c r="AC603" i="6"/>
  <c r="Z603" i="6"/>
  <c r="V603" i="6"/>
  <c r="AB603" i="6" s="1"/>
  <c r="R603" i="6"/>
  <c r="N603" i="6"/>
  <c r="J603" i="6"/>
  <c r="I603" i="6"/>
  <c r="H603" i="6"/>
  <c r="D603" i="6"/>
  <c r="A603" i="6"/>
  <c r="AF602" i="6"/>
  <c r="AD602" i="6"/>
  <c r="AC602" i="6"/>
  <c r="Z602" i="6"/>
  <c r="V602" i="6"/>
  <c r="R602" i="6"/>
  <c r="AB602" i="6" s="1"/>
  <c r="N602" i="6"/>
  <c r="J602" i="6"/>
  <c r="I602" i="6"/>
  <c r="H602" i="6"/>
  <c r="D602" i="6"/>
  <c r="A602" i="6"/>
  <c r="AF601" i="6"/>
  <c r="AD601" i="6"/>
  <c r="AC601" i="6"/>
  <c r="Z601" i="6"/>
  <c r="V601" i="6"/>
  <c r="AB601" i="6" s="1"/>
  <c r="R601" i="6"/>
  <c r="N601" i="6"/>
  <c r="J601" i="6"/>
  <c r="I601" i="6"/>
  <c r="H601" i="6"/>
  <c r="D601" i="6"/>
  <c r="A601" i="6"/>
  <c r="AF600" i="6"/>
  <c r="AC600" i="6"/>
  <c r="AD600" i="6" s="1"/>
  <c r="Z600" i="6"/>
  <c r="V600" i="6"/>
  <c r="R600" i="6"/>
  <c r="AB600" i="6" s="1"/>
  <c r="N600" i="6"/>
  <c r="J600" i="6"/>
  <c r="I600" i="6"/>
  <c r="H600" i="6"/>
  <c r="D600" i="6"/>
  <c r="A600" i="6"/>
  <c r="AF599" i="6"/>
  <c r="AD599" i="6"/>
  <c r="AC599" i="6"/>
  <c r="AB599" i="6"/>
  <c r="Z599" i="6"/>
  <c r="V599" i="6"/>
  <c r="R599" i="6"/>
  <c r="N599" i="6"/>
  <c r="J599" i="6"/>
  <c r="I599" i="6"/>
  <c r="H599" i="6"/>
  <c r="D599" i="6"/>
  <c r="A599" i="6"/>
  <c r="AF598" i="6"/>
  <c r="AC598" i="6"/>
  <c r="AD598" i="6" s="1"/>
  <c r="Z598" i="6"/>
  <c r="V598" i="6"/>
  <c r="R598" i="6"/>
  <c r="AB598" i="6" s="1"/>
  <c r="N598" i="6"/>
  <c r="J598" i="6"/>
  <c r="I598" i="6"/>
  <c r="H598" i="6"/>
  <c r="D598" i="6"/>
  <c r="A598" i="6"/>
  <c r="AF597" i="6"/>
  <c r="AD597" i="6"/>
  <c r="AC597" i="6"/>
  <c r="Z597" i="6"/>
  <c r="V597" i="6"/>
  <c r="AB597" i="6" s="1"/>
  <c r="R597" i="6"/>
  <c r="N597" i="6"/>
  <c r="J597" i="6"/>
  <c r="I597" i="6"/>
  <c r="H597" i="6"/>
  <c r="D597" i="6"/>
  <c r="A597" i="6"/>
  <c r="AF596" i="6"/>
  <c r="AD596" i="6"/>
  <c r="AC596" i="6"/>
  <c r="Z596" i="6"/>
  <c r="V596" i="6"/>
  <c r="R596" i="6"/>
  <c r="AB596" i="6" s="1"/>
  <c r="N596" i="6"/>
  <c r="J596" i="6"/>
  <c r="I596" i="6"/>
  <c r="H596" i="6"/>
  <c r="D596" i="6"/>
  <c r="A596" i="6"/>
  <c r="AF595" i="6"/>
  <c r="AD595" i="6"/>
  <c r="AC595" i="6"/>
  <c r="Z595" i="6"/>
  <c r="V595" i="6"/>
  <c r="AB595" i="6" s="1"/>
  <c r="R595" i="6"/>
  <c r="N595" i="6"/>
  <c r="J595" i="6"/>
  <c r="I595" i="6"/>
  <c r="H595" i="6"/>
  <c r="D595" i="6"/>
  <c r="A595" i="6"/>
  <c r="AF594" i="6"/>
  <c r="AC594" i="6"/>
  <c r="AD594" i="6" s="1"/>
  <c r="Z594" i="6"/>
  <c r="V594" i="6"/>
  <c r="R594" i="6"/>
  <c r="AB594" i="6" s="1"/>
  <c r="N594" i="6"/>
  <c r="J594" i="6"/>
  <c r="I594" i="6"/>
  <c r="H594" i="6"/>
  <c r="D594" i="6"/>
  <c r="A594" i="6"/>
  <c r="AF593" i="6"/>
  <c r="AD593" i="6"/>
  <c r="AC593" i="6"/>
  <c r="AB593" i="6"/>
  <c r="Z593" i="6"/>
  <c r="V593" i="6"/>
  <c r="R593" i="6"/>
  <c r="N593" i="6"/>
  <c r="J593" i="6"/>
  <c r="I593" i="6"/>
  <c r="H593" i="6"/>
  <c r="D593" i="6"/>
  <c r="A593" i="6"/>
  <c r="AF592" i="6"/>
  <c r="AC592" i="6"/>
  <c r="AD592" i="6" s="1"/>
  <c r="Z592" i="6"/>
  <c r="V592" i="6"/>
  <c r="R592" i="6"/>
  <c r="AB592" i="6" s="1"/>
  <c r="N592" i="6"/>
  <c r="J592" i="6"/>
  <c r="I592" i="6"/>
  <c r="H592" i="6"/>
  <c r="D592" i="6"/>
  <c r="A592" i="6"/>
  <c r="AF591" i="6"/>
  <c r="AD591" i="6"/>
  <c r="AC591" i="6"/>
  <c r="Z591" i="6"/>
  <c r="V591" i="6"/>
  <c r="AB591" i="6" s="1"/>
  <c r="R591" i="6"/>
  <c r="N591" i="6"/>
  <c r="J591" i="6"/>
  <c r="I591" i="6"/>
  <c r="H591" i="6"/>
  <c r="D591" i="6"/>
  <c r="A591" i="6"/>
  <c r="AF590" i="6"/>
  <c r="AD590" i="6"/>
  <c r="AC590" i="6"/>
  <c r="Z590" i="6"/>
  <c r="V590" i="6"/>
  <c r="R590" i="6"/>
  <c r="AB590" i="6" s="1"/>
  <c r="N590" i="6"/>
  <c r="J590" i="6"/>
  <c r="I590" i="6"/>
  <c r="H590" i="6"/>
  <c r="D590" i="6"/>
  <c r="A590" i="6"/>
  <c r="AF589" i="6"/>
  <c r="AD589" i="6"/>
  <c r="AC589" i="6"/>
  <c r="Z589" i="6"/>
  <c r="V589" i="6"/>
  <c r="AB589" i="6" s="1"/>
  <c r="R589" i="6"/>
  <c r="N589" i="6"/>
  <c r="J589" i="6"/>
  <c r="I589" i="6"/>
  <c r="H589" i="6"/>
  <c r="D589" i="6"/>
  <c r="A589" i="6"/>
  <c r="AF588" i="6"/>
  <c r="AC588" i="6"/>
  <c r="AD588" i="6" s="1"/>
  <c r="Z588" i="6"/>
  <c r="V588" i="6"/>
  <c r="R588" i="6"/>
  <c r="AB588" i="6" s="1"/>
  <c r="N588" i="6"/>
  <c r="J588" i="6"/>
  <c r="I588" i="6"/>
  <c r="H588" i="6"/>
  <c r="D588" i="6"/>
  <c r="A588" i="6"/>
  <c r="AF587" i="6"/>
  <c r="AD587" i="6"/>
  <c r="AC587" i="6"/>
  <c r="AB587" i="6"/>
  <c r="Z587" i="6"/>
  <c r="V587" i="6"/>
  <c r="R587" i="6"/>
  <c r="N587" i="6"/>
  <c r="J587" i="6"/>
  <c r="I587" i="6"/>
  <c r="H587" i="6"/>
  <c r="D587" i="6"/>
  <c r="A587" i="6"/>
  <c r="AF586" i="6"/>
  <c r="AC586" i="6"/>
  <c r="AD586" i="6" s="1"/>
  <c r="Z586" i="6"/>
  <c r="V586" i="6"/>
  <c r="R586" i="6"/>
  <c r="AB586" i="6" s="1"/>
  <c r="N586" i="6"/>
  <c r="J586" i="6"/>
  <c r="I586" i="6"/>
  <c r="H586" i="6"/>
  <c r="D586" i="6"/>
  <c r="A586" i="6"/>
  <c r="AF585" i="6"/>
  <c r="AD585" i="6"/>
  <c r="AC585" i="6"/>
  <c r="Z585" i="6"/>
  <c r="V585" i="6"/>
  <c r="AB585" i="6" s="1"/>
  <c r="R585" i="6"/>
  <c r="N585" i="6"/>
  <c r="J585" i="6"/>
  <c r="I585" i="6"/>
  <c r="H585" i="6"/>
  <c r="D585" i="6"/>
  <c r="A585" i="6"/>
  <c r="AF584" i="6"/>
  <c r="AC584" i="6"/>
  <c r="AD584" i="6" s="1"/>
  <c r="Z584" i="6"/>
  <c r="V584" i="6"/>
  <c r="R584" i="6"/>
  <c r="AB584" i="6" s="1"/>
  <c r="N584" i="6"/>
  <c r="J584" i="6"/>
  <c r="I584" i="6"/>
  <c r="H584" i="6"/>
  <c r="D584" i="6"/>
  <c r="A584" i="6"/>
  <c r="AF583" i="6"/>
  <c r="AD583" i="6"/>
  <c r="AC583" i="6"/>
  <c r="Z583" i="6"/>
  <c r="V583" i="6"/>
  <c r="AB583" i="6" s="1"/>
  <c r="R583" i="6"/>
  <c r="N583" i="6"/>
  <c r="J583" i="6"/>
  <c r="I583" i="6"/>
  <c r="H583" i="6"/>
  <c r="D583" i="6"/>
  <c r="A583" i="6"/>
  <c r="AF582" i="6"/>
  <c r="AC582" i="6"/>
  <c r="AD582" i="6" s="1"/>
  <c r="Z582" i="6"/>
  <c r="V582" i="6"/>
  <c r="R582" i="6"/>
  <c r="AB582" i="6" s="1"/>
  <c r="N582" i="6"/>
  <c r="J582" i="6"/>
  <c r="I582" i="6"/>
  <c r="H582" i="6"/>
  <c r="D582" i="6"/>
  <c r="A582" i="6"/>
  <c r="AF581" i="6"/>
  <c r="AD581" i="6"/>
  <c r="AC581" i="6"/>
  <c r="Z581" i="6"/>
  <c r="V581" i="6"/>
  <c r="AB581" i="6" s="1"/>
  <c r="R581" i="6"/>
  <c r="N581" i="6"/>
  <c r="J581" i="6"/>
  <c r="I581" i="6"/>
  <c r="H581" i="6"/>
  <c r="D581" i="6"/>
  <c r="A581" i="6"/>
  <c r="AF580" i="6"/>
  <c r="AC580" i="6"/>
  <c r="AD580" i="6" s="1"/>
  <c r="Z580" i="6"/>
  <c r="V580" i="6"/>
  <c r="R580" i="6"/>
  <c r="AB580" i="6" s="1"/>
  <c r="N580" i="6"/>
  <c r="J580" i="6"/>
  <c r="I580" i="6"/>
  <c r="H580" i="6"/>
  <c r="D580" i="6"/>
  <c r="A580" i="6"/>
  <c r="AF579" i="6"/>
  <c r="AD579" i="6"/>
  <c r="AC579" i="6"/>
  <c r="AB579" i="6"/>
  <c r="Z579" i="6"/>
  <c r="V579" i="6"/>
  <c r="R579" i="6"/>
  <c r="N579" i="6"/>
  <c r="J579" i="6"/>
  <c r="I579" i="6"/>
  <c r="H579" i="6"/>
  <c r="D579" i="6"/>
  <c r="A579" i="6"/>
  <c r="AF578" i="6"/>
  <c r="AC578" i="6"/>
  <c r="AD578" i="6" s="1"/>
  <c r="AB578" i="6"/>
  <c r="Z578" i="6"/>
  <c r="V578" i="6"/>
  <c r="R578" i="6"/>
  <c r="N578" i="6"/>
  <c r="J578" i="6"/>
  <c r="I578" i="6"/>
  <c r="H578" i="6"/>
  <c r="D578" i="6"/>
  <c r="A578" i="6"/>
  <c r="AF577" i="6"/>
  <c r="AD577" i="6"/>
  <c r="AC577" i="6"/>
  <c r="Z577" i="6"/>
  <c r="V577" i="6"/>
  <c r="R577" i="6"/>
  <c r="AB577" i="6" s="1"/>
  <c r="N577" i="6"/>
  <c r="J577" i="6"/>
  <c r="I577" i="6"/>
  <c r="H577" i="6"/>
  <c r="D577" i="6"/>
  <c r="A577" i="6"/>
  <c r="AF576" i="6"/>
  <c r="AD576" i="6"/>
  <c r="AC576" i="6"/>
  <c r="Z576" i="6"/>
  <c r="V576" i="6"/>
  <c r="R576" i="6"/>
  <c r="AB576" i="6" s="1"/>
  <c r="N576" i="6"/>
  <c r="J576" i="6"/>
  <c r="I576" i="6"/>
  <c r="H576" i="6"/>
  <c r="D576" i="6"/>
  <c r="A576" i="6"/>
  <c r="AF575" i="6"/>
  <c r="AD575" i="6"/>
  <c r="AC575" i="6"/>
  <c r="Z575" i="6"/>
  <c r="V575" i="6"/>
  <c r="R575" i="6"/>
  <c r="N575" i="6"/>
  <c r="J575" i="6"/>
  <c r="I575" i="6"/>
  <c r="H575" i="6"/>
  <c r="D575" i="6"/>
  <c r="A575" i="6"/>
  <c r="AF574" i="6"/>
  <c r="AC574" i="6"/>
  <c r="AD574" i="6" s="1"/>
  <c r="Z574" i="6"/>
  <c r="V574" i="6"/>
  <c r="R574" i="6"/>
  <c r="N574" i="6"/>
  <c r="J574" i="6"/>
  <c r="I574" i="6"/>
  <c r="H574" i="6"/>
  <c r="D574" i="6"/>
  <c r="A574" i="6"/>
  <c r="AF573" i="6"/>
  <c r="AC573" i="6"/>
  <c r="AD573" i="6" s="1"/>
  <c r="AB573" i="6"/>
  <c r="Z573" i="6"/>
  <c r="V573" i="6"/>
  <c r="R573" i="6"/>
  <c r="N573" i="6"/>
  <c r="J573" i="6"/>
  <c r="I573" i="6"/>
  <c r="H573" i="6"/>
  <c r="D573" i="6"/>
  <c r="A573" i="6"/>
  <c r="AF572" i="6"/>
  <c r="AD572" i="6"/>
  <c r="AC572" i="6"/>
  <c r="AB572" i="6"/>
  <c r="Z572" i="6"/>
  <c r="V572" i="6"/>
  <c r="R572" i="6"/>
  <c r="N572" i="6"/>
  <c r="J572" i="6"/>
  <c r="I572" i="6"/>
  <c r="H572" i="6"/>
  <c r="D572" i="6"/>
  <c r="A572" i="6"/>
  <c r="AF571" i="6"/>
  <c r="AD571" i="6"/>
  <c r="AC571" i="6"/>
  <c r="Z571" i="6"/>
  <c r="V571" i="6"/>
  <c r="R571" i="6"/>
  <c r="AB571" i="6" s="1"/>
  <c r="N571" i="6"/>
  <c r="J571" i="6"/>
  <c r="I571" i="6"/>
  <c r="H571" i="6"/>
  <c r="D571" i="6"/>
  <c r="A571" i="6"/>
  <c r="AF570" i="6"/>
  <c r="AD570" i="6"/>
  <c r="AC570" i="6"/>
  <c r="Z570" i="6"/>
  <c r="V570" i="6"/>
  <c r="R570" i="6"/>
  <c r="N570" i="6"/>
  <c r="J570" i="6"/>
  <c r="I570" i="6"/>
  <c r="H570" i="6"/>
  <c r="D570" i="6"/>
  <c r="A570" i="6"/>
  <c r="AF569" i="6"/>
  <c r="AD569" i="6"/>
  <c r="AC569" i="6"/>
  <c r="Z569" i="6"/>
  <c r="V569" i="6"/>
  <c r="R569" i="6"/>
  <c r="N569" i="6"/>
  <c r="J569" i="6"/>
  <c r="I569" i="6"/>
  <c r="H569" i="6"/>
  <c r="D569" i="6"/>
  <c r="A569" i="6"/>
  <c r="AF568" i="6"/>
  <c r="AC568" i="6"/>
  <c r="AD568" i="6" s="1"/>
  <c r="AB568" i="6"/>
  <c r="Z568" i="6"/>
  <c r="V568" i="6"/>
  <c r="R568" i="6"/>
  <c r="N568" i="6"/>
  <c r="J568" i="6"/>
  <c r="I568" i="6"/>
  <c r="H568" i="6"/>
  <c r="D568" i="6"/>
  <c r="A568" i="6"/>
  <c r="AF567" i="6"/>
  <c r="AD567" i="6"/>
  <c r="AC567" i="6"/>
  <c r="AB567" i="6"/>
  <c r="Z567" i="6"/>
  <c r="V567" i="6"/>
  <c r="R567" i="6"/>
  <c r="N567" i="6"/>
  <c r="J567" i="6"/>
  <c r="I567" i="6"/>
  <c r="H567" i="6"/>
  <c r="D567" i="6"/>
  <c r="A567" i="6"/>
  <c r="AF566" i="6"/>
  <c r="AD566" i="6"/>
  <c r="AC566" i="6"/>
  <c r="Z566" i="6"/>
  <c r="V566" i="6"/>
  <c r="R566" i="6"/>
  <c r="AB566" i="6" s="1"/>
  <c r="N566" i="6"/>
  <c r="J566" i="6"/>
  <c r="I566" i="6"/>
  <c r="H566" i="6"/>
  <c r="D566" i="6"/>
  <c r="A566" i="6"/>
  <c r="AF565" i="6"/>
  <c r="AD565" i="6"/>
  <c r="AC565" i="6"/>
  <c r="Z565" i="6"/>
  <c r="V565" i="6"/>
  <c r="R565" i="6"/>
  <c r="AB565" i="6" s="1"/>
  <c r="N565" i="6"/>
  <c r="J565" i="6"/>
  <c r="I565" i="6"/>
  <c r="H565" i="6"/>
  <c r="D565" i="6"/>
  <c r="A565" i="6"/>
  <c r="AF564" i="6"/>
  <c r="AD564" i="6"/>
  <c r="AC564" i="6"/>
  <c r="Z564" i="6"/>
  <c r="V564" i="6"/>
  <c r="R564" i="6"/>
  <c r="N564" i="6"/>
  <c r="J564" i="6"/>
  <c r="I564" i="6"/>
  <c r="H564" i="6"/>
  <c r="D564" i="6"/>
  <c r="A564" i="6"/>
  <c r="AF563" i="6"/>
  <c r="AD563" i="6"/>
  <c r="AC563" i="6"/>
  <c r="AB563" i="6"/>
  <c r="Z563" i="6"/>
  <c r="V563" i="6"/>
  <c r="R563" i="6"/>
  <c r="N563" i="6"/>
  <c r="J563" i="6"/>
  <c r="I563" i="6"/>
  <c r="H563" i="6"/>
  <c r="D563" i="6"/>
  <c r="A563" i="6"/>
  <c r="AF562" i="6"/>
  <c r="AC562" i="6"/>
  <c r="AD562" i="6" s="1"/>
  <c r="AB562" i="6"/>
  <c r="Z562" i="6"/>
  <c r="V562" i="6"/>
  <c r="R562" i="6"/>
  <c r="N562" i="6"/>
  <c r="J562" i="6"/>
  <c r="I562" i="6"/>
  <c r="H562" i="6"/>
  <c r="D562" i="6"/>
  <c r="A562" i="6"/>
  <c r="AF561" i="6"/>
  <c r="AC561" i="6"/>
  <c r="AD561" i="6" s="1"/>
  <c r="AB561" i="6"/>
  <c r="Z561" i="6"/>
  <c r="V561" i="6"/>
  <c r="R561" i="6"/>
  <c r="N561" i="6"/>
  <c r="J561" i="6"/>
  <c r="I561" i="6"/>
  <c r="H561" i="6"/>
  <c r="D561" i="6"/>
  <c r="A561" i="6"/>
  <c r="AF560" i="6"/>
  <c r="AD560" i="6"/>
  <c r="AC560" i="6"/>
  <c r="AB560" i="6"/>
  <c r="Z560" i="6"/>
  <c r="V560" i="6"/>
  <c r="R560" i="6"/>
  <c r="N560" i="6"/>
  <c r="J560" i="6"/>
  <c r="I560" i="6"/>
  <c r="H560" i="6"/>
  <c r="D560" i="6"/>
  <c r="A560" i="6"/>
  <c r="AF559" i="6"/>
  <c r="AD559" i="6"/>
  <c r="AC559" i="6"/>
  <c r="Z559" i="6"/>
  <c r="V559" i="6"/>
  <c r="R559" i="6"/>
  <c r="AB559" i="6" s="1"/>
  <c r="N559" i="6"/>
  <c r="J559" i="6"/>
  <c r="I559" i="6"/>
  <c r="H559" i="6"/>
  <c r="D559" i="6"/>
  <c r="A559" i="6"/>
  <c r="AF558" i="6"/>
  <c r="AD558" i="6"/>
  <c r="AC558" i="6"/>
  <c r="Z558" i="6"/>
  <c r="V558" i="6"/>
  <c r="R558" i="6"/>
  <c r="AB558" i="6" s="1"/>
  <c r="N558" i="6"/>
  <c r="J558" i="6"/>
  <c r="I558" i="6"/>
  <c r="H558" i="6"/>
  <c r="D558" i="6"/>
  <c r="A558" i="6"/>
  <c r="AF557" i="6"/>
  <c r="AD557" i="6"/>
  <c r="AC557" i="6"/>
  <c r="Z557" i="6"/>
  <c r="V557" i="6"/>
  <c r="R557" i="6"/>
  <c r="AB557" i="6" s="1"/>
  <c r="N557" i="6"/>
  <c r="J557" i="6"/>
  <c r="I557" i="6"/>
  <c r="H557" i="6"/>
  <c r="D557" i="6"/>
  <c r="A557" i="6"/>
  <c r="AF556" i="6"/>
  <c r="AC556" i="6"/>
  <c r="AD556" i="6" s="1"/>
  <c r="Z556" i="6"/>
  <c r="V556" i="6"/>
  <c r="R556" i="6"/>
  <c r="AB556" i="6" s="1"/>
  <c r="N556" i="6"/>
  <c r="J556" i="6"/>
  <c r="I556" i="6"/>
  <c r="H556" i="6"/>
  <c r="D556" i="6"/>
  <c r="A556" i="6"/>
  <c r="AF555" i="6"/>
  <c r="AD555" i="6"/>
  <c r="AC555" i="6"/>
  <c r="Z555" i="6"/>
  <c r="V555" i="6"/>
  <c r="R555" i="6"/>
  <c r="AB555" i="6" s="1"/>
  <c r="N555" i="6"/>
  <c r="J555" i="6"/>
  <c r="I555" i="6"/>
  <c r="H555" i="6"/>
  <c r="D555" i="6"/>
  <c r="A555" i="6"/>
  <c r="AF554" i="6"/>
  <c r="AD554" i="6"/>
  <c r="AC554" i="6"/>
  <c r="AB554" i="6"/>
  <c r="Z554" i="6"/>
  <c r="V554" i="6"/>
  <c r="R554" i="6"/>
  <c r="N554" i="6"/>
  <c r="J554" i="6"/>
  <c r="I554" i="6"/>
  <c r="H554" i="6"/>
  <c r="D554" i="6"/>
  <c r="A554" i="6"/>
  <c r="AF553" i="6"/>
  <c r="AC553" i="6"/>
  <c r="AD553" i="6" s="1"/>
  <c r="AB553" i="6"/>
  <c r="Z553" i="6"/>
  <c r="V553" i="6"/>
  <c r="R553" i="6"/>
  <c r="N553" i="6"/>
  <c r="J553" i="6"/>
  <c r="I553" i="6"/>
  <c r="H553" i="6"/>
  <c r="D553" i="6"/>
  <c r="A553" i="6"/>
  <c r="AF552" i="6"/>
  <c r="AD552" i="6"/>
  <c r="AC552" i="6"/>
  <c r="AB552" i="6"/>
  <c r="Z552" i="6"/>
  <c r="V552" i="6"/>
  <c r="R552" i="6"/>
  <c r="N552" i="6"/>
  <c r="J552" i="6"/>
  <c r="I552" i="6"/>
  <c r="H552" i="6"/>
  <c r="D552" i="6"/>
  <c r="A552" i="6"/>
  <c r="AF551" i="6"/>
  <c r="AD551" i="6"/>
  <c r="AC551" i="6"/>
  <c r="Z551" i="6"/>
  <c r="V551" i="6"/>
  <c r="R551" i="6"/>
  <c r="AB551" i="6" s="1"/>
  <c r="N551" i="6"/>
  <c r="J551" i="6"/>
  <c r="I551" i="6"/>
  <c r="H551" i="6"/>
  <c r="D551" i="6"/>
  <c r="A551" i="6"/>
  <c r="AF550" i="6"/>
  <c r="AD550" i="6"/>
  <c r="AC550" i="6"/>
  <c r="Z550" i="6"/>
  <c r="V550" i="6"/>
  <c r="R550" i="6"/>
  <c r="AB550" i="6" s="1"/>
  <c r="N550" i="6"/>
  <c r="J550" i="6"/>
  <c r="I550" i="6"/>
  <c r="H550" i="6"/>
  <c r="D550" i="6"/>
  <c r="A550" i="6"/>
  <c r="AF549" i="6"/>
  <c r="AD549" i="6"/>
  <c r="AC549" i="6"/>
  <c r="Z549" i="6"/>
  <c r="V549" i="6"/>
  <c r="R549" i="6"/>
  <c r="AB549" i="6" s="1"/>
  <c r="N549" i="6"/>
  <c r="J549" i="6"/>
  <c r="I549" i="6"/>
  <c r="H549" i="6"/>
  <c r="D549" i="6"/>
  <c r="A549" i="6"/>
  <c r="AF548" i="6"/>
  <c r="AD548" i="6"/>
  <c r="AC548" i="6"/>
  <c r="AB548" i="6"/>
  <c r="Z548" i="6"/>
  <c r="V548" i="6"/>
  <c r="R548" i="6"/>
  <c r="N548" i="6"/>
  <c r="J548" i="6"/>
  <c r="I548" i="6"/>
  <c r="H548" i="6"/>
  <c r="D548" i="6"/>
  <c r="A548" i="6"/>
  <c r="AF547" i="6"/>
  <c r="AC547" i="6"/>
  <c r="AD547" i="6" s="1"/>
  <c r="AB547" i="6"/>
  <c r="Z547" i="6"/>
  <c r="V547" i="6"/>
  <c r="R547" i="6"/>
  <c r="N547" i="6"/>
  <c r="J547" i="6"/>
  <c r="I547" i="6"/>
  <c r="H547" i="6"/>
  <c r="D547" i="6"/>
  <c r="A547" i="6"/>
  <c r="AF546" i="6"/>
  <c r="AD546" i="6"/>
  <c r="AC546" i="6"/>
  <c r="AB546" i="6"/>
  <c r="Z546" i="6"/>
  <c r="V546" i="6"/>
  <c r="R546" i="6"/>
  <c r="N546" i="6"/>
  <c r="J546" i="6"/>
  <c r="I546" i="6"/>
  <c r="H546" i="6"/>
  <c r="D546" i="6"/>
  <c r="A546" i="6"/>
  <c r="AF545" i="6"/>
  <c r="AD545" i="6"/>
  <c r="AC545" i="6"/>
  <c r="Z545" i="6"/>
  <c r="V545" i="6"/>
  <c r="R545" i="6"/>
  <c r="AB545" i="6" s="1"/>
  <c r="N545" i="6"/>
  <c r="J545" i="6"/>
  <c r="I545" i="6"/>
  <c r="H545" i="6"/>
  <c r="D545" i="6"/>
  <c r="A545" i="6"/>
  <c r="AF544" i="6"/>
  <c r="AD544" i="6"/>
  <c r="AC544" i="6"/>
  <c r="Z544" i="6"/>
  <c r="V544" i="6"/>
  <c r="R544" i="6"/>
  <c r="AB544" i="6" s="1"/>
  <c r="N544" i="6"/>
  <c r="J544" i="6"/>
  <c r="I544" i="6"/>
  <c r="H544" i="6"/>
  <c r="D544" i="6"/>
  <c r="A544" i="6"/>
  <c r="AF543" i="6"/>
  <c r="AD543" i="6"/>
  <c r="AC543" i="6"/>
  <c r="Z543" i="6"/>
  <c r="V543" i="6"/>
  <c r="R543" i="6"/>
  <c r="AB543" i="6" s="1"/>
  <c r="N543" i="6"/>
  <c r="J543" i="6"/>
  <c r="I543" i="6"/>
  <c r="H543" i="6"/>
  <c r="D543" i="6"/>
  <c r="A543" i="6"/>
  <c r="AF542" i="6"/>
  <c r="AD542" i="6"/>
  <c r="AC542" i="6"/>
  <c r="AB542" i="6"/>
  <c r="Z542" i="6"/>
  <c r="V542" i="6"/>
  <c r="R542" i="6"/>
  <c r="N542" i="6"/>
  <c r="J542" i="6"/>
  <c r="I542" i="6"/>
  <c r="H542" i="6"/>
  <c r="D542" i="6"/>
  <c r="A542" i="6"/>
  <c r="AF541" i="6"/>
  <c r="AC541" i="6"/>
  <c r="AD541" i="6" s="1"/>
  <c r="AB541" i="6"/>
  <c r="Z541" i="6"/>
  <c r="V541" i="6"/>
  <c r="R541" i="6"/>
  <c r="N541" i="6"/>
  <c r="J541" i="6"/>
  <c r="I541" i="6"/>
  <c r="H541" i="6"/>
  <c r="D541" i="6"/>
  <c r="A541" i="6"/>
  <c r="AF540" i="6"/>
  <c r="AD540" i="6"/>
  <c r="AC540" i="6"/>
  <c r="AB540" i="6"/>
  <c r="Z540" i="6"/>
  <c r="V540" i="6"/>
  <c r="R540" i="6"/>
  <c r="N540" i="6"/>
  <c r="J540" i="6"/>
  <c r="I540" i="6"/>
  <c r="H540" i="6"/>
  <c r="D540" i="6"/>
  <c r="A540" i="6"/>
  <c r="AF539" i="6"/>
  <c r="AD539" i="6"/>
  <c r="AC539" i="6"/>
  <c r="Z539" i="6"/>
  <c r="V539" i="6"/>
  <c r="R539" i="6"/>
  <c r="AB539" i="6" s="1"/>
  <c r="N539" i="6"/>
  <c r="J539" i="6"/>
  <c r="I539" i="6"/>
  <c r="H539" i="6"/>
  <c r="D539" i="6"/>
  <c r="A539" i="6"/>
  <c r="AF538" i="6"/>
  <c r="AD538" i="6"/>
  <c r="AC538" i="6"/>
  <c r="Z538" i="6"/>
  <c r="V538" i="6"/>
  <c r="R538" i="6"/>
  <c r="AB538" i="6" s="1"/>
  <c r="N538" i="6"/>
  <c r="J538" i="6"/>
  <c r="I538" i="6"/>
  <c r="H538" i="6"/>
  <c r="D538" i="6"/>
  <c r="A538" i="6"/>
  <c r="AF537" i="6"/>
  <c r="AD537" i="6"/>
  <c r="AC537" i="6"/>
  <c r="Z537" i="6"/>
  <c r="V537" i="6"/>
  <c r="R537" i="6"/>
  <c r="AB537" i="6" s="1"/>
  <c r="N537" i="6"/>
  <c r="J537" i="6"/>
  <c r="I537" i="6"/>
  <c r="H537" i="6"/>
  <c r="D537" i="6"/>
  <c r="A537" i="6"/>
  <c r="AF536" i="6"/>
  <c r="AD536" i="6"/>
  <c r="AC536" i="6"/>
  <c r="AB536" i="6"/>
  <c r="Z536" i="6"/>
  <c r="V536" i="6"/>
  <c r="R536" i="6"/>
  <c r="N536" i="6"/>
  <c r="J536" i="6"/>
  <c r="I536" i="6"/>
  <c r="H536" i="6"/>
  <c r="D536" i="6"/>
  <c r="A536" i="6"/>
  <c r="AF535" i="6"/>
  <c r="AC535" i="6"/>
  <c r="AD535" i="6" s="1"/>
  <c r="AB535" i="6"/>
  <c r="Z535" i="6"/>
  <c r="V535" i="6"/>
  <c r="R535" i="6"/>
  <c r="N535" i="6"/>
  <c r="J535" i="6"/>
  <c r="I535" i="6"/>
  <c r="H535" i="6"/>
  <c r="D535" i="6"/>
  <c r="A535" i="6"/>
  <c r="AF534" i="6"/>
  <c r="AD534" i="6"/>
  <c r="AC534" i="6"/>
  <c r="AB534" i="6"/>
  <c r="Z534" i="6"/>
  <c r="V534" i="6"/>
  <c r="R534" i="6"/>
  <c r="N534" i="6"/>
  <c r="J534" i="6"/>
  <c r="I534" i="6"/>
  <c r="H534" i="6"/>
  <c r="D534" i="6"/>
  <c r="A534" i="6"/>
  <c r="AF533" i="6"/>
  <c r="AD533" i="6"/>
  <c r="AC533" i="6"/>
  <c r="Z533" i="6"/>
  <c r="V533" i="6"/>
  <c r="R533" i="6"/>
  <c r="AB533" i="6" s="1"/>
  <c r="N533" i="6"/>
  <c r="J533" i="6"/>
  <c r="I533" i="6"/>
  <c r="H533" i="6"/>
  <c r="D533" i="6"/>
  <c r="A533" i="6"/>
  <c r="AF532" i="6"/>
  <c r="AD532" i="6"/>
  <c r="AC532" i="6"/>
  <c r="Z532" i="6"/>
  <c r="V532" i="6"/>
  <c r="R532" i="6"/>
  <c r="AB532" i="6" s="1"/>
  <c r="N532" i="6"/>
  <c r="J532" i="6"/>
  <c r="I532" i="6"/>
  <c r="H532" i="6"/>
  <c r="D532" i="6"/>
  <c r="A532" i="6"/>
  <c r="AF531" i="6"/>
  <c r="AD531" i="6"/>
  <c r="AC531" i="6"/>
  <c r="Z531" i="6"/>
  <c r="V531" i="6"/>
  <c r="R531" i="6"/>
  <c r="AB531" i="6" s="1"/>
  <c r="N531" i="6"/>
  <c r="J531" i="6"/>
  <c r="I531" i="6"/>
  <c r="H531" i="6"/>
  <c r="D531" i="6"/>
  <c r="A531" i="6"/>
  <c r="AF530" i="6"/>
  <c r="AD530" i="6"/>
  <c r="AC530" i="6"/>
  <c r="AB530" i="6"/>
  <c r="Z530" i="6"/>
  <c r="V530" i="6"/>
  <c r="R530" i="6"/>
  <c r="N530" i="6"/>
  <c r="J530" i="6"/>
  <c r="I530" i="6"/>
  <c r="H530" i="6"/>
  <c r="D530" i="6"/>
  <c r="A530" i="6"/>
  <c r="AF529" i="6"/>
  <c r="AC529" i="6"/>
  <c r="AD529" i="6" s="1"/>
  <c r="AB529" i="6"/>
  <c r="Z529" i="6"/>
  <c r="V529" i="6"/>
  <c r="R529" i="6"/>
  <c r="N529" i="6"/>
  <c r="J529" i="6"/>
  <c r="I529" i="6"/>
  <c r="H529" i="6"/>
  <c r="D529" i="6"/>
  <c r="A529" i="6"/>
  <c r="AF528" i="6"/>
  <c r="AD528" i="6"/>
  <c r="AC528" i="6"/>
  <c r="AB528" i="6"/>
  <c r="Z528" i="6"/>
  <c r="V528" i="6"/>
  <c r="R528" i="6"/>
  <c r="N528" i="6"/>
  <c r="J528" i="6"/>
  <c r="I528" i="6"/>
  <c r="H528" i="6"/>
  <c r="D528" i="6"/>
  <c r="A528" i="6"/>
  <c r="AF527" i="6"/>
  <c r="AD527" i="6"/>
  <c r="AC527" i="6"/>
  <c r="Z527" i="6"/>
  <c r="V527" i="6"/>
  <c r="R527" i="6"/>
  <c r="AB527" i="6" s="1"/>
  <c r="N527" i="6"/>
  <c r="J527" i="6"/>
  <c r="I527" i="6"/>
  <c r="H527" i="6"/>
  <c r="D527" i="6"/>
  <c r="A527" i="6"/>
  <c r="AF526" i="6"/>
  <c r="AD526" i="6"/>
  <c r="AC526" i="6"/>
  <c r="Z526" i="6"/>
  <c r="V526" i="6"/>
  <c r="R526" i="6"/>
  <c r="AB526" i="6" s="1"/>
  <c r="N526" i="6"/>
  <c r="J526" i="6"/>
  <c r="I526" i="6"/>
  <c r="H526" i="6"/>
  <c r="D526" i="6"/>
  <c r="A526" i="6"/>
  <c r="AF525" i="6"/>
  <c r="AD525" i="6"/>
  <c r="AC525" i="6"/>
  <c r="Z525" i="6"/>
  <c r="V525" i="6"/>
  <c r="R525" i="6"/>
  <c r="AB525" i="6" s="1"/>
  <c r="N525" i="6"/>
  <c r="J525" i="6"/>
  <c r="I525" i="6"/>
  <c r="H525" i="6"/>
  <c r="D525" i="6"/>
  <c r="A525" i="6"/>
  <c r="AF524" i="6"/>
  <c r="AD524" i="6"/>
  <c r="AC524" i="6"/>
  <c r="AB524" i="6"/>
  <c r="Z524" i="6"/>
  <c r="V524" i="6"/>
  <c r="R524" i="6"/>
  <c r="N524" i="6"/>
  <c r="J524" i="6"/>
  <c r="I524" i="6"/>
  <c r="H524" i="6"/>
  <c r="D524" i="6"/>
  <c r="A524" i="6"/>
  <c r="AF523" i="6"/>
  <c r="AC523" i="6"/>
  <c r="AD523" i="6" s="1"/>
  <c r="AB523" i="6"/>
  <c r="Z523" i="6"/>
  <c r="V523" i="6"/>
  <c r="R523" i="6"/>
  <c r="N523" i="6"/>
  <c r="J523" i="6"/>
  <c r="I523" i="6"/>
  <c r="H523" i="6"/>
  <c r="D523" i="6"/>
  <c r="A523" i="6"/>
  <c r="AF522" i="6"/>
  <c r="AD522" i="6"/>
  <c r="AC522" i="6"/>
  <c r="AB522" i="6"/>
  <c r="Z522" i="6"/>
  <c r="V522" i="6"/>
  <c r="R522" i="6"/>
  <c r="N522" i="6"/>
  <c r="J522" i="6"/>
  <c r="I522" i="6"/>
  <c r="H522" i="6"/>
  <c r="D522" i="6"/>
  <c r="A522" i="6"/>
  <c r="AF521" i="6"/>
  <c r="AD521" i="6"/>
  <c r="AC521" i="6"/>
  <c r="Z521" i="6"/>
  <c r="V521" i="6"/>
  <c r="R521" i="6"/>
  <c r="AB521" i="6" s="1"/>
  <c r="N521" i="6"/>
  <c r="J521" i="6"/>
  <c r="I521" i="6"/>
  <c r="H521" i="6"/>
  <c r="D521" i="6"/>
  <c r="A521" i="6"/>
  <c r="AF520" i="6"/>
  <c r="AD520" i="6"/>
  <c r="AC520" i="6"/>
  <c r="Z520" i="6"/>
  <c r="V520" i="6"/>
  <c r="R520" i="6"/>
  <c r="AB520" i="6" s="1"/>
  <c r="N520" i="6"/>
  <c r="J520" i="6"/>
  <c r="I520" i="6"/>
  <c r="H520" i="6"/>
  <c r="D520" i="6"/>
  <c r="A520" i="6"/>
  <c r="AF519" i="6"/>
  <c r="AC519" i="6"/>
  <c r="AD519" i="6" s="1"/>
  <c r="Z519" i="6"/>
  <c r="V519" i="6"/>
  <c r="R519" i="6"/>
  <c r="AB519" i="6" s="1"/>
  <c r="N519" i="6"/>
  <c r="J519" i="6"/>
  <c r="I519" i="6"/>
  <c r="H519" i="6"/>
  <c r="D519" i="6"/>
  <c r="A519" i="6"/>
  <c r="AF518" i="6"/>
  <c r="AD518" i="6"/>
  <c r="AC518" i="6"/>
  <c r="AB518" i="6"/>
  <c r="Z518" i="6"/>
  <c r="V518" i="6"/>
  <c r="R518" i="6"/>
  <c r="N518" i="6"/>
  <c r="J518" i="6"/>
  <c r="I518" i="6"/>
  <c r="H518" i="6"/>
  <c r="D518" i="6"/>
  <c r="A518" i="6"/>
  <c r="AF517" i="6"/>
  <c r="AC517" i="6"/>
  <c r="AD517" i="6" s="1"/>
  <c r="AB517" i="6"/>
  <c r="Z517" i="6"/>
  <c r="V517" i="6"/>
  <c r="R517" i="6"/>
  <c r="N517" i="6"/>
  <c r="J517" i="6"/>
  <c r="I517" i="6"/>
  <c r="H517" i="6"/>
  <c r="D517" i="6"/>
  <c r="A517" i="6"/>
  <c r="AF516" i="6"/>
  <c r="AD516" i="6"/>
  <c r="AC516" i="6"/>
  <c r="AB516" i="6"/>
  <c r="Z516" i="6"/>
  <c r="V516" i="6"/>
  <c r="R516" i="6"/>
  <c r="N516" i="6"/>
  <c r="J516" i="6"/>
  <c r="I516" i="6"/>
  <c r="H516" i="6"/>
  <c r="D516" i="6"/>
  <c r="A516" i="6"/>
  <c r="AF515" i="6"/>
  <c r="AD515" i="6"/>
  <c r="AC515" i="6"/>
  <c r="Z515" i="6"/>
  <c r="V515" i="6"/>
  <c r="R515" i="6"/>
  <c r="AB515" i="6" s="1"/>
  <c r="N515" i="6"/>
  <c r="J515" i="6"/>
  <c r="I515" i="6"/>
  <c r="H515" i="6"/>
  <c r="D515" i="6"/>
  <c r="A515" i="6"/>
  <c r="AF514" i="6"/>
  <c r="AD514" i="6"/>
  <c r="AC514" i="6"/>
  <c r="Z514" i="6"/>
  <c r="V514" i="6"/>
  <c r="R514" i="6"/>
  <c r="AB514" i="6" s="1"/>
  <c r="N514" i="6"/>
  <c r="J514" i="6"/>
  <c r="I514" i="6"/>
  <c r="H514" i="6"/>
  <c r="D514" i="6"/>
  <c r="A514" i="6"/>
  <c r="AF513" i="6"/>
  <c r="AC513" i="6"/>
  <c r="AD513" i="6" s="1"/>
  <c r="Z513" i="6"/>
  <c r="V513" i="6"/>
  <c r="R513" i="6"/>
  <c r="AB513" i="6" s="1"/>
  <c r="N513" i="6"/>
  <c r="J513" i="6"/>
  <c r="I513" i="6"/>
  <c r="H513" i="6"/>
  <c r="D513" i="6"/>
  <c r="A513" i="6"/>
  <c r="AF512" i="6"/>
  <c r="AD512" i="6"/>
  <c r="AC512" i="6"/>
  <c r="AB512" i="6"/>
  <c r="Z512" i="6"/>
  <c r="V512" i="6"/>
  <c r="R512" i="6"/>
  <c r="N512" i="6"/>
  <c r="J512" i="6"/>
  <c r="I512" i="6"/>
  <c r="H512" i="6"/>
  <c r="D512" i="6"/>
  <c r="A512" i="6"/>
  <c r="AF511" i="6"/>
  <c r="AC511" i="6"/>
  <c r="AD511" i="6" s="1"/>
  <c r="AB511" i="6"/>
  <c r="Z511" i="6"/>
  <c r="V511" i="6"/>
  <c r="R511" i="6"/>
  <c r="N511" i="6"/>
  <c r="J511" i="6"/>
  <c r="I511" i="6"/>
  <c r="H511" i="6"/>
  <c r="D511" i="6"/>
  <c r="A511" i="6"/>
  <c r="AF510" i="6"/>
  <c r="AD510" i="6"/>
  <c r="AC510" i="6"/>
  <c r="AB510" i="6"/>
  <c r="Z510" i="6"/>
  <c r="V510" i="6"/>
  <c r="R510" i="6"/>
  <c r="N510" i="6"/>
  <c r="J510" i="6"/>
  <c r="I510" i="6"/>
  <c r="H510" i="6"/>
  <c r="D510" i="6"/>
  <c r="A510" i="6"/>
  <c r="AF509" i="6"/>
  <c r="AD509" i="6"/>
  <c r="AC509" i="6"/>
  <c r="Z509" i="6"/>
  <c r="V509" i="6"/>
  <c r="R509" i="6"/>
  <c r="AB509" i="6" s="1"/>
  <c r="N509" i="6"/>
  <c r="J509" i="6"/>
  <c r="I509" i="6"/>
  <c r="H509" i="6"/>
  <c r="D509" i="6"/>
  <c r="A509" i="6"/>
  <c r="AF508" i="6"/>
  <c r="AD508" i="6"/>
  <c r="AC508" i="6"/>
  <c r="Z508" i="6"/>
  <c r="V508" i="6"/>
  <c r="R508" i="6"/>
  <c r="AB508" i="6" s="1"/>
  <c r="N508" i="6"/>
  <c r="J508" i="6"/>
  <c r="I508" i="6"/>
  <c r="H508" i="6"/>
  <c r="D508" i="6"/>
  <c r="A508" i="6"/>
  <c r="AF507" i="6"/>
  <c r="AD507" i="6"/>
  <c r="AC507" i="6"/>
  <c r="Z507" i="6"/>
  <c r="V507" i="6"/>
  <c r="R507" i="6"/>
  <c r="AB507" i="6" s="1"/>
  <c r="N507" i="6"/>
  <c r="J507" i="6"/>
  <c r="I507" i="6"/>
  <c r="H507" i="6"/>
  <c r="D507" i="6"/>
  <c r="A507" i="6"/>
  <c r="AF506" i="6"/>
  <c r="AD506" i="6"/>
  <c r="AC506" i="6"/>
  <c r="AB506" i="6"/>
  <c r="Z506" i="6"/>
  <c r="V506" i="6"/>
  <c r="R506" i="6"/>
  <c r="N506" i="6"/>
  <c r="J506" i="6"/>
  <c r="I506" i="6"/>
  <c r="H506" i="6"/>
  <c r="D506" i="6"/>
  <c r="A506" i="6"/>
  <c r="AF505" i="6"/>
  <c r="AC505" i="6"/>
  <c r="AD505" i="6" s="1"/>
  <c r="AB505" i="6"/>
  <c r="Z505" i="6"/>
  <c r="V505" i="6"/>
  <c r="R505" i="6"/>
  <c r="N505" i="6"/>
  <c r="J505" i="6"/>
  <c r="I505" i="6"/>
  <c r="H505" i="6"/>
  <c r="D505" i="6"/>
  <c r="A505" i="6"/>
  <c r="AF504" i="6"/>
  <c r="AD504" i="6"/>
  <c r="AC504" i="6"/>
  <c r="AB504" i="6"/>
  <c r="Z504" i="6"/>
  <c r="V504" i="6"/>
  <c r="R504" i="6"/>
  <c r="N504" i="6"/>
  <c r="J504" i="6"/>
  <c r="I504" i="6"/>
  <c r="H504" i="6"/>
  <c r="D504" i="6"/>
  <c r="A504" i="6"/>
  <c r="AF503" i="6"/>
  <c r="AD503" i="6"/>
  <c r="AC503" i="6"/>
  <c r="Z503" i="6"/>
  <c r="V503" i="6"/>
  <c r="R503" i="6"/>
  <c r="AB503" i="6" s="1"/>
  <c r="N503" i="6"/>
  <c r="J503" i="6"/>
  <c r="I503" i="6"/>
  <c r="H503" i="6"/>
  <c r="D503" i="6"/>
  <c r="A503" i="6"/>
  <c r="AF502" i="6"/>
  <c r="AD502" i="6"/>
  <c r="AC502" i="6"/>
  <c r="Z502" i="6"/>
  <c r="V502" i="6"/>
  <c r="R502" i="6"/>
  <c r="AB502" i="6" s="1"/>
  <c r="N502" i="6"/>
  <c r="J502" i="6"/>
  <c r="I502" i="6"/>
  <c r="H502" i="6"/>
  <c r="D502" i="6"/>
  <c r="A502" i="6"/>
  <c r="AF501" i="6"/>
  <c r="AD501" i="6"/>
  <c r="AC501" i="6"/>
  <c r="Z501" i="6"/>
  <c r="V501" i="6"/>
  <c r="R501" i="6"/>
  <c r="AB501" i="6" s="1"/>
  <c r="N501" i="6"/>
  <c r="J501" i="6"/>
  <c r="I501" i="6"/>
  <c r="H501" i="6"/>
  <c r="D501" i="6"/>
  <c r="A501" i="6"/>
  <c r="AF500" i="6"/>
  <c r="AD500" i="6"/>
  <c r="AC500" i="6"/>
  <c r="AB500" i="6"/>
  <c r="Z500" i="6"/>
  <c r="V500" i="6"/>
  <c r="R500" i="6"/>
  <c r="N500" i="6"/>
  <c r="J500" i="6"/>
  <c r="I500" i="6"/>
  <c r="H500" i="6"/>
  <c r="D500" i="6"/>
  <c r="A500" i="6"/>
  <c r="AF499" i="6"/>
  <c r="AC499" i="6"/>
  <c r="AD499" i="6" s="1"/>
  <c r="AB499" i="6"/>
  <c r="Z499" i="6"/>
  <c r="V499" i="6"/>
  <c r="R499" i="6"/>
  <c r="N499" i="6"/>
  <c r="J499" i="6"/>
  <c r="I499" i="6"/>
  <c r="H499" i="6"/>
  <c r="D499" i="6"/>
  <c r="A499" i="6"/>
  <c r="AF498" i="6"/>
  <c r="AD498" i="6"/>
  <c r="AC498" i="6"/>
  <c r="AB498" i="6"/>
  <c r="Z498" i="6"/>
  <c r="V498" i="6"/>
  <c r="R498" i="6"/>
  <c r="N498" i="6"/>
  <c r="J498" i="6"/>
  <c r="I498" i="6"/>
  <c r="H498" i="6"/>
  <c r="D498" i="6"/>
  <c r="A498" i="6"/>
  <c r="AF497" i="6"/>
  <c r="AD497" i="6"/>
  <c r="AC497" i="6"/>
  <c r="Z497" i="6"/>
  <c r="V497" i="6"/>
  <c r="R497" i="6"/>
  <c r="AB497" i="6" s="1"/>
  <c r="N497" i="6"/>
  <c r="J497" i="6"/>
  <c r="I497" i="6"/>
  <c r="H497" i="6"/>
  <c r="D497" i="6"/>
  <c r="A497" i="6"/>
  <c r="AF496" i="6"/>
  <c r="AD496" i="6"/>
  <c r="AC496" i="6"/>
  <c r="Z496" i="6"/>
  <c r="V496" i="6"/>
  <c r="R496" i="6"/>
  <c r="AB496" i="6" s="1"/>
  <c r="N496" i="6"/>
  <c r="J496" i="6"/>
  <c r="I496" i="6"/>
  <c r="H496" i="6"/>
  <c r="D496" i="6"/>
  <c r="A496" i="6"/>
  <c r="AF495" i="6"/>
  <c r="AD495" i="6"/>
  <c r="AC495" i="6"/>
  <c r="Z495" i="6"/>
  <c r="V495" i="6"/>
  <c r="R495" i="6"/>
  <c r="AB495" i="6" s="1"/>
  <c r="N495" i="6"/>
  <c r="J495" i="6"/>
  <c r="I495" i="6"/>
  <c r="H495" i="6"/>
  <c r="D495" i="6"/>
  <c r="A495" i="6"/>
  <c r="AF494" i="6"/>
  <c r="AD494" i="6"/>
  <c r="AC494" i="6"/>
  <c r="AB494" i="6"/>
  <c r="Z494" i="6"/>
  <c r="V494" i="6"/>
  <c r="R494" i="6"/>
  <c r="N494" i="6"/>
  <c r="J494" i="6"/>
  <c r="I494" i="6"/>
  <c r="H494" i="6"/>
  <c r="D494" i="6"/>
  <c r="A494" i="6"/>
  <c r="AF493" i="6"/>
  <c r="AC493" i="6"/>
  <c r="AD493" i="6" s="1"/>
  <c r="AB493" i="6"/>
  <c r="Z493" i="6"/>
  <c r="V493" i="6"/>
  <c r="R493" i="6"/>
  <c r="N493" i="6"/>
  <c r="J493" i="6"/>
  <c r="I493" i="6"/>
  <c r="H493" i="6"/>
  <c r="D493" i="6"/>
  <c r="A493" i="6"/>
  <c r="AF492" i="6"/>
  <c r="AD492" i="6"/>
  <c r="AC492" i="6"/>
  <c r="AB492" i="6"/>
  <c r="Z492" i="6"/>
  <c r="V492" i="6"/>
  <c r="R492" i="6"/>
  <c r="N492" i="6"/>
  <c r="J492" i="6"/>
  <c r="I492" i="6"/>
  <c r="H492" i="6"/>
  <c r="D492" i="6"/>
  <c r="A492" i="6"/>
  <c r="AF491" i="6"/>
  <c r="AD491" i="6"/>
  <c r="AC491" i="6"/>
  <c r="Z491" i="6"/>
  <c r="V491" i="6"/>
  <c r="R491" i="6"/>
  <c r="AB491" i="6" s="1"/>
  <c r="N491" i="6"/>
  <c r="J491" i="6"/>
  <c r="I491" i="6"/>
  <c r="H491" i="6"/>
  <c r="D491" i="6"/>
  <c r="A491" i="6"/>
  <c r="AF490" i="6"/>
  <c r="AD490" i="6"/>
  <c r="AC490" i="6"/>
  <c r="Z490" i="6"/>
  <c r="V490" i="6"/>
  <c r="R490" i="6"/>
  <c r="AB490" i="6" s="1"/>
  <c r="N490" i="6"/>
  <c r="J490" i="6"/>
  <c r="I490" i="6"/>
  <c r="H490" i="6"/>
  <c r="D490" i="6"/>
  <c r="A490" i="6"/>
  <c r="AF489" i="6"/>
  <c r="AD489" i="6"/>
  <c r="AC489" i="6"/>
  <c r="Z489" i="6"/>
  <c r="V489" i="6"/>
  <c r="R489" i="6"/>
  <c r="AB489" i="6" s="1"/>
  <c r="N489" i="6"/>
  <c r="J489" i="6"/>
  <c r="I489" i="6"/>
  <c r="H489" i="6"/>
  <c r="D489" i="6"/>
  <c r="A489" i="6"/>
  <c r="AF488" i="6"/>
  <c r="AD488" i="6"/>
  <c r="AC488" i="6"/>
  <c r="AB488" i="6"/>
  <c r="Z488" i="6"/>
  <c r="V488" i="6"/>
  <c r="R488" i="6"/>
  <c r="N488" i="6"/>
  <c r="J488" i="6"/>
  <c r="I488" i="6"/>
  <c r="H488" i="6"/>
  <c r="D488" i="6"/>
  <c r="A488" i="6"/>
  <c r="AF487" i="6"/>
  <c r="AC487" i="6"/>
  <c r="AD487" i="6" s="1"/>
  <c r="AB487" i="6"/>
  <c r="Z487" i="6"/>
  <c r="V487" i="6"/>
  <c r="R487" i="6"/>
  <c r="N487" i="6"/>
  <c r="J487" i="6"/>
  <c r="I487" i="6"/>
  <c r="H487" i="6"/>
  <c r="D487" i="6"/>
  <c r="A487" i="6"/>
  <c r="AF486" i="6"/>
  <c r="AD486" i="6"/>
  <c r="AC486" i="6"/>
  <c r="AB486" i="6"/>
  <c r="Z486" i="6"/>
  <c r="V486" i="6"/>
  <c r="R486" i="6"/>
  <c r="N486" i="6"/>
  <c r="J486" i="6"/>
  <c r="I486" i="6"/>
  <c r="H486" i="6"/>
  <c r="D486" i="6"/>
  <c r="A486" i="6"/>
  <c r="AF485" i="6"/>
  <c r="AD485" i="6"/>
  <c r="AC485" i="6"/>
  <c r="Z485" i="6"/>
  <c r="V485" i="6"/>
  <c r="R485" i="6"/>
  <c r="AB485" i="6" s="1"/>
  <c r="N485" i="6"/>
  <c r="J485" i="6"/>
  <c r="I485" i="6"/>
  <c r="H485" i="6"/>
  <c r="D485" i="6"/>
  <c r="A485" i="6"/>
  <c r="AF484" i="6"/>
  <c r="AD484" i="6"/>
  <c r="AC484" i="6"/>
  <c r="Z484" i="6"/>
  <c r="V484" i="6"/>
  <c r="R484" i="6"/>
  <c r="AB484" i="6" s="1"/>
  <c r="N484" i="6"/>
  <c r="J484" i="6"/>
  <c r="I484" i="6"/>
  <c r="H484" i="6"/>
  <c r="D484" i="6"/>
  <c r="A484" i="6"/>
  <c r="AF483" i="6"/>
  <c r="AD483" i="6"/>
  <c r="AC483" i="6"/>
  <c r="Z483" i="6"/>
  <c r="V483" i="6"/>
  <c r="R483" i="6"/>
  <c r="AB483" i="6" s="1"/>
  <c r="N483" i="6"/>
  <c r="J483" i="6"/>
  <c r="I483" i="6"/>
  <c r="H483" i="6"/>
  <c r="D483" i="6"/>
  <c r="A483" i="6"/>
  <c r="AF482" i="6"/>
  <c r="AD482" i="6"/>
  <c r="AC482" i="6"/>
  <c r="AB482" i="6"/>
  <c r="Z482" i="6"/>
  <c r="V482" i="6"/>
  <c r="R482" i="6"/>
  <c r="N482" i="6"/>
  <c r="J482" i="6"/>
  <c r="I482" i="6"/>
  <c r="H482" i="6"/>
  <c r="D482" i="6"/>
  <c r="A482" i="6"/>
  <c r="AF481" i="6"/>
  <c r="AC481" i="6"/>
  <c r="AD481" i="6" s="1"/>
  <c r="AB481" i="6"/>
  <c r="Z481" i="6"/>
  <c r="V481" i="6"/>
  <c r="R481" i="6"/>
  <c r="N481" i="6"/>
  <c r="J481" i="6"/>
  <c r="I481" i="6"/>
  <c r="H481" i="6"/>
  <c r="D481" i="6"/>
  <c r="A481" i="6"/>
  <c r="AF480" i="6"/>
  <c r="AD480" i="6"/>
  <c r="AC480" i="6"/>
  <c r="AB480" i="6"/>
  <c r="Z480" i="6"/>
  <c r="V480" i="6"/>
  <c r="R480" i="6"/>
  <c r="N480" i="6"/>
  <c r="J480" i="6"/>
  <c r="I480" i="6"/>
  <c r="H480" i="6"/>
  <c r="D480" i="6"/>
  <c r="A480" i="6"/>
  <c r="AF479" i="6"/>
  <c r="AD479" i="6"/>
  <c r="AC479" i="6"/>
  <c r="Z479" i="6"/>
  <c r="V479" i="6"/>
  <c r="R479" i="6"/>
  <c r="AB479" i="6" s="1"/>
  <c r="N479" i="6"/>
  <c r="J479" i="6"/>
  <c r="I479" i="6"/>
  <c r="H479" i="6"/>
  <c r="D479" i="6"/>
  <c r="A479" i="6"/>
  <c r="AF478" i="6"/>
  <c r="AD478" i="6"/>
  <c r="AC478" i="6"/>
  <c r="Z478" i="6"/>
  <c r="V478" i="6"/>
  <c r="R478" i="6"/>
  <c r="AB478" i="6" s="1"/>
  <c r="N478" i="6"/>
  <c r="J478" i="6"/>
  <c r="I478" i="6"/>
  <c r="H478" i="6"/>
  <c r="D478" i="6"/>
  <c r="A478" i="6"/>
  <c r="AF477" i="6"/>
  <c r="AD477" i="6"/>
  <c r="AC477" i="6"/>
  <c r="Z477" i="6"/>
  <c r="V477" i="6"/>
  <c r="R477" i="6"/>
  <c r="AB477" i="6" s="1"/>
  <c r="N477" i="6"/>
  <c r="J477" i="6"/>
  <c r="I477" i="6"/>
  <c r="H477" i="6"/>
  <c r="D477" i="6"/>
  <c r="A477" i="6"/>
  <c r="AF476" i="6"/>
  <c r="AD476" i="6"/>
  <c r="AC476" i="6"/>
  <c r="AB476" i="6"/>
  <c r="Z476" i="6"/>
  <c r="V476" i="6"/>
  <c r="R476" i="6"/>
  <c r="N476" i="6"/>
  <c r="J476" i="6"/>
  <c r="I476" i="6"/>
  <c r="H476" i="6"/>
  <c r="D476" i="6"/>
  <c r="A476" i="6"/>
  <c r="AF475" i="6"/>
  <c r="AC475" i="6"/>
  <c r="AD475" i="6" s="1"/>
  <c r="AB475" i="6"/>
  <c r="Z475" i="6"/>
  <c r="V475" i="6"/>
  <c r="R475" i="6"/>
  <c r="N475" i="6"/>
  <c r="J475" i="6"/>
  <c r="I475" i="6"/>
  <c r="H475" i="6"/>
  <c r="D475" i="6"/>
  <c r="A475" i="6"/>
  <c r="AF474" i="6"/>
  <c r="AD474" i="6"/>
  <c r="AC474" i="6"/>
  <c r="AB474" i="6"/>
  <c r="Z474" i="6"/>
  <c r="V474" i="6"/>
  <c r="R474" i="6"/>
  <c r="N474" i="6"/>
  <c r="J474" i="6"/>
  <c r="I474" i="6"/>
  <c r="H474" i="6"/>
  <c r="D474" i="6"/>
  <c r="A474" i="6"/>
  <c r="AF473" i="6"/>
  <c r="AD473" i="6"/>
  <c r="AC473" i="6"/>
  <c r="Z473" i="6"/>
  <c r="V473" i="6"/>
  <c r="R473" i="6"/>
  <c r="AB473" i="6" s="1"/>
  <c r="N473" i="6"/>
  <c r="J473" i="6"/>
  <c r="I473" i="6"/>
  <c r="H473" i="6"/>
  <c r="D473" i="6"/>
  <c r="A473" i="6"/>
  <c r="AF472" i="6"/>
  <c r="AD472" i="6"/>
  <c r="AC472" i="6"/>
  <c r="Z472" i="6"/>
  <c r="V472" i="6"/>
  <c r="R472" i="6"/>
  <c r="AB472" i="6" s="1"/>
  <c r="N472" i="6"/>
  <c r="J472" i="6"/>
  <c r="I472" i="6"/>
  <c r="H472" i="6"/>
  <c r="D472" i="6"/>
  <c r="A472" i="6"/>
  <c r="AF471" i="6"/>
  <c r="AD471" i="6"/>
  <c r="AC471" i="6"/>
  <c r="Z471" i="6"/>
  <c r="V471" i="6"/>
  <c r="R471" i="6"/>
  <c r="AB471" i="6" s="1"/>
  <c r="N471" i="6"/>
  <c r="J471" i="6"/>
  <c r="I471" i="6"/>
  <c r="H471" i="6"/>
  <c r="D471" i="6"/>
  <c r="A471" i="6"/>
  <c r="AF470" i="6"/>
  <c r="AD470" i="6"/>
  <c r="AC470" i="6"/>
  <c r="AB470" i="6"/>
  <c r="Z470" i="6"/>
  <c r="V470" i="6"/>
  <c r="R470" i="6"/>
  <c r="N470" i="6"/>
  <c r="J470" i="6"/>
  <c r="I470" i="6"/>
  <c r="H470" i="6"/>
  <c r="D470" i="6"/>
  <c r="A470" i="6"/>
  <c r="AF469" i="6"/>
  <c r="AC469" i="6"/>
  <c r="AD469" i="6" s="1"/>
  <c r="AB469" i="6"/>
  <c r="Z469" i="6"/>
  <c r="V469" i="6"/>
  <c r="R469" i="6"/>
  <c r="N469" i="6"/>
  <c r="J469" i="6"/>
  <c r="I469" i="6"/>
  <c r="H469" i="6"/>
  <c r="D469" i="6"/>
  <c r="A469" i="6"/>
  <c r="AF468" i="6"/>
  <c r="AD468" i="6"/>
  <c r="AC468" i="6"/>
  <c r="AB468" i="6"/>
  <c r="Z468" i="6"/>
  <c r="V468" i="6"/>
  <c r="R468" i="6"/>
  <c r="N468" i="6"/>
  <c r="J468" i="6"/>
  <c r="I468" i="6"/>
  <c r="H468" i="6"/>
  <c r="D468" i="6"/>
  <c r="A468" i="6"/>
  <c r="AF467" i="6"/>
  <c r="AD467" i="6"/>
  <c r="AC467" i="6"/>
  <c r="Z467" i="6"/>
  <c r="V467" i="6"/>
  <c r="R467" i="6"/>
  <c r="AB467" i="6" s="1"/>
  <c r="N467" i="6"/>
  <c r="J467" i="6"/>
  <c r="I467" i="6"/>
  <c r="H467" i="6"/>
  <c r="D467" i="6"/>
  <c r="A467" i="6"/>
  <c r="AF466" i="6"/>
  <c r="AD466" i="6"/>
  <c r="AC466" i="6"/>
  <c r="Z466" i="6"/>
  <c r="V466" i="6"/>
  <c r="R466" i="6"/>
  <c r="AB466" i="6" s="1"/>
  <c r="N466" i="6"/>
  <c r="J466" i="6"/>
  <c r="I466" i="6"/>
  <c r="H466" i="6"/>
  <c r="D466" i="6"/>
  <c r="A466" i="6"/>
  <c r="AF465" i="6"/>
  <c r="AD465" i="6"/>
  <c r="AC465" i="6"/>
  <c r="Z465" i="6"/>
  <c r="V465" i="6"/>
  <c r="R465" i="6"/>
  <c r="AB465" i="6" s="1"/>
  <c r="N465" i="6"/>
  <c r="J465" i="6"/>
  <c r="I465" i="6"/>
  <c r="H465" i="6"/>
  <c r="D465" i="6"/>
  <c r="A465" i="6"/>
  <c r="AF464" i="6"/>
  <c r="AD464" i="6"/>
  <c r="AC464" i="6"/>
  <c r="AB464" i="6"/>
  <c r="Z464" i="6"/>
  <c r="V464" i="6"/>
  <c r="R464" i="6"/>
  <c r="N464" i="6"/>
  <c r="J464" i="6"/>
  <c r="I464" i="6"/>
  <c r="H464" i="6"/>
  <c r="D464" i="6"/>
  <c r="A464" i="6"/>
  <c r="AF463" i="6"/>
  <c r="AC463" i="6"/>
  <c r="AD463" i="6" s="1"/>
  <c r="AB463" i="6"/>
  <c r="Z463" i="6"/>
  <c r="V463" i="6"/>
  <c r="R463" i="6"/>
  <c r="N463" i="6"/>
  <c r="J463" i="6"/>
  <c r="I463" i="6"/>
  <c r="H463" i="6"/>
  <c r="D463" i="6"/>
  <c r="A463" i="6"/>
  <c r="AF462" i="6"/>
  <c r="AD462" i="6"/>
  <c r="AC462" i="6"/>
  <c r="AB462" i="6"/>
  <c r="Z462" i="6"/>
  <c r="V462" i="6"/>
  <c r="R462" i="6"/>
  <c r="N462" i="6"/>
  <c r="J462" i="6"/>
  <c r="I462" i="6"/>
  <c r="H462" i="6"/>
  <c r="D462" i="6"/>
  <c r="A462" i="6"/>
  <c r="AF461" i="6"/>
  <c r="AD461" i="6"/>
  <c r="AC461" i="6"/>
  <c r="Z461" i="6"/>
  <c r="V461" i="6"/>
  <c r="R461" i="6"/>
  <c r="AB461" i="6" s="1"/>
  <c r="N461" i="6"/>
  <c r="J461" i="6"/>
  <c r="I461" i="6"/>
  <c r="H461" i="6"/>
  <c r="D461" i="6"/>
  <c r="A461" i="6"/>
  <c r="AF460" i="6"/>
  <c r="AD460" i="6"/>
  <c r="AC460" i="6"/>
  <c r="Z460" i="6"/>
  <c r="V460" i="6"/>
  <c r="R460" i="6"/>
  <c r="AB460" i="6" s="1"/>
  <c r="N460" i="6"/>
  <c r="J460" i="6"/>
  <c r="I460" i="6"/>
  <c r="H460" i="6"/>
  <c r="D460" i="6"/>
  <c r="A460" i="6"/>
  <c r="AF459" i="6"/>
  <c r="AD459" i="6"/>
  <c r="AC459" i="6"/>
  <c r="Z459" i="6"/>
  <c r="V459" i="6"/>
  <c r="R459" i="6"/>
  <c r="AB459" i="6" s="1"/>
  <c r="N459" i="6"/>
  <c r="J459" i="6"/>
  <c r="I459" i="6"/>
  <c r="H459" i="6"/>
  <c r="D459" i="6"/>
  <c r="A459" i="6"/>
  <c r="AF458" i="6"/>
  <c r="AD458" i="6"/>
  <c r="AC458" i="6"/>
  <c r="AB458" i="6"/>
  <c r="Z458" i="6"/>
  <c r="V458" i="6"/>
  <c r="R458" i="6"/>
  <c r="N458" i="6"/>
  <c r="J458" i="6"/>
  <c r="I458" i="6"/>
  <c r="H458" i="6"/>
  <c r="D458" i="6"/>
  <c r="A458" i="6"/>
  <c r="AF457" i="6"/>
  <c r="AC457" i="6"/>
  <c r="AD457" i="6" s="1"/>
  <c r="AB457" i="6"/>
  <c r="Z457" i="6"/>
  <c r="V457" i="6"/>
  <c r="R457" i="6"/>
  <c r="N457" i="6"/>
  <c r="J457" i="6"/>
  <c r="I457" i="6"/>
  <c r="H457" i="6"/>
  <c r="D457" i="6"/>
  <c r="A457" i="6"/>
  <c r="AF456" i="6"/>
  <c r="AD456" i="6"/>
  <c r="AC456" i="6"/>
  <c r="AB456" i="6"/>
  <c r="Z456" i="6"/>
  <c r="V456" i="6"/>
  <c r="R456" i="6"/>
  <c r="N456" i="6"/>
  <c r="J456" i="6"/>
  <c r="I456" i="6"/>
  <c r="H456" i="6"/>
  <c r="D456" i="6"/>
  <c r="A456" i="6"/>
  <c r="AF455" i="6"/>
  <c r="AD455" i="6"/>
  <c r="AC455" i="6"/>
  <c r="Z455" i="6"/>
  <c r="V455" i="6"/>
  <c r="R455" i="6"/>
  <c r="AB455" i="6" s="1"/>
  <c r="N455" i="6"/>
  <c r="J455" i="6"/>
  <c r="I455" i="6"/>
  <c r="H455" i="6"/>
  <c r="D455" i="6"/>
  <c r="A455" i="6"/>
  <c r="AF454" i="6"/>
  <c r="AD454" i="6"/>
  <c r="AC454" i="6"/>
  <c r="Z454" i="6"/>
  <c r="V454" i="6"/>
  <c r="R454" i="6"/>
  <c r="AB454" i="6" s="1"/>
  <c r="N454" i="6"/>
  <c r="J454" i="6"/>
  <c r="I454" i="6"/>
  <c r="H454" i="6"/>
  <c r="D454" i="6"/>
  <c r="A454" i="6"/>
  <c r="AF453" i="6"/>
  <c r="AD453" i="6"/>
  <c r="AC453" i="6"/>
  <c r="Z453" i="6"/>
  <c r="V453" i="6"/>
  <c r="R453" i="6"/>
  <c r="AB453" i="6" s="1"/>
  <c r="N453" i="6"/>
  <c r="J453" i="6"/>
  <c r="I453" i="6"/>
  <c r="H453" i="6"/>
  <c r="D453" i="6"/>
  <c r="A453" i="6"/>
  <c r="AF452" i="6"/>
  <c r="AD452" i="6"/>
  <c r="AC452" i="6"/>
  <c r="AB452" i="6"/>
  <c r="Z452" i="6"/>
  <c r="V452" i="6"/>
  <c r="R452" i="6"/>
  <c r="N452" i="6"/>
  <c r="J452" i="6"/>
  <c r="I452" i="6"/>
  <c r="H452" i="6"/>
  <c r="D452" i="6"/>
  <c r="A452" i="6"/>
  <c r="AF451" i="6"/>
  <c r="AC451" i="6"/>
  <c r="AD451" i="6" s="1"/>
  <c r="AB451" i="6"/>
  <c r="Z451" i="6"/>
  <c r="V451" i="6"/>
  <c r="R451" i="6"/>
  <c r="N451" i="6"/>
  <c r="J451" i="6"/>
  <c r="I451" i="6"/>
  <c r="H451" i="6"/>
  <c r="D451" i="6"/>
  <c r="A451" i="6"/>
  <c r="AF450" i="6"/>
  <c r="AD450" i="6"/>
  <c r="AC450" i="6"/>
  <c r="AB450" i="6"/>
  <c r="Z450" i="6"/>
  <c r="V450" i="6"/>
  <c r="R450" i="6"/>
  <c r="N450" i="6"/>
  <c r="J450" i="6"/>
  <c r="I450" i="6"/>
  <c r="H450" i="6"/>
  <c r="D450" i="6"/>
  <c r="A450" i="6"/>
  <c r="AF449" i="6"/>
  <c r="AD449" i="6"/>
  <c r="AC449" i="6"/>
  <c r="Z449" i="6"/>
  <c r="V449" i="6"/>
  <c r="R449" i="6"/>
  <c r="AB449" i="6" s="1"/>
  <c r="N449" i="6"/>
  <c r="J449" i="6"/>
  <c r="I449" i="6"/>
  <c r="H449" i="6"/>
  <c r="D449" i="6"/>
  <c r="A449" i="6"/>
  <c r="AF448" i="6"/>
  <c r="AD448" i="6"/>
  <c r="AC448" i="6"/>
  <c r="Z448" i="6"/>
  <c r="V448" i="6"/>
  <c r="R448" i="6"/>
  <c r="AB448" i="6" s="1"/>
  <c r="N448" i="6"/>
  <c r="J448" i="6"/>
  <c r="I448" i="6"/>
  <c r="H448" i="6"/>
  <c r="D448" i="6"/>
  <c r="A448" i="6"/>
  <c r="AF447" i="6"/>
  <c r="AD447" i="6"/>
  <c r="AC447" i="6"/>
  <c r="Z447" i="6"/>
  <c r="V447" i="6"/>
  <c r="R447" i="6"/>
  <c r="AB447" i="6" s="1"/>
  <c r="N447" i="6"/>
  <c r="J447" i="6"/>
  <c r="I447" i="6"/>
  <c r="H447" i="6"/>
  <c r="D447" i="6"/>
  <c r="A447" i="6"/>
  <c r="AF446" i="6"/>
  <c r="AD446" i="6"/>
  <c r="AC446" i="6"/>
  <c r="AB446" i="6"/>
  <c r="Z446" i="6"/>
  <c r="V446" i="6"/>
  <c r="R446" i="6"/>
  <c r="N446" i="6"/>
  <c r="J446" i="6"/>
  <c r="I446" i="6"/>
  <c r="H446" i="6"/>
  <c r="D446" i="6"/>
  <c r="A446" i="6"/>
  <c r="AF445" i="6"/>
  <c r="AC445" i="6"/>
  <c r="AD445" i="6" s="1"/>
  <c r="AB445" i="6"/>
  <c r="Z445" i="6"/>
  <c r="V445" i="6"/>
  <c r="R445" i="6"/>
  <c r="N445" i="6"/>
  <c r="J445" i="6"/>
  <c r="I445" i="6"/>
  <c r="H445" i="6"/>
  <c r="D445" i="6"/>
  <c r="A445" i="6"/>
  <c r="AF444" i="6"/>
  <c r="AD444" i="6"/>
  <c r="AC444" i="6"/>
  <c r="AB444" i="6"/>
  <c r="Z444" i="6"/>
  <c r="V444" i="6"/>
  <c r="R444" i="6"/>
  <c r="N444" i="6"/>
  <c r="J444" i="6"/>
  <c r="I444" i="6"/>
  <c r="H444" i="6"/>
  <c r="D444" i="6"/>
  <c r="A444" i="6"/>
  <c r="AF443" i="6"/>
  <c r="AD443" i="6"/>
  <c r="AC443" i="6"/>
  <c r="Z443" i="6"/>
  <c r="V443" i="6"/>
  <c r="R443" i="6"/>
  <c r="AB443" i="6" s="1"/>
  <c r="N443" i="6"/>
  <c r="J443" i="6"/>
  <c r="I443" i="6"/>
  <c r="H443" i="6"/>
  <c r="D443" i="6"/>
  <c r="A443" i="6"/>
  <c r="AF442" i="6"/>
  <c r="AD442" i="6"/>
  <c r="AC442" i="6"/>
  <c r="Z442" i="6"/>
  <c r="V442" i="6"/>
  <c r="R442" i="6"/>
  <c r="AB442" i="6" s="1"/>
  <c r="N442" i="6"/>
  <c r="J442" i="6"/>
  <c r="I442" i="6"/>
  <c r="H442" i="6"/>
  <c r="D442" i="6"/>
  <c r="A442" i="6"/>
  <c r="AF441" i="6"/>
  <c r="AD441" i="6"/>
  <c r="AC441" i="6"/>
  <c r="Z441" i="6"/>
  <c r="V441" i="6"/>
  <c r="R441" i="6"/>
  <c r="AB441" i="6" s="1"/>
  <c r="N441" i="6"/>
  <c r="J441" i="6"/>
  <c r="I441" i="6"/>
  <c r="H441" i="6"/>
  <c r="D441" i="6"/>
  <c r="A441" i="6"/>
  <c r="AF440" i="6"/>
  <c r="AD440" i="6"/>
  <c r="AC440" i="6"/>
  <c r="AB440" i="6"/>
  <c r="Z440" i="6"/>
  <c r="V440" i="6"/>
  <c r="R440" i="6"/>
  <c r="N440" i="6"/>
  <c r="J440" i="6"/>
  <c r="I440" i="6"/>
  <c r="H440" i="6"/>
  <c r="D440" i="6"/>
  <c r="A440" i="6"/>
  <c r="AF439" i="6"/>
  <c r="AC439" i="6"/>
  <c r="AD439" i="6" s="1"/>
  <c r="AB439" i="6"/>
  <c r="Z439" i="6"/>
  <c r="V439" i="6"/>
  <c r="R439" i="6"/>
  <c r="N439" i="6"/>
  <c r="J439" i="6"/>
  <c r="I439" i="6"/>
  <c r="H439" i="6"/>
  <c r="D439" i="6"/>
  <c r="A439" i="6"/>
  <c r="AF438" i="6"/>
  <c r="AD438" i="6"/>
  <c r="AC438" i="6"/>
  <c r="AB438" i="6"/>
  <c r="Z438" i="6"/>
  <c r="V438" i="6"/>
  <c r="R438" i="6"/>
  <c r="N438" i="6"/>
  <c r="J438" i="6"/>
  <c r="I438" i="6"/>
  <c r="H438" i="6"/>
  <c r="D438" i="6"/>
  <c r="A438" i="6"/>
  <c r="AF437" i="6"/>
  <c r="AD437" i="6"/>
  <c r="AC437" i="6"/>
  <c r="Z437" i="6"/>
  <c r="V437" i="6"/>
  <c r="R437" i="6"/>
  <c r="AB437" i="6" s="1"/>
  <c r="N437" i="6"/>
  <c r="J437" i="6"/>
  <c r="I437" i="6"/>
  <c r="H437" i="6"/>
  <c r="D437" i="6"/>
  <c r="A437" i="6"/>
  <c r="AF436" i="6"/>
  <c r="AD436" i="6"/>
  <c r="AC436" i="6"/>
  <c r="Z436" i="6"/>
  <c r="V436" i="6"/>
  <c r="R436" i="6"/>
  <c r="AB436" i="6" s="1"/>
  <c r="N436" i="6"/>
  <c r="J436" i="6"/>
  <c r="I436" i="6"/>
  <c r="H436" i="6"/>
  <c r="D436" i="6"/>
  <c r="A436" i="6"/>
  <c r="AF435" i="6"/>
  <c r="AD435" i="6"/>
  <c r="AC435" i="6"/>
  <c r="Z435" i="6"/>
  <c r="V435" i="6"/>
  <c r="R435" i="6"/>
  <c r="AB435" i="6" s="1"/>
  <c r="N435" i="6"/>
  <c r="J435" i="6"/>
  <c r="I435" i="6"/>
  <c r="H435" i="6"/>
  <c r="D435" i="6"/>
  <c r="A435" i="6"/>
  <c r="AF434" i="6"/>
  <c r="AD434" i="6"/>
  <c r="AC434" i="6"/>
  <c r="AB434" i="6"/>
  <c r="Z434" i="6"/>
  <c r="V434" i="6"/>
  <c r="R434" i="6"/>
  <c r="N434" i="6"/>
  <c r="J434" i="6"/>
  <c r="I434" i="6"/>
  <c r="H434" i="6"/>
  <c r="D434" i="6"/>
  <c r="A434" i="6"/>
  <c r="AF433" i="6"/>
  <c r="AC433" i="6"/>
  <c r="AD433" i="6" s="1"/>
  <c r="AB433" i="6"/>
  <c r="Z433" i="6"/>
  <c r="V433" i="6"/>
  <c r="R433" i="6"/>
  <c r="N433" i="6"/>
  <c r="J433" i="6"/>
  <c r="I433" i="6"/>
  <c r="H433" i="6"/>
  <c r="D433" i="6"/>
  <c r="A433" i="6"/>
  <c r="AF432" i="6"/>
  <c r="AD432" i="6"/>
  <c r="AC432" i="6"/>
  <c r="AB432" i="6"/>
  <c r="Z432" i="6"/>
  <c r="V432" i="6"/>
  <c r="R432" i="6"/>
  <c r="N432" i="6"/>
  <c r="J432" i="6"/>
  <c r="I432" i="6"/>
  <c r="H432" i="6"/>
  <c r="D432" i="6"/>
  <c r="A432" i="6"/>
  <c r="AF431" i="6"/>
  <c r="AD431" i="6"/>
  <c r="AC431" i="6"/>
  <c r="Z431" i="6"/>
  <c r="V431" i="6"/>
  <c r="R431" i="6"/>
  <c r="AB431" i="6" s="1"/>
  <c r="N431" i="6"/>
  <c r="J431" i="6"/>
  <c r="I431" i="6"/>
  <c r="H431" i="6"/>
  <c r="D431" i="6"/>
  <c r="A431" i="6"/>
  <c r="AF430" i="6"/>
  <c r="AD430" i="6"/>
  <c r="AC430" i="6"/>
  <c r="Z430" i="6"/>
  <c r="V430" i="6"/>
  <c r="R430" i="6"/>
  <c r="AB430" i="6" s="1"/>
  <c r="N430" i="6"/>
  <c r="J430" i="6"/>
  <c r="I430" i="6"/>
  <c r="H430" i="6"/>
  <c r="D430" i="6"/>
  <c r="A430" i="6"/>
  <c r="AF429" i="6"/>
  <c r="AC429" i="6"/>
  <c r="AD429" i="6" s="1"/>
  <c r="Z429" i="6"/>
  <c r="V429" i="6"/>
  <c r="R429" i="6"/>
  <c r="AB429" i="6" s="1"/>
  <c r="N429" i="6"/>
  <c r="J429" i="6"/>
  <c r="I429" i="6"/>
  <c r="H429" i="6"/>
  <c r="D429" i="6"/>
  <c r="A429" i="6"/>
  <c r="AF428" i="6"/>
  <c r="AD428" i="6"/>
  <c r="AC428" i="6"/>
  <c r="AB428" i="6"/>
  <c r="Z428" i="6"/>
  <c r="V428" i="6"/>
  <c r="R428" i="6"/>
  <c r="N428" i="6"/>
  <c r="J428" i="6"/>
  <c r="I428" i="6"/>
  <c r="H428" i="6"/>
  <c r="D428" i="6"/>
  <c r="A428" i="6"/>
  <c r="AF427" i="6"/>
  <c r="AC427" i="6"/>
  <c r="AD427" i="6" s="1"/>
  <c r="AB427" i="6"/>
  <c r="Z427" i="6"/>
  <c r="V427" i="6"/>
  <c r="R427" i="6"/>
  <c r="N427" i="6"/>
  <c r="J427" i="6"/>
  <c r="I427" i="6"/>
  <c r="H427" i="6"/>
  <c r="D427" i="6"/>
  <c r="A427" i="6"/>
  <c r="AF426" i="6"/>
  <c r="AD426" i="6"/>
  <c r="AC426" i="6"/>
  <c r="AB426" i="6"/>
  <c r="Z426" i="6"/>
  <c r="V426" i="6"/>
  <c r="R426" i="6"/>
  <c r="N426" i="6"/>
  <c r="J426" i="6"/>
  <c r="I426" i="6"/>
  <c r="H426" i="6"/>
  <c r="D426" i="6"/>
  <c r="A426" i="6"/>
  <c r="AF425" i="6"/>
  <c r="AD425" i="6"/>
  <c r="AC425" i="6"/>
  <c r="Z425" i="6"/>
  <c r="V425" i="6"/>
  <c r="R425" i="6"/>
  <c r="AB425" i="6" s="1"/>
  <c r="N425" i="6"/>
  <c r="J425" i="6"/>
  <c r="I425" i="6"/>
  <c r="H425" i="6"/>
  <c r="D425" i="6"/>
  <c r="A425" i="6"/>
  <c r="AF424" i="6"/>
  <c r="AD424" i="6"/>
  <c r="AC424" i="6"/>
  <c r="Z424" i="6"/>
  <c r="V424" i="6"/>
  <c r="R424" i="6"/>
  <c r="AB424" i="6" s="1"/>
  <c r="N424" i="6"/>
  <c r="J424" i="6"/>
  <c r="I424" i="6"/>
  <c r="H424" i="6"/>
  <c r="D424" i="6"/>
  <c r="A424" i="6"/>
  <c r="AF423" i="6"/>
  <c r="AC423" i="6"/>
  <c r="AD423" i="6" s="1"/>
  <c r="Z423" i="6"/>
  <c r="V423" i="6"/>
  <c r="R423" i="6"/>
  <c r="AB423" i="6" s="1"/>
  <c r="N423" i="6"/>
  <c r="J423" i="6"/>
  <c r="I423" i="6"/>
  <c r="H423" i="6"/>
  <c r="D423" i="6"/>
  <c r="A423" i="6"/>
  <c r="AF422" i="6"/>
  <c r="AD422" i="6"/>
  <c r="AC422" i="6"/>
  <c r="AB422" i="6"/>
  <c r="Z422" i="6"/>
  <c r="V422" i="6"/>
  <c r="R422" i="6"/>
  <c r="N422" i="6"/>
  <c r="J422" i="6"/>
  <c r="I422" i="6"/>
  <c r="H422" i="6"/>
  <c r="D422" i="6"/>
  <c r="A422" i="6"/>
  <c r="AF421" i="6"/>
  <c r="AC421" i="6"/>
  <c r="AD421" i="6" s="1"/>
  <c r="AB421" i="6"/>
  <c r="Z421" i="6"/>
  <c r="V421" i="6"/>
  <c r="R421" i="6"/>
  <c r="N421" i="6"/>
  <c r="J421" i="6"/>
  <c r="I421" i="6"/>
  <c r="H421" i="6"/>
  <c r="D421" i="6"/>
  <c r="A421" i="6"/>
  <c r="AF420" i="6"/>
  <c r="AD420" i="6"/>
  <c r="AC420" i="6"/>
  <c r="AB420" i="6"/>
  <c r="Z420" i="6"/>
  <c r="V420" i="6"/>
  <c r="R420" i="6"/>
  <c r="N420" i="6"/>
  <c r="J420" i="6"/>
  <c r="I420" i="6"/>
  <c r="H420" i="6"/>
  <c r="D420" i="6"/>
  <c r="A420" i="6"/>
  <c r="AF419" i="6"/>
  <c r="AD419" i="6"/>
  <c r="AC419" i="6"/>
  <c r="Z419" i="6"/>
  <c r="V419" i="6"/>
  <c r="R419" i="6"/>
  <c r="AB419" i="6" s="1"/>
  <c r="N419" i="6"/>
  <c r="J419" i="6"/>
  <c r="I419" i="6"/>
  <c r="H419" i="6"/>
  <c r="D419" i="6"/>
  <c r="A419" i="6"/>
  <c r="AF418" i="6"/>
  <c r="AD418" i="6"/>
  <c r="AC418" i="6"/>
  <c r="Z418" i="6"/>
  <c r="V418" i="6"/>
  <c r="R418" i="6"/>
  <c r="AB418" i="6" s="1"/>
  <c r="N418" i="6"/>
  <c r="J418" i="6"/>
  <c r="I418" i="6"/>
  <c r="H418" i="6"/>
  <c r="D418" i="6"/>
  <c r="A418" i="6"/>
  <c r="AF417" i="6"/>
  <c r="AC417" i="6"/>
  <c r="AD417" i="6" s="1"/>
  <c r="Z417" i="6"/>
  <c r="V417" i="6"/>
  <c r="R417" i="6"/>
  <c r="AB417" i="6" s="1"/>
  <c r="N417" i="6"/>
  <c r="J417" i="6"/>
  <c r="I417" i="6"/>
  <c r="H417" i="6"/>
  <c r="D417" i="6"/>
  <c r="A417" i="6"/>
  <c r="AF416" i="6"/>
  <c r="AD416" i="6"/>
  <c r="AC416" i="6"/>
  <c r="AB416" i="6"/>
  <c r="Z416" i="6"/>
  <c r="V416" i="6"/>
  <c r="R416" i="6"/>
  <c r="N416" i="6"/>
  <c r="J416" i="6"/>
  <c r="I416" i="6"/>
  <c r="H416" i="6"/>
  <c r="D416" i="6"/>
  <c r="A416" i="6"/>
  <c r="AF415" i="6"/>
  <c r="AC415" i="6"/>
  <c r="AD415" i="6" s="1"/>
  <c r="AB415" i="6"/>
  <c r="Z415" i="6"/>
  <c r="V415" i="6"/>
  <c r="R415" i="6"/>
  <c r="N415" i="6"/>
  <c r="J415" i="6"/>
  <c r="I415" i="6"/>
  <c r="H415" i="6"/>
  <c r="D415" i="6"/>
  <c r="A415" i="6"/>
  <c r="AF414" i="6"/>
  <c r="AD414" i="6"/>
  <c r="AC414" i="6"/>
  <c r="AB414" i="6"/>
  <c r="Z414" i="6"/>
  <c r="V414" i="6"/>
  <c r="R414" i="6"/>
  <c r="N414" i="6"/>
  <c r="J414" i="6"/>
  <c r="I414" i="6"/>
  <c r="H414" i="6"/>
  <c r="D414" i="6"/>
  <c r="A414" i="6"/>
  <c r="AF413" i="6"/>
  <c r="AD413" i="6"/>
  <c r="AC413" i="6"/>
  <c r="Z413" i="6"/>
  <c r="V413" i="6"/>
  <c r="R413" i="6"/>
  <c r="AB413" i="6" s="1"/>
  <c r="N413" i="6"/>
  <c r="J413" i="6"/>
  <c r="I413" i="6"/>
  <c r="H413" i="6"/>
  <c r="D413" i="6"/>
  <c r="A413" i="6"/>
  <c r="AF412" i="6"/>
  <c r="AD412" i="6"/>
  <c r="AC412" i="6"/>
  <c r="Z412" i="6"/>
  <c r="V412" i="6"/>
  <c r="R412" i="6"/>
  <c r="AB412" i="6" s="1"/>
  <c r="N412" i="6"/>
  <c r="J412" i="6"/>
  <c r="I412" i="6"/>
  <c r="H412" i="6"/>
  <c r="D412" i="6"/>
  <c r="A412" i="6"/>
  <c r="AF411" i="6"/>
  <c r="AC411" i="6"/>
  <c r="AD411" i="6" s="1"/>
  <c r="Z411" i="6"/>
  <c r="V411" i="6"/>
  <c r="R411" i="6"/>
  <c r="AB411" i="6" s="1"/>
  <c r="N411" i="6"/>
  <c r="J411" i="6"/>
  <c r="I411" i="6"/>
  <c r="H411" i="6"/>
  <c r="D411" i="6"/>
  <c r="A411" i="6"/>
  <c r="AF410" i="6"/>
  <c r="AD410" i="6"/>
  <c r="AC410" i="6"/>
  <c r="AB410" i="6"/>
  <c r="Z410" i="6"/>
  <c r="V410" i="6"/>
  <c r="R410" i="6"/>
  <c r="N410" i="6"/>
  <c r="J410" i="6"/>
  <c r="I410" i="6"/>
  <c r="H410" i="6"/>
  <c r="D410" i="6"/>
  <c r="A410" i="6"/>
  <c r="AF409" i="6"/>
  <c r="AC409" i="6"/>
  <c r="AD409" i="6" s="1"/>
  <c r="AB409" i="6"/>
  <c r="Z409" i="6"/>
  <c r="V409" i="6"/>
  <c r="R409" i="6"/>
  <c r="N409" i="6"/>
  <c r="J409" i="6"/>
  <c r="I409" i="6"/>
  <c r="H409" i="6"/>
  <c r="D409" i="6"/>
  <c r="A409" i="6"/>
  <c r="AF408" i="6"/>
  <c r="AD408" i="6"/>
  <c r="AC408" i="6"/>
  <c r="AB408" i="6"/>
  <c r="Z408" i="6"/>
  <c r="V408" i="6"/>
  <c r="R408" i="6"/>
  <c r="N408" i="6"/>
  <c r="J408" i="6"/>
  <c r="I408" i="6"/>
  <c r="H408" i="6"/>
  <c r="D408" i="6"/>
  <c r="A408" i="6"/>
  <c r="AF407" i="6"/>
  <c r="AD407" i="6"/>
  <c r="AC407" i="6"/>
  <c r="Z407" i="6"/>
  <c r="V407" i="6"/>
  <c r="R407" i="6"/>
  <c r="AB407" i="6" s="1"/>
  <c r="N407" i="6"/>
  <c r="J407" i="6"/>
  <c r="I407" i="6"/>
  <c r="H407" i="6"/>
  <c r="D407" i="6"/>
  <c r="A407" i="6"/>
  <c r="AF406" i="6"/>
  <c r="AD406" i="6"/>
  <c r="AC406" i="6"/>
  <c r="Z406" i="6"/>
  <c r="V406" i="6"/>
  <c r="R406" i="6"/>
  <c r="AB406" i="6" s="1"/>
  <c r="N406" i="6"/>
  <c r="J406" i="6"/>
  <c r="I406" i="6"/>
  <c r="H406" i="6"/>
  <c r="D406" i="6"/>
  <c r="A406" i="6"/>
  <c r="AF405" i="6"/>
  <c r="AC405" i="6"/>
  <c r="AD405" i="6" s="1"/>
  <c r="Z405" i="6"/>
  <c r="V405" i="6"/>
  <c r="R405" i="6"/>
  <c r="AB405" i="6" s="1"/>
  <c r="N405" i="6"/>
  <c r="J405" i="6"/>
  <c r="I405" i="6"/>
  <c r="H405" i="6"/>
  <c r="D405" i="6"/>
  <c r="A405" i="6"/>
  <c r="AF404" i="6"/>
  <c r="AD404" i="6"/>
  <c r="AC404" i="6"/>
  <c r="AB404" i="6"/>
  <c r="Z404" i="6"/>
  <c r="V404" i="6"/>
  <c r="R404" i="6"/>
  <c r="N404" i="6"/>
  <c r="J404" i="6"/>
  <c r="I404" i="6"/>
  <c r="H404" i="6"/>
  <c r="D404" i="6"/>
  <c r="A404" i="6"/>
  <c r="AF403" i="6"/>
  <c r="AC403" i="6"/>
  <c r="AD403" i="6" s="1"/>
  <c r="AB403" i="6"/>
  <c r="Z403" i="6"/>
  <c r="V403" i="6"/>
  <c r="R403" i="6"/>
  <c r="N403" i="6"/>
  <c r="J403" i="6"/>
  <c r="I403" i="6"/>
  <c r="H403" i="6"/>
  <c r="D403" i="6"/>
  <c r="A403" i="6"/>
  <c r="AF402" i="6"/>
  <c r="AD402" i="6"/>
  <c r="AC402" i="6"/>
  <c r="AB402" i="6"/>
  <c r="Z402" i="6"/>
  <c r="V402" i="6"/>
  <c r="R402" i="6"/>
  <c r="N402" i="6"/>
  <c r="J402" i="6"/>
  <c r="I402" i="6"/>
  <c r="H402" i="6"/>
  <c r="D402" i="6"/>
  <c r="A402" i="6"/>
  <c r="AF401" i="6"/>
  <c r="AD401" i="6"/>
  <c r="AC401" i="6"/>
  <c r="Z401" i="6"/>
  <c r="V401" i="6"/>
  <c r="R401" i="6"/>
  <c r="AB401" i="6" s="1"/>
  <c r="N401" i="6"/>
  <c r="J401" i="6"/>
  <c r="I401" i="6"/>
  <c r="H401" i="6"/>
  <c r="D401" i="6"/>
  <c r="A401" i="6"/>
  <c r="AF400" i="6"/>
  <c r="AD400" i="6"/>
  <c r="AC400" i="6"/>
  <c r="Z400" i="6"/>
  <c r="V400" i="6"/>
  <c r="R400" i="6"/>
  <c r="AB400" i="6" s="1"/>
  <c r="N400" i="6"/>
  <c r="J400" i="6"/>
  <c r="I400" i="6"/>
  <c r="H400" i="6"/>
  <c r="D400" i="6"/>
  <c r="A400" i="6"/>
  <c r="AF399" i="6"/>
  <c r="AC399" i="6"/>
  <c r="AD399" i="6" s="1"/>
  <c r="Z399" i="6"/>
  <c r="V399" i="6"/>
  <c r="R399" i="6"/>
  <c r="AB399" i="6" s="1"/>
  <c r="N399" i="6"/>
  <c r="J399" i="6"/>
  <c r="I399" i="6"/>
  <c r="H399" i="6"/>
  <c r="D399" i="6"/>
  <c r="A399" i="6"/>
  <c r="AF398" i="6"/>
  <c r="AD398" i="6"/>
  <c r="AC398" i="6"/>
  <c r="AB398" i="6"/>
  <c r="Z398" i="6"/>
  <c r="V398" i="6"/>
  <c r="R398" i="6"/>
  <c r="N398" i="6"/>
  <c r="J398" i="6"/>
  <c r="I398" i="6"/>
  <c r="H398" i="6"/>
  <c r="D398" i="6"/>
  <c r="A398" i="6"/>
  <c r="AF397" i="6"/>
  <c r="AC397" i="6"/>
  <c r="AD397" i="6" s="1"/>
  <c r="AB397" i="6"/>
  <c r="Z397" i="6"/>
  <c r="V397" i="6"/>
  <c r="R397" i="6"/>
  <c r="N397" i="6"/>
  <c r="J397" i="6"/>
  <c r="I397" i="6"/>
  <c r="H397" i="6"/>
  <c r="D397" i="6"/>
  <c r="A397" i="6"/>
  <c r="AF396" i="6"/>
  <c r="AD396" i="6"/>
  <c r="AC396" i="6"/>
  <c r="AB396" i="6"/>
  <c r="Z396" i="6"/>
  <c r="V396" i="6"/>
  <c r="R396" i="6"/>
  <c r="N396" i="6"/>
  <c r="J396" i="6"/>
  <c r="I396" i="6"/>
  <c r="H396" i="6"/>
  <c r="D396" i="6"/>
  <c r="A396" i="6"/>
  <c r="AF395" i="6"/>
  <c r="AD395" i="6"/>
  <c r="AC395" i="6"/>
  <c r="Z395" i="6"/>
  <c r="V395" i="6"/>
  <c r="R395" i="6"/>
  <c r="AB395" i="6" s="1"/>
  <c r="N395" i="6"/>
  <c r="J395" i="6"/>
  <c r="I395" i="6"/>
  <c r="H395" i="6"/>
  <c r="D395" i="6"/>
  <c r="A395" i="6"/>
  <c r="AF394" i="6"/>
  <c r="AD394" i="6"/>
  <c r="AC394" i="6"/>
  <c r="Z394" i="6"/>
  <c r="V394" i="6"/>
  <c r="R394" i="6"/>
  <c r="AB394" i="6" s="1"/>
  <c r="N394" i="6"/>
  <c r="J394" i="6"/>
  <c r="I394" i="6"/>
  <c r="H394" i="6"/>
  <c r="D394" i="6"/>
  <c r="A394" i="6"/>
  <c r="AF393" i="6"/>
  <c r="AC393" i="6"/>
  <c r="AD393" i="6" s="1"/>
  <c r="Z393" i="6"/>
  <c r="V393" i="6"/>
  <c r="R393" i="6"/>
  <c r="AB393" i="6" s="1"/>
  <c r="N393" i="6"/>
  <c r="J393" i="6"/>
  <c r="I393" i="6"/>
  <c r="H393" i="6"/>
  <c r="D393" i="6"/>
  <c r="A393" i="6"/>
  <c r="AF392" i="6"/>
  <c r="AD392" i="6"/>
  <c r="AC392" i="6"/>
  <c r="AB392" i="6"/>
  <c r="Z392" i="6"/>
  <c r="V392" i="6"/>
  <c r="R392" i="6"/>
  <c r="N392" i="6"/>
  <c r="J392" i="6"/>
  <c r="I392" i="6"/>
  <c r="H392" i="6"/>
  <c r="D392" i="6"/>
  <c r="A392" i="6"/>
  <c r="AF391" i="6"/>
  <c r="AC391" i="6"/>
  <c r="AD391" i="6" s="1"/>
  <c r="AB391" i="6"/>
  <c r="Z391" i="6"/>
  <c r="V391" i="6"/>
  <c r="R391" i="6"/>
  <c r="N391" i="6"/>
  <c r="J391" i="6"/>
  <c r="I391" i="6"/>
  <c r="H391" i="6"/>
  <c r="D391" i="6"/>
  <c r="A391" i="6"/>
  <c r="AF390" i="6"/>
  <c r="AD390" i="6"/>
  <c r="AC390" i="6"/>
  <c r="AB390" i="6"/>
  <c r="Z390" i="6"/>
  <c r="V390" i="6"/>
  <c r="R390" i="6"/>
  <c r="N390" i="6"/>
  <c r="J390" i="6"/>
  <c r="I390" i="6"/>
  <c r="H390" i="6"/>
  <c r="D390" i="6"/>
  <c r="A390" i="6"/>
  <c r="AF389" i="6"/>
  <c r="AD389" i="6"/>
  <c r="AC389" i="6"/>
  <c r="Z389" i="6"/>
  <c r="V389" i="6"/>
  <c r="R389" i="6"/>
  <c r="AB389" i="6" s="1"/>
  <c r="N389" i="6"/>
  <c r="J389" i="6"/>
  <c r="I389" i="6"/>
  <c r="H389" i="6"/>
  <c r="D389" i="6"/>
  <c r="A389" i="6"/>
  <c r="AF388" i="6"/>
  <c r="AD388" i="6"/>
  <c r="AC388" i="6"/>
  <c r="Z388" i="6"/>
  <c r="V388" i="6"/>
  <c r="R388" i="6"/>
  <c r="AB388" i="6" s="1"/>
  <c r="N388" i="6"/>
  <c r="J388" i="6"/>
  <c r="I388" i="6"/>
  <c r="H388" i="6"/>
  <c r="D388" i="6"/>
  <c r="A388" i="6"/>
  <c r="AF387" i="6"/>
  <c r="AC387" i="6"/>
  <c r="AD387" i="6" s="1"/>
  <c r="Z387" i="6"/>
  <c r="V387" i="6"/>
  <c r="R387" i="6"/>
  <c r="AB387" i="6" s="1"/>
  <c r="N387" i="6"/>
  <c r="J387" i="6"/>
  <c r="I387" i="6"/>
  <c r="H387" i="6"/>
  <c r="D387" i="6"/>
  <c r="A387" i="6"/>
  <c r="AF386" i="6"/>
  <c r="AD386" i="6"/>
  <c r="AC386" i="6"/>
  <c r="AB386" i="6"/>
  <c r="Z386" i="6"/>
  <c r="V386" i="6"/>
  <c r="R386" i="6"/>
  <c r="N386" i="6"/>
  <c r="J386" i="6"/>
  <c r="I386" i="6"/>
  <c r="H386" i="6"/>
  <c r="D386" i="6"/>
  <c r="A386" i="6"/>
  <c r="AF385" i="6"/>
  <c r="AC385" i="6"/>
  <c r="AD385" i="6" s="1"/>
  <c r="AB385" i="6"/>
  <c r="Z385" i="6"/>
  <c r="V385" i="6"/>
  <c r="R385" i="6"/>
  <c r="N385" i="6"/>
  <c r="J385" i="6"/>
  <c r="I385" i="6"/>
  <c r="H385" i="6"/>
  <c r="D385" i="6"/>
  <c r="A385" i="6"/>
  <c r="AF384" i="6"/>
  <c r="AD384" i="6"/>
  <c r="AC384" i="6"/>
  <c r="AB384" i="6"/>
  <c r="Z384" i="6"/>
  <c r="V384" i="6"/>
  <c r="R384" i="6"/>
  <c r="N384" i="6"/>
  <c r="J384" i="6"/>
  <c r="I384" i="6"/>
  <c r="H384" i="6"/>
  <c r="D384" i="6"/>
  <c r="A384" i="6"/>
  <c r="AF383" i="6"/>
  <c r="AD383" i="6"/>
  <c r="AC383" i="6"/>
  <c r="Z383" i="6"/>
  <c r="V383" i="6"/>
  <c r="R383" i="6"/>
  <c r="AB383" i="6" s="1"/>
  <c r="N383" i="6"/>
  <c r="J383" i="6"/>
  <c r="I383" i="6"/>
  <c r="H383" i="6"/>
  <c r="D383" i="6"/>
  <c r="A383" i="6"/>
  <c r="AF382" i="6"/>
  <c r="AD382" i="6"/>
  <c r="AC382" i="6"/>
  <c r="Z382" i="6"/>
  <c r="V382" i="6"/>
  <c r="R382" i="6"/>
  <c r="AB382" i="6" s="1"/>
  <c r="N382" i="6"/>
  <c r="J382" i="6"/>
  <c r="I382" i="6"/>
  <c r="H382" i="6"/>
  <c r="D382" i="6"/>
  <c r="A382" i="6"/>
  <c r="AF381" i="6"/>
  <c r="AC381" i="6"/>
  <c r="AD381" i="6" s="1"/>
  <c r="Z381" i="6"/>
  <c r="V381" i="6"/>
  <c r="R381" i="6"/>
  <c r="AB381" i="6" s="1"/>
  <c r="N381" i="6"/>
  <c r="J381" i="6"/>
  <c r="I381" i="6"/>
  <c r="H381" i="6"/>
  <c r="D381" i="6"/>
  <c r="A381" i="6"/>
  <c r="AF380" i="6"/>
  <c r="AD380" i="6"/>
  <c r="AC380" i="6"/>
  <c r="AB380" i="6"/>
  <c r="Z380" i="6"/>
  <c r="V380" i="6"/>
  <c r="R380" i="6"/>
  <c r="N380" i="6"/>
  <c r="J380" i="6"/>
  <c r="I380" i="6"/>
  <c r="H380" i="6"/>
  <c r="D380" i="6"/>
  <c r="A380" i="6"/>
  <c r="AF379" i="6"/>
  <c r="AC379" i="6"/>
  <c r="AD379" i="6" s="1"/>
  <c r="AB379" i="6"/>
  <c r="Z379" i="6"/>
  <c r="V379" i="6"/>
  <c r="R379" i="6"/>
  <c r="N379" i="6"/>
  <c r="J379" i="6"/>
  <c r="I379" i="6"/>
  <c r="H379" i="6"/>
  <c r="D379" i="6"/>
  <c r="A379" i="6"/>
  <c r="AF378" i="6"/>
  <c r="AD378" i="6"/>
  <c r="AC378" i="6"/>
  <c r="AB378" i="6"/>
  <c r="Z378" i="6"/>
  <c r="V378" i="6"/>
  <c r="R378" i="6"/>
  <c r="N378" i="6"/>
  <c r="J378" i="6"/>
  <c r="I378" i="6"/>
  <c r="H378" i="6"/>
  <c r="D378" i="6"/>
  <c r="A378" i="6"/>
  <c r="AF377" i="6"/>
  <c r="AD377" i="6"/>
  <c r="AC377" i="6"/>
  <c r="Z377" i="6"/>
  <c r="V377" i="6"/>
  <c r="R377" i="6"/>
  <c r="AB377" i="6" s="1"/>
  <c r="N377" i="6"/>
  <c r="J377" i="6"/>
  <c r="I377" i="6"/>
  <c r="H377" i="6"/>
  <c r="D377" i="6"/>
  <c r="A377" i="6"/>
  <c r="AF376" i="6"/>
  <c r="AD376" i="6"/>
  <c r="AC376" i="6"/>
  <c r="Z376" i="6"/>
  <c r="V376" i="6"/>
  <c r="R376" i="6"/>
  <c r="AB376" i="6" s="1"/>
  <c r="N376" i="6"/>
  <c r="J376" i="6"/>
  <c r="I376" i="6"/>
  <c r="H376" i="6"/>
  <c r="D376" i="6"/>
  <c r="A376" i="6"/>
  <c r="AF375" i="6"/>
  <c r="AC375" i="6"/>
  <c r="AD375" i="6" s="1"/>
  <c r="Z375" i="6"/>
  <c r="V375" i="6"/>
  <c r="R375" i="6"/>
  <c r="AB375" i="6" s="1"/>
  <c r="N375" i="6"/>
  <c r="J375" i="6"/>
  <c r="I375" i="6"/>
  <c r="H375" i="6"/>
  <c r="D375" i="6"/>
  <c r="A375" i="6"/>
  <c r="AF374" i="6"/>
  <c r="AD374" i="6"/>
  <c r="AC374" i="6"/>
  <c r="AB374" i="6"/>
  <c r="Z374" i="6"/>
  <c r="V374" i="6"/>
  <c r="R374" i="6"/>
  <c r="N374" i="6"/>
  <c r="J374" i="6"/>
  <c r="I374" i="6"/>
  <c r="H374" i="6"/>
  <c r="D374" i="6"/>
  <c r="A374" i="6"/>
  <c r="AF373" i="6"/>
  <c r="AC373" i="6"/>
  <c r="AD373" i="6" s="1"/>
  <c r="AB373" i="6"/>
  <c r="Z373" i="6"/>
  <c r="V373" i="6"/>
  <c r="R373" i="6"/>
  <c r="N373" i="6"/>
  <c r="J373" i="6"/>
  <c r="I373" i="6"/>
  <c r="H373" i="6"/>
  <c r="D373" i="6"/>
  <c r="A373" i="6"/>
  <c r="AF372" i="6"/>
  <c r="AD372" i="6"/>
  <c r="AC372" i="6"/>
  <c r="AB372" i="6"/>
  <c r="Z372" i="6"/>
  <c r="V372" i="6"/>
  <c r="R372" i="6"/>
  <c r="N372" i="6"/>
  <c r="J372" i="6"/>
  <c r="I372" i="6"/>
  <c r="H372" i="6"/>
  <c r="D372" i="6"/>
  <c r="A372" i="6"/>
  <c r="AF371" i="6"/>
  <c r="AD371" i="6"/>
  <c r="AC371" i="6"/>
  <c r="Z371" i="6"/>
  <c r="V371" i="6"/>
  <c r="R371" i="6"/>
  <c r="AB371" i="6" s="1"/>
  <c r="N371" i="6"/>
  <c r="J371" i="6"/>
  <c r="I371" i="6"/>
  <c r="H371" i="6"/>
  <c r="D371" i="6"/>
  <c r="A371" i="6"/>
  <c r="AF370" i="6"/>
  <c r="AD370" i="6"/>
  <c r="AC370" i="6"/>
  <c r="Z370" i="6"/>
  <c r="V370" i="6"/>
  <c r="R370" i="6"/>
  <c r="AB370" i="6" s="1"/>
  <c r="N370" i="6"/>
  <c r="J370" i="6"/>
  <c r="I370" i="6"/>
  <c r="H370" i="6"/>
  <c r="D370" i="6"/>
  <c r="A370" i="6"/>
  <c r="AF369" i="6"/>
  <c r="AC369" i="6"/>
  <c r="AD369" i="6" s="1"/>
  <c r="Z369" i="6"/>
  <c r="V369" i="6"/>
  <c r="R369" i="6"/>
  <c r="AB369" i="6" s="1"/>
  <c r="N369" i="6"/>
  <c r="J369" i="6"/>
  <c r="I369" i="6"/>
  <c r="H369" i="6"/>
  <c r="D369" i="6"/>
  <c r="A369" i="6"/>
  <c r="AF368" i="6"/>
  <c r="AD368" i="6"/>
  <c r="AC368" i="6"/>
  <c r="AB368" i="6"/>
  <c r="Z368" i="6"/>
  <c r="V368" i="6"/>
  <c r="R368" i="6"/>
  <c r="N368" i="6"/>
  <c r="J368" i="6"/>
  <c r="I368" i="6"/>
  <c r="H368" i="6"/>
  <c r="D368" i="6"/>
  <c r="A368" i="6"/>
  <c r="AF367" i="6"/>
  <c r="AC367" i="6"/>
  <c r="AD367" i="6" s="1"/>
  <c r="AB367" i="6"/>
  <c r="Z367" i="6"/>
  <c r="V367" i="6"/>
  <c r="R367" i="6"/>
  <c r="N367" i="6"/>
  <c r="J367" i="6"/>
  <c r="I367" i="6"/>
  <c r="H367" i="6"/>
  <c r="D367" i="6"/>
  <c r="A367" i="6"/>
  <c r="AF366" i="6"/>
  <c r="AD366" i="6"/>
  <c r="AC366" i="6"/>
  <c r="AB366" i="6"/>
  <c r="Z366" i="6"/>
  <c r="V366" i="6"/>
  <c r="R366" i="6"/>
  <c r="N366" i="6"/>
  <c r="J366" i="6"/>
  <c r="I366" i="6"/>
  <c r="H366" i="6"/>
  <c r="D366" i="6"/>
  <c r="A366" i="6"/>
  <c r="AF365" i="6"/>
  <c r="AD365" i="6"/>
  <c r="AC365" i="6"/>
  <c r="Z365" i="6"/>
  <c r="V365" i="6"/>
  <c r="R365" i="6"/>
  <c r="AB365" i="6" s="1"/>
  <c r="N365" i="6"/>
  <c r="J365" i="6"/>
  <c r="I365" i="6"/>
  <c r="H365" i="6"/>
  <c r="D365" i="6"/>
  <c r="A365" i="6"/>
  <c r="AF364" i="6"/>
  <c r="AD364" i="6"/>
  <c r="AC364" i="6"/>
  <c r="Z364" i="6"/>
  <c r="V364" i="6"/>
  <c r="R364" i="6"/>
  <c r="AB364" i="6" s="1"/>
  <c r="N364" i="6"/>
  <c r="J364" i="6"/>
  <c r="I364" i="6"/>
  <c r="H364" i="6"/>
  <c r="D364" i="6"/>
  <c r="A364" i="6"/>
  <c r="AF363" i="6"/>
  <c r="AC363" i="6"/>
  <c r="AD363" i="6" s="1"/>
  <c r="Z363" i="6"/>
  <c r="V363" i="6"/>
  <c r="R363" i="6"/>
  <c r="AB363" i="6" s="1"/>
  <c r="N363" i="6"/>
  <c r="J363" i="6"/>
  <c r="I363" i="6"/>
  <c r="H363" i="6"/>
  <c r="D363" i="6"/>
  <c r="A363" i="6"/>
  <c r="AF362" i="6"/>
  <c r="AD362" i="6"/>
  <c r="AC362" i="6"/>
  <c r="AB362" i="6"/>
  <c r="Z362" i="6"/>
  <c r="V362" i="6"/>
  <c r="R362" i="6"/>
  <c r="N362" i="6"/>
  <c r="J362" i="6"/>
  <c r="I362" i="6"/>
  <c r="H362" i="6"/>
  <c r="D362" i="6"/>
  <c r="A362" i="6"/>
  <c r="AF361" i="6"/>
  <c r="AC361" i="6"/>
  <c r="AD361" i="6" s="1"/>
  <c r="AB361" i="6"/>
  <c r="Z361" i="6"/>
  <c r="V361" i="6"/>
  <c r="R361" i="6"/>
  <c r="N361" i="6"/>
  <c r="J361" i="6"/>
  <c r="I361" i="6"/>
  <c r="H361" i="6"/>
  <c r="D361" i="6"/>
  <c r="A361" i="6"/>
  <c r="AF360" i="6"/>
  <c r="AC360" i="6"/>
  <c r="AD360" i="6" s="1"/>
  <c r="AB360" i="6"/>
  <c r="Z360" i="6"/>
  <c r="V360" i="6"/>
  <c r="R360" i="6"/>
  <c r="N360" i="6"/>
  <c r="J360" i="6"/>
  <c r="I360" i="6"/>
  <c r="H360" i="6"/>
  <c r="D360" i="6"/>
  <c r="A360" i="6"/>
  <c r="AF359" i="6"/>
  <c r="AD359" i="6"/>
  <c r="AC359" i="6"/>
  <c r="Z359" i="6"/>
  <c r="V359" i="6"/>
  <c r="R359" i="6"/>
  <c r="AB359" i="6" s="1"/>
  <c r="N359" i="6"/>
  <c r="J359" i="6"/>
  <c r="I359" i="6"/>
  <c r="H359" i="6"/>
  <c r="D359" i="6"/>
  <c r="A359" i="6"/>
  <c r="AF358" i="6"/>
  <c r="AD358" i="6"/>
  <c r="AC358" i="6"/>
  <c r="Z358" i="6"/>
  <c r="V358" i="6"/>
  <c r="R358" i="6"/>
  <c r="AB358" i="6" s="1"/>
  <c r="N358" i="6"/>
  <c r="J358" i="6"/>
  <c r="I358" i="6"/>
  <c r="H358" i="6"/>
  <c r="D358" i="6"/>
  <c r="A358" i="6"/>
  <c r="AF357" i="6"/>
  <c r="AC357" i="6"/>
  <c r="AD357" i="6" s="1"/>
  <c r="Z357" i="6"/>
  <c r="V357" i="6"/>
  <c r="R357" i="6"/>
  <c r="AB357" i="6" s="1"/>
  <c r="N357" i="6"/>
  <c r="J357" i="6"/>
  <c r="I357" i="6"/>
  <c r="H357" i="6"/>
  <c r="D357" i="6"/>
  <c r="A357" i="6"/>
  <c r="AF356" i="6"/>
  <c r="AD356" i="6"/>
  <c r="AC356" i="6"/>
  <c r="Z356" i="6"/>
  <c r="AB356" i="6" s="1"/>
  <c r="V356" i="6"/>
  <c r="R356" i="6"/>
  <c r="N356" i="6"/>
  <c r="J356" i="6"/>
  <c r="I356" i="6"/>
  <c r="H356" i="6"/>
  <c r="D356" i="6"/>
  <c r="A356" i="6"/>
  <c r="AF355" i="6"/>
  <c r="AC355" i="6"/>
  <c r="AD355" i="6" s="1"/>
  <c r="AB355" i="6"/>
  <c r="Z355" i="6"/>
  <c r="V355" i="6"/>
  <c r="R355" i="6"/>
  <c r="N355" i="6"/>
  <c r="J355" i="6"/>
  <c r="I355" i="6"/>
  <c r="H355" i="6"/>
  <c r="D355" i="6"/>
  <c r="A355" i="6"/>
  <c r="AF354" i="6"/>
  <c r="AC354" i="6"/>
  <c r="AD354" i="6" s="1"/>
  <c r="AB354" i="6"/>
  <c r="Z354" i="6"/>
  <c r="V354" i="6"/>
  <c r="R354" i="6"/>
  <c r="N354" i="6"/>
  <c r="J354" i="6"/>
  <c r="I354" i="6"/>
  <c r="H354" i="6"/>
  <c r="D354" i="6"/>
  <c r="A354" i="6"/>
  <c r="AF353" i="6"/>
  <c r="AD353" i="6"/>
  <c r="AC353" i="6"/>
  <c r="Z353" i="6"/>
  <c r="V353" i="6"/>
  <c r="R353" i="6"/>
  <c r="AB353" i="6" s="1"/>
  <c r="N353" i="6"/>
  <c r="J353" i="6"/>
  <c r="I353" i="6"/>
  <c r="H353" i="6"/>
  <c r="D353" i="6"/>
  <c r="A353" i="6"/>
  <c r="AF352" i="6"/>
  <c r="AD352" i="6"/>
  <c r="AC352" i="6"/>
  <c r="Z352" i="6"/>
  <c r="V352" i="6"/>
  <c r="R352" i="6"/>
  <c r="AB352" i="6" s="1"/>
  <c r="N352" i="6"/>
  <c r="J352" i="6"/>
  <c r="I352" i="6"/>
  <c r="H352" i="6"/>
  <c r="D352" i="6"/>
  <c r="A352" i="6"/>
  <c r="AF351" i="6"/>
  <c r="AC351" i="6"/>
  <c r="AD351" i="6" s="1"/>
  <c r="Z351" i="6"/>
  <c r="V351" i="6"/>
  <c r="R351" i="6"/>
  <c r="AB351" i="6" s="1"/>
  <c r="N351" i="6"/>
  <c r="J351" i="6"/>
  <c r="I351" i="6"/>
  <c r="H351" i="6"/>
  <c r="D351" i="6"/>
  <c r="A351" i="6"/>
  <c r="AF350" i="6"/>
  <c r="AD350" i="6"/>
  <c r="AC350" i="6"/>
  <c r="Z350" i="6"/>
  <c r="V350" i="6"/>
  <c r="AB350" i="6" s="1"/>
  <c r="R350" i="6"/>
  <c r="N350" i="6"/>
  <c r="J350" i="6"/>
  <c r="I350" i="6"/>
  <c r="H350" i="6"/>
  <c r="D350" i="6"/>
  <c r="A350" i="6"/>
  <c r="AF349" i="6"/>
  <c r="AC349" i="6"/>
  <c r="AD349" i="6" s="1"/>
  <c r="AB349" i="6"/>
  <c r="Z349" i="6"/>
  <c r="V349" i="6"/>
  <c r="R349" i="6"/>
  <c r="N349" i="6"/>
  <c r="J349" i="6"/>
  <c r="I349" i="6"/>
  <c r="H349" i="6"/>
  <c r="D349" i="6"/>
  <c r="A349" i="6"/>
  <c r="AF348" i="6"/>
  <c r="AC348" i="6"/>
  <c r="AD348" i="6" s="1"/>
  <c r="AB348" i="6"/>
  <c r="Z348" i="6"/>
  <c r="V348" i="6"/>
  <c r="R348" i="6"/>
  <c r="N348" i="6"/>
  <c r="J348" i="6"/>
  <c r="I348" i="6"/>
  <c r="H348" i="6"/>
  <c r="D348" i="6"/>
  <c r="A348" i="6"/>
  <c r="AF347" i="6"/>
  <c r="AD347" i="6"/>
  <c r="AC347" i="6"/>
  <c r="Z347" i="6"/>
  <c r="V347" i="6"/>
  <c r="R347" i="6"/>
  <c r="AB347" i="6" s="1"/>
  <c r="N347" i="6"/>
  <c r="J347" i="6"/>
  <c r="I347" i="6"/>
  <c r="H347" i="6"/>
  <c r="D347" i="6"/>
  <c r="A347" i="6"/>
  <c r="AF346" i="6"/>
  <c r="AD346" i="6"/>
  <c r="AC346" i="6"/>
  <c r="Z346" i="6"/>
  <c r="V346" i="6"/>
  <c r="R346" i="6"/>
  <c r="AB346" i="6" s="1"/>
  <c r="N346" i="6"/>
  <c r="J346" i="6"/>
  <c r="I346" i="6"/>
  <c r="H346" i="6"/>
  <c r="D346" i="6"/>
  <c r="A346" i="6"/>
  <c r="AF345" i="6"/>
  <c r="AC345" i="6"/>
  <c r="AD345" i="6" s="1"/>
  <c r="Z345" i="6"/>
  <c r="V345" i="6"/>
  <c r="R345" i="6"/>
  <c r="AB345" i="6" s="1"/>
  <c r="N345" i="6"/>
  <c r="J345" i="6"/>
  <c r="I345" i="6"/>
  <c r="H345" i="6"/>
  <c r="D345" i="6"/>
  <c r="A345" i="6"/>
  <c r="AF344" i="6"/>
  <c r="AD344" i="6"/>
  <c r="AC344" i="6"/>
  <c r="Z344" i="6"/>
  <c r="V344" i="6"/>
  <c r="AB344" i="6" s="1"/>
  <c r="R344" i="6"/>
  <c r="N344" i="6"/>
  <c r="J344" i="6"/>
  <c r="I344" i="6"/>
  <c r="H344" i="6"/>
  <c r="D344" i="6"/>
  <c r="A344" i="6"/>
  <c r="AF343" i="6"/>
  <c r="AC343" i="6"/>
  <c r="AD343" i="6" s="1"/>
  <c r="AB343" i="6"/>
  <c r="Z343" i="6"/>
  <c r="V343" i="6"/>
  <c r="R343" i="6"/>
  <c r="N343" i="6"/>
  <c r="J343" i="6"/>
  <c r="I343" i="6"/>
  <c r="H343" i="6"/>
  <c r="D343" i="6"/>
  <c r="A343" i="6"/>
  <c r="AF342" i="6"/>
  <c r="AC342" i="6"/>
  <c r="AD342" i="6" s="1"/>
  <c r="AB342" i="6"/>
  <c r="Z342" i="6"/>
  <c r="V342" i="6"/>
  <c r="R342" i="6"/>
  <c r="N342" i="6"/>
  <c r="J342" i="6"/>
  <c r="I342" i="6"/>
  <c r="H342" i="6"/>
  <c r="D342" i="6"/>
  <c r="A342" i="6"/>
  <c r="AF341" i="6"/>
  <c r="AD341" i="6"/>
  <c r="AC341" i="6"/>
  <c r="Z341" i="6"/>
  <c r="V341" i="6"/>
  <c r="R341" i="6"/>
  <c r="AB341" i="6" s="1"/>
  <c r="N341" i="6"/>
  <c r="J341" i="6"/>
  <c r="I341" i="6"/>
  <c r="H341" i="6"/>
  <c r="D341" i="6"/>
  <c r="A341" i="6"/>
  <c r="AF340" i="6"/>
  <c r="AD340" i="6"/>
  <c r="AC340" i="6"/>
  <c r="Z340" i="6"/>
  <c r="V340" i="6"/>
  <c r="R340" i="6"/>
  <c r="AB340" i="6" s="1"/>
  <c r="N340" i="6"/>
  <c r="J340" i="6"/>
  <c r="I340" i="6"/>
  <c r="H340" i="6"/>
  <c r="D340" i="6"/>
  <c r="A340" i="6"/>
  <c r="AF339" i="6"/>
  <c r="AC339" i="6"/>
  <c r="AD339" i="6" s="1"/>
  <c r="Z339" i="6"/>
  <c r="V339" i="6"/>
  <c r="R339" i="6"/>
  <c r="AB339" i="6" s="1"/>
  <c r="N339" i="6"/>
  <c r="J339" i="6"/>
  <c r="I339" i="6"/>
  <c r="H339" i="6"/>
  <c r="D339" i="6"/>
  <c r="A339" i="6"/>
  <c r="AF338" i="6"/>
  <c r="AD338" i="6"/>
  <c r="AC338" i="6"/>
  <c r="Z338" i="6"/>
  <c r="V338" i="6"/>
  <c r="AB338" i="6" s="1"/>
  <c r="R338" i="6"/>
  <c r="N338" i="6"/>
  <c r="J338" i="6"/>
  <c r="I338" i="6"/>
  <c r="H338" i="6"/>
  <c r="D338" i="6"/>
  <c r="A338" i="6"/>
  <c r="AF337" i="6"/>
  <c r="AC337" i="6"/>
  <c r="AD337" i="6" s="1"/>
  <c r="AB337" i="6"/>
  <c r="Z337" i="6"/>
  <c r="V337" i="6"/>
  <c r="R337" i="6"/>
  <c r="N337" i="6"/>
  <c r="J337" i="6"/>
  <c r="I337" i="6"/>
  <c r="H337" i="6"/>
  <c r="D337" i="6"/>
  <c r="A337" i="6"/>
  <c r="AF336" i="6"/>
  <c r="AC336" i="6"/>
  <c r="AD336" i="6" s="1"/>
  <c r="AB336" i="6"/>
  <c r="Z336" i="6"/>
  <c r="V336" i="6"/>
  <c r="R336" i="6"/>
  <c r="N336" i="6"/>
  <c r="J336" i="6"/>
  <c r="I336" i="6"/>
  <c r="H336" i="6"/>
  <c r="D336" i="6"/>
  <c r="A336" i="6"/>
  <c r="AF335" i="6"/>
  <c r="AD335" i="6"/>
  <c r="AC335" i="6"/>
  <c r="Z335" i="6"/>
  <c r="V335" i="6"/>
  <c r="R335" i="6"/>
  <c r="AB335" i="6" s="1"/>
  <c r="N335" i="6"/>
  <c r="J335" i="6"/>
  <c r="I335" i="6"/>
  <c r="H335" i="6"/>
  <c r="D335" i="6"/>
  <c r="A335" i="6"/>
  <c r="AF334" i="6"/>
  <c r="AD334" i="6"/>
  <c r="AC334" i="6"/>
  <c r="Z334" i="6"/>
  <c r="V334" i="6"/>
  <c r="R334" i="6"/>
  <c r="AB334" i="6" s="1"/>
  <c r="N334" i="6"/>
  <c r="J334" i="6"/>
  <c r="I334" i="6"/>
  <c r="H334" i="6"/>
  <c r="D334" i="6"/>
  <c r="A334" i="6"/>
  <c r="AF333" i="6"/>
  <c r="AC333" i="6"/>
  <c r="AD333" i="6" s="1"/>
  <c r="Z333" i="6"/>
  <c r="V333" i="6"/>
  <c r="R333" i="6"/>
  <c r="AB333" i="6" s="1"/>
  <c r="N333" i="6"/>
  <c r="J333" i="6"/>
  <c r="I333" i="6"/>
  <c r="H333" i="6"/>
  <c r="D333" i="6"/>
  <c r="A333" i="6"/>
  <c r="AF332" i="6"/>
  <c r="AD332" i="6"/>
  <c r="AC332" i="6"/>
  <c r="Z332" i="6"/>
  <c r="V332" i="6"/>
  <c r="AB332" i="6" s="1"/>
  <c r="R332" i="6"/>
  <c r="N332" i="6"/>
  <c r="J332" i="6"/>
  <c r="I332" i="6"/>
  <c r="H332" i="6"/>
  <c r="D332" i="6"/>
  <c r="A332" i="6"/>
  <c r="AF331" i="6"/>
  <c r="AC331" i="6"/>
  <c r="AD331" i="6" s="1"/>
  <c r="AB331" i="6"/>
  <c r="Z331" i="6"/>
  <c r="V331" i="6"/>
  <c r="R331" i="6"/>
  <c r="N331" i="6"/>
  <c r="J331" i="6"/>
  <c r="I331" i="6"/>
  <c r="H331" i="6"/>
  <c r="D331" i="6"/>
  <c r="A331" i="6"/>
  <c r="AF330" i="6"/>
  <c r="AC330" i="6"/>
  <c r="AD330" i="6" s="1"/>
  <c r="AB330" i="6"/>
  <c r="Z330" i="6"/>
  <c r="V330" i="6"/>
  <c r="R330" i="6"/>
  <c r="N330" i="6"/>
  <c r="J330" i="6"/>
  <c r="I330" i="6"/>
  <c r="H330" i="6"/>
  <c r="D330" i="6"/>
  <c r="A330" i="6"/>
  <c r="AF329" i="6"/>
  <c r="AD329" i="6"/>
  <c r="AC329" i="6"/>
  <c r="Z329" i="6"/>
  <c r="V329" i="6"/>
  <c r="R329" i="6"/>
  <c r="AB329" i="6" s="1"/>
  <c r="N329" i="6"/>
  <c r="J329" i="6"/>
  <c r="I329" i="6"/>
  <c r="H329" i="6"/>
  <c r="D329" i="6"/>
  <c r="A329" i="6"/>
  <c r="AF328" i="6"/>
  <c r="AD328" i="6"/>
  <c r="AC328" i="6"/>
  <c r="Z328" i="6"/>
  <c r="V328" i="6"/>
  <c r="R328" i="6"/>
  <c r="AB328" i="6" s="1"/>
  <c r="N328" i="6"/>
  <c r="J328" i="6"/>
  <c r="I328" i="6"/>
  <c r="H328" i="6"/>
  <c r="D328" i="6"/>
  <c r="A328" i="6"/>
  <c r="AF327" i="6"/>
  <c r="AC327" i="6"/>
  <c r="AD327" i="6" s="1"/>
  <c r="Z327" i="6"/>
  <c r="V327" i="6"/>
  <c r="R327" i="6"/>
  <c r="N327" i="6"/>
  <c r="J327" i="6"/>
  <c r="I327" i="6"/>
  <c r="H327" i="6"/>
  <c r="D327" i="6"/>
  <c r="A327" i="6"/>
  <c r="AF326" i="6"/>
  <c r="AD326" i="6"/>
  <c r="AC326" i="6"/>
  <c r="Z326" i="6"/>
  <c r="AB326" i="6" s="1"/>
  <c r="V326" i="6"/>
  <c r="R326" i="6"/>
  <c r="N326" i="6"/>
  <c r="J326" i="6"/>
  <c r="I326" i="6"/>
  <c r="H326" i="6"/>
  <c r="D326" i="6"/>
  <c r="A326" i="6"/>
  <c r="AF325" i="6"/>
  <c r="AC325" i="6"/>
  <c r="AD325" i="6" s="1"/>
  <c r="Z325" i="6"/>
  <c r="AB325" i="6" s="1"/>
  <c r="V325" i="6"/>
  <c r="R325" i="6"/>
  <c r="N325" i="6"/>
  <c r="J325" i="6"/>
  <c r="I325" i="6"/>
  <c r="H325" i="6"/>
  <c r="D325" i="6"/>
  <c r="A325" i="6"/>
  <c r="AF324" i="6"/>
  <c r="AD324" i="6"/>
  <c r="AC324" i="6"/>
  <c r="AB324" i="6"/>
  <c r="Z324" i="6"/>
  <c r="V324" i="6"/>
  <c r="R324" i="6"/>
  <c r="N324" i="6"/>
  <c r="J324" i="6"/>
  <c r="I324" i="6"/>
  <c r="H324" i="6"/>
  <c r="D324" i="6"/>
  <c r="A324" i="6"/>
  <c r="AF323" i="6"/>
  <c r="AC323" i="6"/>
  <c r="AD323" i="6" s="1"/>
  <c r="Z323" i="6"/>
  <c r="V323" i="6"/>
  <c r="R323" i="6"/>
  <c r="AB323" i="6" s="1"/>
  <c r="N323" i="6"/>
  <c r="J323" i="6"/>
  <c r="I323" i="6"/>
  <c r="H323" i="6"/>
  <c r="D323" i="6"/>
  <c r="A323" i="6"/>
  <c r="AF322" i="6"/>
  <c r="AD322" i="6"/>
  <c r="AC322" i="6"/>
  <c r="Z322" i="6"/>
  <c r="V322" i="6"/>
  <c r="R322" i="6"/>
  <c r="AB322" i="6" s="1"/>
  <c r="N322" i="6"/>
  <c r="J322" i="6"/>
  <c r="I322" i="6"/>
  <c r="H322" i="6"/>
  <c r="D322" i="6"/>
  <c r="A322" i="6"/>
  <c r="AF321" i="6"/>
  <c r="AC321" i="6"/>
  <c r="AD321" i="6" s="1"/>
  <c r="Z321" i="6"/>
  <c r="V321" i="6"/>
  <c r="R321" i="6"/>
  <c r="AB321" i="6" s="1"/>
  <c r="N321" i="6"/>
  <c r="J321" i="6"/>
  <c r="I321" i="6"/>
  <c r="H321" i="6"/>
  <c r="D321" i="6"/>
  <c r="A321" i="6"/>
  <c r="AF320" i="6"/>
  <c r="AD320" i="6"/>
  <c r="AC320" i="6"/>
  <c r="Z320" i="6"/>
  <c r="V320" i="6"/>
  <c r="R320" i="6"/>
  <c r="AB320" i="6" s="1"/>
  <c r="N320" i="6"/>
  <c r="J320" i="6"/>
  <c r="I320" i="6"/>
  <c r="H320" i="6"/>
  <c r="D320" i="6"/>
  <c r="A320" i="6"/>
  <c r="AF319" i="6"/>
  <c r="AC319" i="6"/>
  <c r="AD319" i="6" s="1"/>
  <c r="Z319" i="6"/>
  <c r="V319" i="6"/>
  <c r="R319" i="6"/>
  <c r="AB319" i="6" s="1"/>
  <c r="N319" i="6"/>
  <c r="J319" i="6"/>
  <c r="I319" i="6"/>
  <c r="H319" i="6"/>
  <c r="D319" i="6"/>
  <c r="A319" i="6"/>
  <c r="AF318" i="6"/>
  <c r="AD318" i="6"/>
  <c r="AC318" i="6"/>
  <c r="AB318" i="6"/>
  <c r="Z318" i="6"/>
  <c r="V318" i="6"/>
  <c r="R318" i="6"/>
  <c r="N318" i="6"/>
  <c r="J318" i="6"/>
  <c r="I318" i="6"/>
  <c r="H318" i="6"/>
  <c r="D318" i="6"/>
  <c r="A318" i="6"/>
  <c r="AF317" i="6"/>
  <c r="AC317" i="6"/>
  <c r="AD317" i="6" s="1"/>
  <c r="Z317" i="6"/>
  <c r="AB317" i="6" s="1"/>
  <c r="V317" i="6"/>
  <c r="R317" i="6"/>
  <c r="N317" i="6"/>
  <c r="J317" i="6"/>
  <c r="I317" i="6"/>
  <c r="H317" i="6"/>
  <c r="D317" i="6"/>
  <c r="A317" i="6"/>
  <c r="AF316" i="6"/>
  <c r="AD316" i="6"/>
  <c r="AC316" i="6"/>
  <c r="AB316" i="6"/>
  <c r="Z316" i="6"/>
  <c r="V316" i="6"/>
  <c r="R316" i="6"/>
  <c r="N316" i="6"/>
  <c r="J316" i="6"/>
  <c r="I316" i="6"/>
  <c r="H316" i="6"/>
  <c r="D316" i="6"/>
  <c r="A316" i="6"/>
  <c r="AF315" i="6"/>
  <c r="AC315" i="6"/>
  <c r="AD315" i="6" s="1"/>
  <c r="Z315" i="6"/>
  <c r="V315" i="6"/>
  <c r="R315" i="6"/>
  <c r="AB315" i="6" s="1"/>
  <c r="N315" i="6"/>
  <c r="J315" i="6"/>
  <c r="I315" i="6"/>
  <c r="H315" i="6"/>
  <c r="D315" i="6"/>
  <c r="A315" i="6"/>
  <c r="AF314" i="6"/>
  <c r="AD314" i="6"/>
  <c r="AC314" i="6"/>
  <c r="Z314" i="6"/>
  <c r="V314" i="6"/>
  <c r="R314" i="6"/>
  <c r="AB314" i="6" s="1"/>
  <c r="N314" i="6"/>
  <c r="J314" i="6"/>
  <c r="I314" i="6"/>
  <c r="H314" i="6"/>
  <c r="D314" i="6"/>
  <c r="A314" i="6"/>
  <c r="AF313" i="6"/>
  <c r="AD313" i="6"/>
  <c r="AC313" i="6"/>
  <c r="Z313" i="6"/>
  <c r="V313" i="6"/>
  <c r="R313" i="6"/>
  <c r="AB313" i="6" s="1"/>
  <c r="N313" i="6"/>
  <c r="J313" i="6"/>
  <c r="I313" i="6"/>
  <c r="H313" i="6"/>
  <c r="D313" i="6"/>
  <c r="A313" i="6"/>
  <c r="AF312" i="6"/>
  <c r="AD312" i="6"/>
  <c r="AC312" i="6"/>
  <c r="AB312" i="6"/>
  <c r="Z312" i="6"/>
  <c r="V312" i="6"/>
  <c r="R312" i="6"/>
  <c r="N312" i="6"/>
  <c r="J312" i="6"/>
  <c r="I312" i="6"/>
  <c r="H312" i="6"/>
  <c r="D312" i="6"/>
  <c r="A312" i="6"/>
  <c r="AF311" i="6"/>
  <c r="AC311" i="6"/>
  <c r="AD311" i="6" s="1"/>
  <c r="Z311" i="6"/>
  <c r="AB311" i="6" s="1"/>
  <c r="V311" i="6"/>
  <c r="R311" i="6"/>
  <c r="N311" i="6"/>
  <c r="J311" i="6"/>
  <c r="I311" i="6"/>
  <c r="H311" i="6"/>
  <c r="D311" i="6"/>
  <c r="A311" i="6"/>
  <c r="AF310" i="6"/>
  <c r="AD310" i="6"/>
  <c r="AC310" i="6"/>
  <c r="AB310" i="6"/>
  <c r="Z310" i="6"/>
  <c r="V310" i="6"/>
  <c r="R310" i="6"/>
  <c r="N310" i="6"/>
  <c r="J310" i="6"/>
  <c r="I310" i="6"/>
  <c r="H310" i="6"/>
  <c r="D310" i="6"/>
  <c r="A310" i="6"/>
  <c r="AF309" i="6"/>
  <c r="AC309" i="6"/>
  <c r="AD309" i="6" s="1"/>
  <c r="Z309" i="6"/>
  <c r="V309" i="6"/>
  <c r="R309" i="6"/>
  <c r="AB309" i="6" s="1"/>
  <c r="N309" i="6"/>
  <c r="J309" i="6"/>
  <c r="I309" i="6"/>
  <c r="H309" i="6"/>
  <c r="D309" i="6"/>
  <c r="A309" i="6"/>
  <c r="AF308" i="6"/>
  <c r="AD308" i="6"/>
  <c r="AC308" i="6"/>
  <c r="Z308" i="6"/>
  <c r="V308" i="6"/>
  <c r="R308" i="6"/>
  <c r="AB308" i="6" s="1"/>
  <c r="N308" i="6"/>
  <c r="J308" i="6"/>
  <c r="I308" i="6"/>
  <c r="H308" i="6"/>
  <c r="D308" i="6"/>
  <c r="A308" i="6"/>
  <c r="AF307" i="6"/>
  <c r="AD307" i="6"/>
  <c r="AC307" i="6"/>
  <c r="Z307" i="6"/>
  <c r="V307" i="6"/>
  <c r="R307" i="6"/>
  <c r="AB307" i="6" s="1"/>
  <c r="N307" i="6"/>
  <c r="J307" i="6"/>
  <c r="I307" i="6"/>
  <c r="H307" i="6"/>
  <c r="D307" i="6"/>
  <c r="A307" i="6"/>
  <c r="AF306" i="6"/>
  <c r="AD306" i="6"/>
  <c r="AC306" i="6"/>
  <c r="AB306" i="6"/>
  <c r="Z306" i="6"/>
  <c r="V306" i="6"/>
  <c r="R306" i="6"/>
  <c r="N306" i="6"/>
  <c r="J306" i="6"/>
  <c r="I306" i="6"/>
  <c r="H306" i="6"/>
  <c r="D306" i="6"/>
  <c r="A306" i="6"/>
  <c r="AF305" i="6"/>
  <c r="AC305" i="6"/>
  <c r="AD305" i="6" s="1"/>
  <c r="Z305" i="6"/>
  <c r="AB305" i="6" s="1"/>
  <c r="V305" i="6"/>
  <c r="R305" i="6"/>
  <c r="N305" i="6"/>
  <c r="J305" i="6"/>
  <c r="I305" i="6"/>
  <c r="H305" i="6"/>
  <c r="D305" i="6"/>
  <c r="A305" i="6"/>
  <c r="AF304" i="6"/>
  <c r="AD304" i="6"/>
  <c r="AC304" i="6"/>
  <c r="AB304" i="6"/>
  <c r="Z304" i="6"/>
  <c r="V304" i="6"/>
  <c r="R304" i="6"/>
  <c r="N304" i="6"/>
  <c r="J304" i="6"/>
  <c r="I304" i="6"/>
  <c r="H304" i="6"/>
  <c r="D304" i="6"/>
  <c r="A304" i="6"/>
  <c r="AF303" i="6"/>
  <c r="AC303" i="6"/>
  <c r="AD303" i="6" s="1"/>
  <c r="Z303" i="6"/>
  <c r="V303" i="6"/>
  <c r="R303" i="6"/>
  <c r="AB303" i="6" s="1"/>
  <c r="N303" i="6"/>
  <c r="J303" i="6"/>
  <c r="I303" i="6"/>
  <c r="H303" i="6"/>
  <c r="D303" i="6"/>
  <c r="A303" i="6"/>
  <c r="AF302" i="6"/>
  <c r="AD302" i="6"/>
  <c r="AC302" i="6"/>
  <c r="Z302" i="6"/>
  <c r="V302" i="6"/>
  <c r="R302" i="6"/>
  <c r="AB302" i="6" s="1"/>
  <c r="N302" i="6"/>
  <c r="J302" i="6"/>
  <c r="I302" i="6"/>
  <c r="H302" i="6"/>
  <c r="D302" i="6"/>
  <c r="A302" i="6"/>
  <c r="AF301" i="6"/>
  <c r="AD301" i="6"/>
  <c r="AC301" i="6"/>
  <c r="Z301" i="6"/>
  <c r="V301" i="6"/>
  <c r="R301" i="6"/>
  <c r="AB301" i="6" s="1"/>
  <c r="N301" i="6"/>
  <c r="J301" i="6"/>
  <c r="I301" i="6"/>
  <c r="H301" i="6"/>
  <c r="D301" i="6"/>
  <c r="A301" i="6"/>
  <c r="AF300" i="6"/>
  <c r="AD300" i="6"/>
  <c r="AC300" i="6"/>
  <c r="AB300" i="6"/>
  <c r="Z300" i="6"/>
  <c r="V300" i="6"/>
  <c r="R300" i="6"/>
  <c r="N300" i="6"/>
  <c r="J300" i="6"/>
  <c r="I300" i="6"/>
  <c r="H300" i="6"/>
  <c r="D300" i="6"/>
  <c r="A300" i="6"/>
  <c r="AF299" i="6"/>
  <c r="AC299" i="6"/>
  <c r="AD299" i="6" s="1"/>
  <c r="Z299" i="6"/>
  <c r="AB299" i="6" s="1"/>
  <c r="V299" i="6"/>
  <c r="R299" i="6"/>
  <c r="N299" i="6"/>
  <c r="J299" i="6"/>
  <c r="I299" i="6"/>
  <c r="H299" i="6"/>
  <c r="D299" i="6"/>
  <c r="A299" i="6"/>
  <c r="AF298" i="6"/>
  <c r="AD298" i="6"/>
  <c r="AC298" i="6"/>
  <c r="AB298" i="6"/>
  <c r="Z298" i="6"/>
  <c r="V298" i="6"/>
  <c r="R298" i="6"/>
  <c r="N298" i="6"/>
  <c r="J298" i="6"/>
  <c r="I298" i="6"/>
  <c r="H298" i="6"/>
  <c r="D298" i="6"/>
  <c r="A298" i="6"/>
  <c r="AF297" i="6"/>
  <c r="AC297" i="6"/>
  <c r="AD297" i="6" s="1"/>
  <c r="Z297" i="6"/>
  <c r="V297" i="6"/>
  <c r="R297" i="6"/>
  <c r="AB297" i="6" s="1"/>
  <c r="N297" i="6"/>
  <c r="J297" i="6"/>
  <c r="I297" i="6"/>
  <c r="H297" i="6"/>
  <c r="D297" i="6"/>
  <c r="A297" i="6"/>
  <c r="AF296" i="6"/>
  <c r="AD296" i="6"/>
  <c r="AC296" i="6"/>
  <c r="Z296" i="6"/>
  <c r="V296" i="6"/>
  <c r="R296" i="6"/>
  <c r="AB296" i="6" s="1"/>
  <c r="N296" i="6"/>
  <c r="J296" i="6"/>
  <c r="I296" i="6"/>
  <c r="H296" i="6"/>
  <c r="D296" i="6"/>
  <c r="A296" i="6"/>
  <c r="AF295" i="6"/>
  <c r="AD295" i="6"/>
  <c r="AC295" i="6"/>
  <c r="Z295" i="6"/>
  <c r="V295" i="6"/>
  <c r="R295" i="6"/>
  <c r="AB295" i="6" s="1"/>
  <c r="N295" i="6"/>
  <c r="J295" i="6"/>
  <c r="I295" i="6"/>
  <c r="H295" i="6"/>
  <c r="D295" i="6"/>
  <c r="A295" i="6"/>
  <c r="AF294" i="6"/>
  <c r="AD294" i="6"/>
  <c r="AC294" i="6"/>
  <c r="AB294" i="6"/>
  <c r="Z294" i="6"/>
  <c r="V294" i="6"/>
  <c r="R294" i="6"/>
  <c r="N294" i="6"/>
  <c r="J294" i="6"/>
  <c r="I294" i="6"/>
  <c r="H294" i="6"/>
  <c r="D294" i="6"/>
  <c r="A294" i="6"/>
  <c r="AF293" i="6"/>
  <c r="AC293" i="6"/>
  <c r="AD293" i="6" s="1"/>
  <c r="Z293" i="6"/>
  <c r="AB293" i="6" s="1"/>
  <c r="V293" i="6"/>
  <c r="R293" i="6"/>
  <c r="N293" i="6"/>
  <c r="J293" i="6"/>
  <c r="I293" i="6"/>
  <c r="H293" i="6"/>
  <c r="D293" i="6"/>
  <c r="A293" i="6"/>
  <c r="AF292" i="6"/>
  <c r="AD292" i="6"/>
  <c r="AC292" i="6"/>
  <c r="AB292" i="6"/>
  <c r="Z292" i="6"/>
  <c r="V292" i="6"/>
  <c r="R292" i="6"/>
  <c r="N292" i="6"/>
  <c r="J292" i="6"/>
  <c r="I292" i="6"/>
  <c r="H292" i="6"/>
  <c r="D292" i="6"/>
  <c r="A292" i="6"/>
  <c r="AF291" i="6"/>
  <c r="AC291" i="6"/>
  <c r="AD291" i="6" s="1"/>
  <c r="Z291" i="6"/>
  <c r="V291" i="6"/>
  <c r="R291" i="6"/>
  <c r="AB291" i="6" s="1"/>
  <c r="N291" i="6"/>
  <c r="J291" i="6"/>
  <c r="I291" i="6"/>
  <c r="H291" i="6"/>
  <c r="D291" i="6"/>
  <c r="A291" i="6"/>
  <c r="AF290" i="6"/>
  <c r="AD290" i="6"/>
  <c r="AC290" i="6"/>
  <c r="Z290" i="6"/>
  <c r="V290" i="6"/>
  <c r="R290" i="6"/>
  <c r="AB290" i="6" s="1"/>
  <c r="N290" i="6"/>
  <c r="J290" i="6"/>
  <c r="I290" i="6"/>
  <c r="H290" i="6"/>
  <c r="D290" i="6"/>
  <c r="A290" i="6"/>
  <c r="AF289" i="6"/>
  <c r="AD289" i="6"/>
  <c r="AC289" i="6"/>
  <c r="Z289" i="6"/>
  <c r="V289" i="6"/>
  <c r="R289" i="6"/>
  <c r="AB289" i="6" s="1"/>
  <c r="N289" i="6"/>
  <c r="J289" i="6"/>
  <c r="I289" i="6"/>
  <c r="H289" i="6"/>
  <c r="D289" i="6"/>
  <c r="A289" i="6"/>
  <c r="AF288" i="6"/>
  <c r="AD288" i="6"/>
  <c r="AC288" i="6"/>
  <c r="AB288" i="6"/>
  <c r="Z288" i="6"/>
  <c r="V288" i="6"/>
  <c r="R288" i="6"/>
  <c r="N288" i="6"/>
  <c r="J288" i="6"/>
  <c r="I288" i="6"/>
  <c r="H288" i="6"/>
  <c r="D288" i="6"/>
  <c r="A288" i="6"/>
  <c r="AF287" i="6"/>
  <c r="AC287" i="6"/>
  <c r="AD287" i="6" s="1"/>
  <c r="Z287" i="6"/>
  <c r="AB287" i="6" s="1"/>
  <c r="V287" i="6"/>
  <c r="R287" i="6"/>
  <c r="N287" i="6"/>
  <c r="J287" i="6"/>
  <c r="I287" i="6"/>
  <c r="H287" i="6"/>
  <c r="D287" i="6"/>
  <c r="A287" i="6"/>
  <c r="AF286" i="6"/>
  <c r="AD286" i="6"/>
  <c r="AC286" i="6"/>
  <c r="AB286" i="6"/>
  <c r="Z286" i="6"/>
  <c r="V286" i="6"/>
  <c r="R286" i="6"/>
  <c r="N286" i="6"/>
  <c r="J286" i="6"/>
  <c r="I286" i="6"/>
  <c r="H286" i="6"/>
  <c r="D286" i="6"/>
  <c r="A286" i="6"/>
  <c r="AF285" i="6"/>
  <c r="AC285" i="6"/>
  <c r="AD285" i="6" s="1"/>
  <c r="Z285" i="6"/>
  <c r="V285" i="6"/>
  <c r="R285" i="6"/>
  <c r="AB285" i="6" s="1"/>
  <c r="N285" i="6"/>
  <c r="J285" i="6"/>
  <c r="I285" i="6"/>
  <c r="H285" i="6"/>
  <c r="D285" i="6"/>
  <c r="A285" i="6"/>
  <c r="AF284" i="6"/>
  <c r="AD284" i="6"/>
  <c r="AC284" i="6"/>
  <c r="Z284" i="6"/>
  <c r="V284" i="6"/>
  <c r="R284" i="6"/>
  <c r="AB284" i="6" s="1"/>
  <c r="N284" i="6"/>
  <c r="J284" i="6"/>
  <c r="I284" i="6"/>
  <c r="H284" i="6"/>
  <c r="D284" i="6"/>
  <c r="A284" i="6"/>
  <c r="AF283" i="6"/>
  <c r="AD283" i="6"/>
  <c r="AC283" i="6"/>
  <c r="Z283" i="6"/>
  <c r="V283" i="6"/>
  <c r="R283" i="6"/>
  <c r="AB283" i="6" s="1"/>
  <c r="N283" i="6"/>
  <c r="J283" i="6"/>
  <c r="I283" i="6"/>
  <c r="H283" i="6"/>
  <c r="D283" i="6"/>
  <c r="A283" i="6"/>
  <c r="AF282" i="6"/>
  <c r="AD282" i="6"/>
  <c r="AC282" i="6"/>
  <c r="AB282" i="6"/>
  <c r="Z282" i="6"/>
  <c r="V282" i="6"/>
  <c r="R282" i="6"/>
  <c r="N282" i="6"/>
  <c r="J282" i="6"/>
  <c r="I282" i="6"/>
  <c r="H282" i="6"/>
  <c r="D282" i="6"/>
  <c r="A282" i="6"/>
  <c r="AF281" i="6"/>
  <c r="AC281" i="6"/>
  <c r="AD281" i="6" s="1"/>
  <c r="Z281" i="6"/>
  <c r="AB281" i="6" s="1"/>
  <c r="V281" i="6"/>
  <c r="R281" i="6"/>
  <c r="N281" i="6"/>
  <c r="J281" i="6"/>
  <c r="I281" i="6"/>
  <c r="H281" i="6"/>
  <c r="D281" i="6"/>
  <c r="A281" i="6"/>
  <c r="AF280" i="6"/>
  <c r="AD280" i="6"/>
  <c r="AC280" i="6"/>
  <c r="AB280" i="6"/>
  <c r="Z280" i="6"/>
  <c r="V280" i="6"/>
  <c r="R280" i="6"/>
  <c r="N280" i="6"/>
  <c r="J280" i="6"/>
  <c r="I280" i="6"/>
  <c r="H280" i="6"/>
  <c r="D280" i="6"/>
  <c r="A280" i="6"/>
  <c r="AF279" i="6"/>
  <c r="AC279" i="6"/>
  <c r="AD279" i="6" s="1"/>
  <c r="Z279" i="6"/>
  <c r="V279" i="6"/>
  <c r="R279" i="6"/>
  <c r="AB279" i="6" s="1"/>
  <c r="N279" i="6"/>
  <c r="J279" i="6"/>
  <c r="I279" i="6"/>
  <c r="H279" i="6"/>
  <c r="D279" i="6"/>
  <c r="A279" i="6"/>
  <c r="AF278" i="6"/>
  <c r="AD278" i="6"/>
  <c r="AC278" i="6"/>
  <c r="Z278" i="6"/>
  <c r="V278" i="6"/>
  <c r="R278" i="6"/>
  <c r="AB278" i="6" s="1"/>
  <c r="N278" i="6"/>
  <c r="J278" i="6"/>
  <c r="I278" i="6"/>
  <c r="H278" i="6"/>
  <c r="D278" i="6"/>
  <c r="A278" i="6"/>
  <c r="AF277" i="6"/>
  <c r="AD277" i="6"/>
  <c r="AC277" i="6"/>
  <c r="Z277" i="6"/>
  <c r="V277" i="6"/>
  <c r="R277" i="6"/>
  <c r="AB277" i="6" s="1"/>
  <c r="N277" i="6"/>
  <c r="J277" i="6"/>
  <c r="I277" i="6"/>
  <c r="H277" i="6"/>
  <c r="D277" i="6"/>
  <c r="A277" i="6"/>
  <c r="AF276" i="6"/>
  <c r="AD276" i="6"/>
  <c r="AC276" i="6"/>
  <c r="AB276" i="6"/>
  <c r="Z276" i="6"/>
  <c r="V276" i="6"/>
  <c r="R276" i="6"/>
  <c r="N276" i="6"/>
  <c r="J276" i="6"/>
  <c r="I276" i="6"/>
  <c r="H276" i="6"/>
  <c r="D276" i="6"/>
  <c r="A276" i="6"/>
  <c r="AF275" i="6"/>
  <c r="AC275" i="6"/>
  <c r="AD275" i="6" s="1"/>
  <c r="Z275" i="6"/>
  <c r="AB275" i="6" s="1"/>
  <c r="V275" i="6"/>
  <c r="R275" i="6"/>
  <c r="N275" i="6"/>
  <c r="J275" i="6"/>
  <c r="I275" i="6"/>
  <c r="H275" i="6"/>
  <c r="D275" i="6"/>
  <c r="A275" i="6"/>
  <c r="AF274" i="6"/>
  <c r="AD274" i="6"/>
  <c r="AC274" i="6"/>
  <c r="AB274" i="6"/>
  <c r="Z274" i="6"/>
  <c r="V274" i="6"/>
  <c r="R274" i="6"/>
  <c r="N274" i="6"/>
  <c r="J274" i="6"/>
  <c r="I274" i="6"/>
  <c r="H274" i="6"/>
  <c r="D274" i="6"/>
  <c r="A274" i="6"/>
  <c r="AF273" i="6"/>
  <c r="AC273" i="6"/>
  <c r="AD273" i="6" s="1"/>
  <c r="Z273" i="6"/>
  <c r="V273" i="6"/>
  <c r="R273" i="6"/>
  <c r="AB273" i="6" s="1"/>
  <c r="N273" i="6"/>
  <c r="J273" i="6"/>
  <c r="I273" i="6"/>
  <c r="H273" i="6"/>
  <c r="D273" i="6"/>
  <c r="A273" i="6"/>
  <c r="AF272" i="6"/>
  <c r="AD272" i="6"/>
  <c r="AC272" i="6"/>
  <c r="Z272" i="6"/>
  <c r="V272" i="6"/>
  <c r="R272" i="6"/>
  <c r="AB272" i="6" s="1"/>
  <c r="N272" i="6"/>
  <c r="J272" i="6"/>
  <c r="I272" i="6"/>
  <c r="H272" i="6"/>
  <c r="D272" i="6"/>
  <c r="A272" i="6"/>
  <c r="AF271" i="6"/>
  <c r="AD271" i="6"/>
  <c r="AC271" i="6"/>
  <c r="Z271" i="6"/>
  <c r="V271" i="6"/>
  <c r="R271" i="6"/>
  <c r="AB271" i="6" s="1"/>
  <c r="N271" i="6"/>
  <c r="J271" i="6"/>
  <c r="I271" i="6"/>
  <c r="H271" i="6"/>
  <c r="D271" i="6"/>
  <c r="A271" i="6"/>
  <c r="AF270" i="6"/>
  <c r="AD270" i="6"/>
  <c r="AC270" i="6"/>
  <c r="AB270" i="6"/>
  <c r="Z270" i="6"/>
  <c r="V270" i="6"/>
  <c r="R270" i="6"/>
  <c r="N270" i="6"/>
  <c r="J270" i="6"/>
  <c r="I270" i="6"/>
  <c r="H270" i="6"/>
  <c r="D270" i="6"/>
  <c r="A270" i="6"/>
  <c r="AF269" i="6"/>
  <c r="AC269" i="6"/>
  <c r="AD269" i="6" s="1"/>
  <c r="Z269" i="6"/>
  <c r="AB269" i="6" s="1"/>
  <c r="V269" i="6"/>
  <c r="R269" i="6"/>
  <c r="N269" i="6"/>
  <c r="J269" i="6"/>
  <c r="I269" i="6"/>
  <c r="H269" i="6"/>
  <c r="D269" i="6"/>
  <c r="A269" i="6"/>
  <c r="AF268" i="6"/>
  <c r="AD268" i="6"/>
  <c r="AC268" i="6"/>
  <c r="AB268" i="6"/>
  <c r="Z268" i="6"/>
  <c r="V268" i="6"/>
  <c r="R268" i="6"/>
  <c r="N268" i="6"/>
  <c r="J268" i="6"/>
  <c r="I268" i="6"/>
  <c r="H268" i="6"/>
  <c r="D268" i="6"/>
  <c r="A268" i="6"/>
  <c r="AF267" i="6"/>
  <c r="AC267" i="6"/>
  <c r="AD267" i="6" s="1"/>
  <c r="Z267" i="6"/>
  <c r="V267" i="6"/>
  <c r="R267" i="6"/>
  <c r="AB267" i="6" s="1"/>
  <c r="N267" i="6"/>
  <c r="J267" i="6"/>
  <c r="I267" i="6"/>
  <c r="H267" i="6"/>
  <c r="D267" i="6"/>
  <c r="A267" i="6"/>
  <c r="AF266" i="6"/>
  <c r="AD266" i="6"/>
  <c r="AC266" i="6"/>
  <c r="Z266" i="6"/>
  <c r="V266" i="6"/>
  <c r="R266" i="6"/>
  <c r="AB266" i="6" s="1"/>
  <c r="N266" i="6"/>
  <c r="J266" i="6"/>
  <c r="I266" i="6"/>
  <c r="H266" i="6"/>
  <c r="D266" i="6"/>
  <c r="A266" i="6"/>
  <c r="AF265" i="6"/>
  <c r="AD265" i="6"/>
  <c r="AC265" i="6"/>
  <c r="Z265" i="6"/>
  <c r="V265" i="6"/>
  <c r="R265" i="6"/>
  <c r="AB265" i="6" s="1"/>
  <c r="N265" i="6"/>
  <c r="J265" i="6"/>
  <c r="I265" i="6"/>
  <c r="H265" i="6"/>
  <c r="D265" i="6"/>
  <c r="A265" i="6"/>
  <c r="AF264" i="6"/>
  <c r="AD264" i="6"/>
  <c r="AC264" i="6"/>
  <c r="AB264" i="6"/>
  <c r="Z264" i="6"/>
  <c r="V264" i="6"/>
  <c r="R264" i="6"/>
  <c r="N264" i="6"/>
  <c r="J264" i="6"/>
  <c r="I264" i="6"/>
  <c r="H264" i="6"/>
  <c r="D264" i="6"/>
  <c r="A264" i="6"/>
  <c r="AF263" i="6"/>
  <c r="AC263" i="6"/>
  <c r="AD263" i="6" s="1"/>
  <c r="Z263" i="6"/>
  <c r="AB263" i="6" s="1"/>
  <c r="V263" i="6"/>
  <c r="R263" i="6"/>
  <c r="N263" i="6"/>
  <c r="J263" i="6"/>
  <c r="I263" i="6"/>
  <c r="H263" i="6"/>
  <c r="D263" i="6"/>
  <c r="A263" i="6"/>
  <c r="AF262" i="6"/>
  <c r="AD262" i="6"/>
  <c r="AC262" i="6"/>
  <c r="AB262" i="6"/>
  <c r="Z262" i="6"/>
  <c r="V262" i="6"/>
  <c r="R262" i="6"/>
  <c r="N262" i="6"/>
  <c r="J262" i="6"/>
  <c r="I262" i="6"/>
  <c r="H262" i="6"/>
  <c r="D262" i="6"/>
  <c r="A262" i="6"/>
  <c r="AF261" i="6"/>
  <c r="AC261" i="6"/>
  <c r="AD261" i="6" s="1"/>
  <c r="Z261" i="6"/>
  <c r="V261" i="6"/>
  <c r="R261" i="6"/>
  <c r="AB261" i="6" s="1"/>
  <c r="N261" i="6"/>
  <c r="J261" i="6"/>
  <c r="I261" i="6"/>
  <c r="H261" i="6"/>
  <c r="D261" i="6"/>
  <c r="A261" i="6"/>
  <c r="AF260" i="6"/>
  <c r="AD260" i="6"/>
  <c r="AC260" i="6"/>
  <c r="Z260" i="6"/>
  <c r="V260" i="6"/>
  <c r="R260" i="6"/>
  <c r="AB260" i="6" s="1"/>
  <c r="N260" i="6"/>
  <c r="J260" i="6"/>
  <c r="I260" i="6"/>
  <c r="H260" i="6"/>
  <c r="D260" i="6"/>
  <c r="A260" i="6"/>
  <c r="AF259" i="6"/>
  <c r="AD259" i="6"/>
  <c r="AC259" i="6"/>
  <c r="Z259" i="6"/>
  <c r="V259" i="6"/>
  <c r="R259" i="6"/>
  <c r="AB259" i="6" s="1"/>
  <c r="N259" i="6"/>
  <c r="J259" i="6"/>
  <c r="I259" i="6"/>
  <c r="H259" i="6"/>
  <c r="D259" i="6"/>
  <c r="A259" i="6"/>
  <c r="AF258" i="6"/>
  <c r="AD258" i="6"/>
  <c r="AC258" i="6"/>
  <c r="AB258" i="6"/>
  <c r="Z258" i="6"/>
  <c r="V258" i="6"/>
  <c r="R258" i="6"/>
  <c r="N258" i="6"/>
  <c r="J258" i="6"/>
  <c r="I258" i="6"/>
  <c r="H258" i="6"/>
  <c r="D258" i="6"/>
  <c r="A258" i="6"/>
  <c r="AF257" i="6"/>
  <c r="AC257" i="6"/>
  <c r="AD257" i="6" s="1"/>
  <c r="Z257" i="6"/>
  <c r="AB257" i="6" s="1"/>
  <c r="V257" i="6"/>
  <c r="R257" i="6"/>
  <c r="N257" i="6"/>
  <c r="J257" i="6"/>
  <c r="I257" i="6"/>
  <c r="H257" i="6"/>
  <c r="D257" i="6"/>
  <c r="A257" i="6"/>
  <c r="AF256" i="6"/>
  <c r="AD256" i="6"/>
  <c r="AC256" i="6"/>
  <c r="AB256" i="6"/>
  <c r="Z256" i="6"/>
  <c r="V256" i="6"/>
  <c r="R256" i="6"/>
  <c r="N256" i="6"/>
  <c r="J256" i="6"/>
  <c r="I256" i="6"/>
  <c r="H256" i="6"/>
  <c r="D256" i="6"/>
  <c r="A256" i="6"/>
  <c r="AF255" i="6"/>
  <c r="AC255" i="6"/>
  <c r="AD255" i="6" s="1"/>
  <c r="Z255" i="6"/>
  <c r="V255" i="6"/>
  <c r="R255" i="6"/>
  <c r="AB255" i="6" s="1"/>
  <c r="N255" i="6"/>
  <c r="J255" i="6"/>
  <c r="I255" i="6"/>
  <c r="H255" i="6"/>
  <c r="D255" i="6"/>
  <c r="A255" i="6"/>
  <c r="AF254" i="6"/>
  <c r="AD254" i="6"/>
  <c r="AC254" i="6"/>
  <c r="Z254" i="6"/>
  <c r="V254" i="6"/>
  <c r="R254" i="6"/>
  <c r="AB254" i="6" s="1"/>
  <c r="N254" i="6"/>
  <c r="J254" i="6"/>
  <c r="I254" i="6"/>
  <c r="H254" i="6"/>
  <c r="D254" i="6"/>
  <c r="A254" i="6"/>
  <c r="AF253" i="6"/>
  <c r="AD253" i="6"/>
  <c r="AC253" i="6"/>
  <c r="Z253" i="6"/>
  <c r="V253" i="6"/>
  <c r="R253" i="6"/>
  <c r="AB253" i="6" s="1"/>
  <c r="N253" i="6"/>
  <c r="J253" i="6"/>
  <c r="I253" i="6"/>
  <c r="H253" i="6"/>
  <c r="D253" i="6"/>
  <c r="A253" i="6"/>
  <c r="AF252" i="6"/>
  <c r="AD252" i="6"/>
  <c r="AC252" i="6"/>
  <c r="AB252" i="6"/>
  <c r="Z252" i="6"/>
  <c r="V252" i="6"/>
  <c r="R252" i="6"/>
  <c r="N252" i="6"/>
  <c r="J252" i="6"/>
  <c r="I252" i="6"/>
  <c r="H252" i="6"/>
  <c r="D252" i="6"/>
  <c r="A252" i="6"/>
  <c r="AF251" i="6"/>
  <c r="AC251" i="6"/>
  <c r="AD251" i="6" s="1"/>
  <c r="Z251" i="6"/>
  <c r="AB251" i="6" s="1"/>
  <c r="V251" i="6"/>
  <c r="R251" i="6"/>
  <c r="N251" i="6"/>
  <c r="J251" i="6"/>
  <c r="I251" i="6"/>
  <c r="H251" i="6"/>
  <c r="D251" i="6"/>
  <c r="A251" i="6"/>
  <c r="AF250" i="6"/>
  <c r="AD250" i="6"/>
  <c r="AC250" i="6"/>
  <c r="AB250" i="6"/>
  <c r="Z250" i="6"/>
  <c r="V250" i="6"/>
  <c r="R250" i="6"/>
  <c r="N250" i="6"/>
  <c r="J250" i="6"/>
  <c r="I250" i="6"/>
  <c r="H250" i="6"/>
  <c r="D250" i="6"/>
  <c r="A250" i="6"/>
  <c r="AF249" i="6"/>
  <c r="AC249" i="6"/>
  <c r="AD249" i="6" s="1"/>
  <c r="Z249" i="6"/>
  <c r="V249" i="6"/>
  <c r="R249" i="6"/>
  <c r="AB249" i="6" s="1"/>
  <c r="N249" i="6"/>
  <c r="J249" i="6"/>
  <c r="I249" i="6"/>
  <c r="H249" i="6"/>
  <c r="D249" i="6"/>
  <c r="A249" i="6"/>
  <c r="AF248" i="6"/>
  <c r="AD248" i="6"/>
  <c r="AC248" i="6"/>
  <c r="Z248" i="6"/>
  <c r="V248" i="6"/>
  <c r="R248" i="6"/>
  <c r="AB248" i="6" s="1"/>
  <c r="N248" i="6"/>
  <c r="J248" i="6"/>
  <c r="I248" i="6"/>
  <c r="H248" i="6"/>
  <c r="D248" i="6"/>
  <c r="A248" i="6"/>
  <c r="AF247" i="6"/>
  <c r="AD247" i="6"/>
  <c r="AC247" i="6"/>
  <c r="Z247" i="6"/>
  <c r="V247" i="6"/>
  <c r="R247" i="6"/>
  <c r="AB247" i="6" s="1"/>
  <c r="N247" i="6"/>
  <c r="J247" i="6"/>
  <c r="I247" i="6"/>
  <c r="H247" i="6"/>
  <c r="D247" i="6"/>
  <c r="A247" i="6"/>
  <c r="AF246" i="6"/>
  <c r="AD246" i="6"/>
  <c r="AC246" i="6"/>
  <c r="AB246" i="6"/>
  <c r="Z246" i="6"/>
  <c r="V246" i="6"/>
  <c r="R246" i="6"/>
  <c r="N246" i="6"/>
  <c r="J246" i="6"/>
  <c r="I246" i="6"/>
  <c r="H246" i="6"/>
  <c r="D246" i="6"/>
  <c r="A246" i="6"/>
  <c r="AF245" i="6"/>
  <c r="AC245" i="6"/>
  <c r="AD245" i="6" s="1"/>
  <c r="Z245" i="6"/>
  <c r="AB245" i="6" s="1"/>
  <c r="V245" i="6"/>
  <c r="R245" i="6"/>
  <c r="N245" i="6"/>
  <c r="J245" i="6"/>
  <c r="I245" i="6"/>
  <c r="H245" i="6"/>
  <c r="D245" i="6"/>
  <c r="A245" i="6"/>
  <c r="AF244" i="6"/>
  <c r="AD244" i="6"/>
  <c r="AC244" i="6"/>
  <c r="AB244" i="6"/>
  <c r="Z244" i="6"/>
  <c r="V244" i="6"/>
  <c r="R244" i="6"/>
  <c r="N244" i="6"/>
  <c r="J244" i="6"/>
  <c r="I244" i="6"/>
  <c r="H244" i="6"/>
  <c r="D244" i="6"/>
  <c r="A244" i="6"/>
  <c r="AF243" i="6"/>
  <c r="AC243" i="6"/>
  <c r="AD243" i="6" s="1"/>
  <c r="Z243" i="6"/>
  <c r="V243" i="6"/>
  <c r="R243" i="6"/>
  <c r="AB243" i="6" s="1"/>
  <c r="N243" i="6"/>
  <c r="J243" i="6"/>
  <c r="I243" i="6"/>
  <c r="H243" i="6"/>
  <c r="D243" i="6"/>
  <c r="A243" i="6"/>
  <c r="AF242" i="6"/>
  <c r="AD242" i="6"/>
  <c r="AC242" i="6"/>
  <c r="Z242" i="6"/>
  <c r="V242" i="6"/>
  <c r="R242" i="6"/>
  <c r="AB242" i="6" s="1"/>
  <c r="N242" i="6"/>
  <c r="J242" i="6"/>
  <c r="I242" i="6"/>
  <c r="H242" i="6"/>
  <c r="D242" i="6"/>
  <c r="A242" i="6"/>
  <c r="AF241" i="6"/>
  <c r="AD241" i="6"/>
  <c r="AC241" i="6"/>
  <c r="Z241" i="6"/>
  <c r="V241" i="6"/>
  <c r="R241" i="6"/>
  <c r="AB241" i="6" s="1"/>
  <c r="N241" i="6"/>
  <c r="J241" i="6"/>
  <c r="I241" i="6"/>
  <c r="H241" i="6"/>
  <c r="D241" i="6"/>
  <c r="A241" i="6"/>
  <c r="AF240" i="6"/>
  <c r="AD240" i="6"/>
  <c r="AC240" i="6"/>
  <c r="AB240" i="6"/>
  <c r="Z240" i="6"/>
  <c r="V240" i="6"/>
  <c r="R240" i="6"/>
  <c r="N240" i="6"/>
  <c r="J240" i="6"/>
  <c r="I240" i="6"/>
  <c r="H240" i="6"/>
  <c r="D240" i="6"/>
  <c r="A240" i="6"/>
  <c r="AF239" i="6"/>
  <c r="AC239" i="6"/>
  <c r="AD239" i="6" s="1"/>
  <c r="Z239" i="6"/>
  <c r="AB239" i="6" s="1"/>
  <c r="V239" i="6"/>
  <c r="R239" i="6"/>
  <c r="N239" i="6"/>
  <c r="J239" i="6"/>
  <c r="I239" i="6"/>
  <c r="H239" i="6"/>
  <c r="D239" i="6"/>
  <c r="A239" i="6"/>
  <c r="AF238" i="6"/>
  <c r="AD238" i="6"/>
  <c r="AC238" i="6"/>
  <c r="AB238" i="6"/>
  <c r="Z238" i="6"/>
  <c r="V238" i="6"/>
  <c r="R238" i="6"/>
  <c r="N238" i="6"/>
  <c r="J238" i="6"/>
  <c r="I238" i="6"/>
  <c r="H238" i="6"/>
  <c r="D238" i="6"/>
  <c r="A238" i="6"/>
  <c r="AF237" i="6"/>
  <c r="AC237" i="6"/>
  <c r="AD237" i="6" s="1"/>
  <c r="Z237" i="6"/>
  <c r="V237" i="6"/>
  <c r="R237" i="6"/>
  <c r="AB237" i="6" s="1"/>
  <c r="N237" i="6"/>
  <c r="J237" i="6"/>
  <c r="I237" i="6"/>
  <c r="H237" i="6"/>
  <c r="D237" i="6"/>
  <c r="A237" i="6"/>
  <c r="AF236" i="6"/>
  <c r="AD236" i="6"/>
  <c r="AC236" i="6"/>
  <c r="Z236" i="6"/>
  <c r="V236" i="6"/>
  <c r="R236" i="6"/>
  <c r="AB236" i="6" s="1"/>
  <c r="N236" i="6"/>
  <c r="J236" i="6"/>
  <c r="I236" i="6"/>
  <c r="H236" i="6"/>
  <c r="D236" i="6"/>
  <c r="A236" i="6"/>
  <c r="AF235" i="6"/>
  <c r="AD235" i="6"/>
  <c r="AC235" i="6"/>
  <c r="Z235" i="6"/>
  <c r="V235" i="6"/>
  <c r="R235" i="6"/>
  <c r="AB235" i="6" s="1"/>
  <c r="N235" i="6"/>
  <c r="J235" i="6"/>
  <c r="I235" i="6"/>
  <c r="H235" i="6"/>
  <c r="D235" i="6"/>
  <c r="A235" i="6"/>
  <c r="AF234" i="6"/>
  <c r="AD234" i="6"/>
  <c r="AC234" i="6"/>
  <c r="AB234" i="6"/>
  <c r="Z234" i="6"/>
  <c r="V234" i="6"/>
  <c r="R234" i="6"/>
  <c r="N234" i="6"/>
  <c r="J234" i="6"/>
  <c r="I234" i="6"/>
  <c r="H234" i="6"/>
  <c r="D234" i="6"/>
  <c r="A234" i="6"/>
  <c r="AF233" i="6"/>
  <c r="AC233" i="6"/>
  <c r="AD233" i="6" s="1"/>
  <c r="Z233" i="6"/>
  <c r="AB233" i="6" s="1"/>
  <c r="V233" i="6"/>
  <c r="R233" i="6"/>
  <c r="N233" i="6"/>
  <c r="J233" i="6"/>
  <c r="I233" i="6"/>
  <c r="H233" i="6"/>
  <c r="D233" i="6"/>
  <c r="A233" i="6"/>
  <c r="AF232" i="6"/>
  <c r="AD232" i="6"/>
  <c r="AC232" i="6"/>
  <c r="AB232" i="6"/>
  <c r="Z232" i="6"/>
  <c r="V232" i="6"/>
  <c r="R232" i="6"/>
  <c r="N232" i="6"/>
  <c r="J232" i="6"/>
  <c r="I232" i="6"/>
  <c r="H232" i="6"/>
  <c r="D232" i="6"/>
  <c r="A232" i="6"/>
  <c r="AF231" i="6"/>
  <c r="AC231" i="6"/>
  <c r="AD231" i="6" s="1"/>
  <c r="Z231" i="6"/>
  <c r="V231" i="6"/>
  <c r="R231" i="6"/>
  <c r="AB231" i="6" s="1"/>
  <c r="N231" i="6"/>
  <c r="J231" i="6"/>
  <c r="I231" i="6"/>
  <c r="H231" i="6"/>
  <c r="D231" i="6"/>
  <c r="A231" i="6"/>
  <c r="AF230" i="6"/>
  <c r="AD230" i="6"/>
  <c r="AC230" i="6"/>
  <c r="Z230" i="6"/>
  <c r="V230" i="6"/>
  <c r="R230" i="6"/>
  <c r="AB230" i="6" s="1"/>
  <c r="N230" i="6"/>
  <c r="J230" i="6"/>
  <c r="I230" i="6"/>
  <c r="H230" i="6"/>
  <c r="D230" i="6"/>
  <c r="A230" i="6"/>
  <c r="AF229" i="6"/>
  <c r="AD229" i="6"/>
  <c r="AC229" i="6"/>
  <c r="Z229" i="6"/>
  <c r="V229" i="6"/>
  <c r="R229" i="6"/>
  <c r="AB229" i="6" s="1"/>
  <c r="N229" i="6"/>
  <c r="J229" i="6"/>
  <c r="I229" i="6"/>
  <c r="H229" i="6"/>
  <c r="D229" i="6"/>
  <c r="A229" i="6"/>
  <c r="AF228" i="6"/>
  <c r="AD228" i="6"/>
  <c r="AC228" i="6"/>
  <c r="AB228" i="6"/>
  <c r="Z228" i="6"/>
  <c r="V228" i="6"/>
  <c r="R228" i="6"/>
  <c r="N228" i="6"/>
  <c r="J228" i="6"/>
  <c r="I228" i="6"/>
  <c r="H228" i="6"/>
  <c r="D228" i="6"/>
  <c r="A228" i="6"/>
  <c r="AF227" i="6"/>
  <c r="AC227" i="6"/>
  <c r="AD227" i="6" s="1"/>
  <c r="Z227" i="6"/>
  <c r="AB227" i="6" s="1"/>
  <c r="V227" i="6"/>
  <c r="R227" i="6"/>
  <c r="N227" i="6"/>
  <c r="J227" i="6"/>
  <c r="I227" i="6"/>
  <c r="H227" i="6"/>
  <c r="D227" i="6"/>
  <c r="A227" i="6"/>
  <c r="AF226" i="6"/>
  <c r="AD226" i="6"/>
  <c r="AC226" i="6"/>
  <c r="AB226" i="6"/>
  <c r="Z226" i="6"/>
  <c r="V226" i="6"/>
  <c r="R226" i="6"/>
  <c r="N226" i="6"/>
  <c r="J226" i="6"/>
  <c r="I226" i="6"/>
  <c r="H226" i="6"/>
  <c r="D226" i="6"/>
  <c r="A226" i="6"/>
  <c r="AF225" i="6"/>
  <c r="AC225" i="6"/>
  <c r="AD225" i="6" s="1"/>
  <c r="Z225" i="6"/>
  <c r="V225" i="6"/>
  <c r="R225" i="6"/>
  <c r="AB225" i="6" s="1"/>
  <c r="N225" i="6"/>
  <c r="J225" i="6"/>
  <c r="I225" i="6"/>
  <c r="H225" i="6"/>
  <c r="D225" i="6"/>
  <c r="A225" i="6"/>
  <c r="AF224" i="6"/>
  <c r="AD224" i="6"/>
  <c r="AC224" i="6"/>
  <c r="Z224" i="6"/>
  <c r="V224" i="6"/>
  <c r="R224" i="6"/>
  <c r="AB224" i="6" s="1"/>
  <c r="N224" i="6"/>
  <c r="J224" i="6"/>
  <c r="I224" i="6"/>
  <c r="H224" i="6"/>
  <c r="D224" i="6"/>
  <c r="A224" i="6"/>
  <c r="AF223" i="6"/>
  <c r="AD223" i="6"/>
  <c r="AC223" i="6"/>
  <c r="Z223" i="6"/>
  <c r="V223" i="6"/>
  <c r="R223" i="6"/>
  <c r="AB223" i="6" s="1"/>
  <c r="N223" i="6"/>
  <c r="J223" i="6"/>
  <c r="I223" i="6"/>
  <c r="H223" i="6"/>
  <c r="D223" i="6"/>
  <c r="A223" i="6"/>
  <c r="AF222" i="6"/>
  <c r="AD222" i="6"/>
  <c r="AC222" i="6"/>
  <c r="AB222" i="6"/>
  <c r="Z222" i="6"/>
  <c r="V222" i="6"/>
  <c r="R222" i="6"/>
  <c r="N222" i="6"/>
  <c r="J222" i="6"/>
  <c r="I222" i="6"/>
  <c r="H222" i="6"/>
  <c r="D222" i="6"/>
  <c r="A222" i="6"/>
  <c r="AF221" i="6"/>
  <c r="AC221" i="6"/>
  <c r="AD221" i="6" s="1"/>
  <c r="Z221" i="6"/>
  <c r="AB221" i="6" s="1"/>
  <c r="V221" i="6"/>
  <c r="R221" i="6"/>
  <c r="N221" i="6"/>
  <c r="J221" i="6"/>
  <c r="I221" i="6"/>
  <c r="H221" i="6"/>
  <c r="D221" i="6"/>
  <c r="A221" i="6"/>
  <c r="AF220" i="6"/>
  <c r="AD220" i="6"/>
  <c r="AC220" i="6"/>
  <c r="AB220" i="6"/>
  <c r="Z220" i="6"/>
  <c r="V220" i="6"/>
  <c r="R220" i="6"/>
  <c r="N220" i="6"/>
  <c r="J220" i="6"/>
  <c r="I220" i="6"/>
  <c r="H220" i="6"/>
  <c r="D220" i="6"/>
  <c r="A220" i="6"/>
  <c r="AF219" i="6"/>
  <c r="AC219" i="6"/>
  <c r="AD219" i="6" s="1"/>
  <c r="Z219" i="6"/>
  <c r="V219" i="6"/>
  <c r="R219" i="6"/>
  <c r="AB219" i="6" s="1"/>
  <c r="N219" i="6"/>
  <c r="J219" i="6"/>
  <c r="I219" i="6"/>
  <c r="H219" i="6"/>
  <c r="D219" i="6"/>
  <c r="A219" i="6"/>
  <c r="AF218" i="6"/>
  <c r="AD218" i="6"/>
  <c r="AC218" i="6"/>
  <c r="Z218" i="6"/>
  <c r="V218" i="6"/>
  <c r="R218" i="6"/>
  <c r="AB218" i="6" s="1"/>
  <c r="N218" i="6"/>
  <c r="J218" i="6"/>
  <c r="I218" i="6"/>
  <c r="H218" i="6"/>
  <c r="D218" i="6"/>
  <c r="A218" i="6"/>
  <c r="AF217" i="6"/>
  <c r="AD217" i="6"/>
  <c r="AC217" i="6"/>
  <c r="Z217" i="6"/>
  <c r="V217" i="6"/>
  <c r="R217" i="6"/>
  <c r="AB217" i="6" s="1"/>
  <c r="N217" i="6"/>
  <c r="J217" i="6"/>
  <c r="I217" i="6"/>
  <c r="H217" i="6"/>
  <c r="D217" i="6"/>
  <c r="A217" i="6"/>
  <c r="AF216" i="6"/>
  <c r="AD216" i="6"/>
  <c r="AC216" i="6"/>
  <c r="AB216" i="6"/>
  <c r="Z216" i="6"/>
  <c r="V216" i="6"/>
  <c r="R216" i="6"/>
  <c r="N216" i="6"/>
  <c r="J216" i="6"/>
  <c r="I216" i="6"/>
  <c r="H216" i="6"/>
  <c r="D216" i="6"/>
  <c r="A216" i="6"/>
  <c r="AF215" i="6"/>
  <c r="AC215" i="6"/>
  <c r="AD215" i="6" s="1"/>
  <c r="Z215" i="6"/>
  <c r="AB215" i="6" s="1"/>
  <c r="V215" i="6"/>
  <c r="R215" i="6"/>
  <c r="N215" i="6"/>
  <c r="J215" i="6"/>
  <c r="I215" i="6"/>
  <c r="H215" i="6"/>
  <c r="D215" i="6"/>
  <c r="A215" i="6"/>
  <c r="AF214" i="6"/>
  <c r="AD214" i="6"/>
  <c r="AC214" i="6"/>
  <c r="AB214" i="6"/>
  <c r="Z214" i="6"/>
  <c r="V214" i="6"/>
  <c r="R214" i="6"/>
  <c r="N214" i="6"/>
  <c r="J214" i="6"/>
  <c r="I214" i="6"/>
  <c r="H214" i="6"/>
  <c r="D214" i="6"/>
  <c r="A214" i="6"/>
  <c r="AF213" i="6"/>
  <c r="AC213" i="6"/>
  <c r="AD213" i="6" s="1"/>
  <c r="Z213" i="6"/>
  <c r="V213" i="6"/>
  <c r="R213" i="6"/>
  <c r="AB213" i="6" s="1"/>
  <c r="N213" i="6"/>
  <c r="J213" i="6"/>
  <c r="I213" i="6"/>
  <c r="H213" i="6"/>
  <c r="D213" i="6"/>
  <c r="A213" i="6"/>
  <c r="AF212" i="6"/>
  <c r="AD212" i="6"/>
  <c r="AC212" i="6"/>
  <c r="Z212" i="6"/>
  <c r="V212" i="6"/>
  <c r="R212" i="6"/>
  <c r="AB212" i="6" s="1"/>
  <c r="N212" i="6"/>
  <c r="J212" i="6"/>
  <c r="I212" i="6"/>
  <c r="H212" i="6"/>
  <c r="D212" i="6"/>
  <c r="A212" i="6"/>
  <c r="AF211" i="6"/>
  <c r="AD211" i="6"/>
  <c r="AC211" i="6"/>
  <c r="Z211" i="6"/>
  <c r="V211" i="6"/>
  <c r="R211" i="6"/>
  <c r="AB211" i="6" s="1"/>
  <c r="N211" i="6"/>
  <c r="J211" i="6"/>
  <c r="I211" i="6"/>
  <c r="H211" i="6"/>
  <c r="D211" i="6"/>
  <c r="A211" i="6"/>
  <c r="AF210" i="6"/>
  <c r="AD210" i="6"/>
  <c r="AC210" i="6"/>
  <c r="AB210" i="6"/>
  <c r="Z210" i="6"/>
  <c r="V210" i="6"/>
  <c r="R210" i="6"/>
  <c r="N210" i="6"/>
  <c r="J210" i="6"/>
  <c r="I210" i="6"/>
  <c r="H210" i="6"/>
  <c r="D210" i="6"/>
  <c r="A210" i="6"/>
  <c r="AF209" i="6"/>
  <c r="AC209" i="6"/>
  <c r="AD209" i="6" s="1"/>
  <c r="Z209" i="6"/>
  <c r="AB209" i="6" s="1"/>
  <c r="V209" i="6"/>
  <c r="R209" i="6"/>
  <c r="N209" i="6"/>
  <c r="J209" i="6"/>
  <c r="I209" i="6"/>
  <c r="H209" i="6"/>
  <c r="D209" i="6"/>
  <c r="A209" i="6"/>
  <c r="AF208" i="6"/>
  <c r="AD208" i="6"/>
  <c r="AC208" i="6"/>
  <c r="AB208" i="6"/>
  <c r="Z208" i="6"/>
  <c r="V208" i="6"/>
  <c r="R208" i="6"/>
  <c r="N208" i="6"/>
  <c r="J208" i="6"/>
  <c r="I208" i="6"/>
  <c r="H208" i="6"/>
  <c r="D208" i="6"/>
  <c r="A208" i="6"/>
  <c r="AF207" i="6"/>
  <c r="AC207" i="6"/>
  <c r="AD207" i="6" s="1"/>
  <c r="Z207" i="6"/>
  <c r="V207" i="6"/>
  <c r="R207" i="6"/>
  <c r="AB207" i="6" s="1"/>
  <c r="N207" i="6"/>
  <c r="J207" i="6"/>
  <c r="I207" i="6"/>
  <c r="H207" i="6"/>
  <c r="D207" i="6"/>
  <c r="A207" i="6"/>
  <c r="AF206" i="6"/>
  <c r="AD206" i="6"/>
  <c r="AC206" i="6"/>
  <c r="Z206" i="6"/>
  <c r="V206" i="6"/>
  <c r="R206" i="6"/>
  <c r="AB206" i="6" s="1"/>
  <c r="N206" i="6"/>
  <c r="J206" i="6"/>
  <c r="I206" i="6"/>
  <c r="H206" i="6"/>
  <c r="D206" i="6"/>
  <c r="A206" i="6"/>
  <c r="AF205" i="6"/>
  <c r="AD205" i="6"/>
  <c r="AC205" i="6"/>
  <c r="Z205" i="6"/>
  <c r="V205" i="6"/>
  <c r="R205" i="6"/>
  <c r="AB205" i="6" s="1"/>
  <c r="N205" i="6"/>
  <c r="J205" i="6"/>
  <c r="I205" i="6"/>
  <c r="H205" i="6"/>
  <c r="D205" i="6"/>
  <c r="A205" i="6"/>
  <c r="AF204" i="6"/>
  <c r="AD204" i="6"/>
  <c r="AC204" i="6"/>
  <c r="AB204" i="6"/>
  <c r="Z204" i="6"/>
  <c r="V204" i="6"/>
  <c r="R204" i="6"/>
  <c r="N204" i="6"/>
  <c r="J204" i="6"/>
  <c r="I204" i="6"/>
  <c r="H204" i="6"/>
  <c r="D204" i="6"/>
  <c r="A204" i="6"/>
  <c r="AF203" i="6"/>
  <c r="AC203" i="6"/>
  <c r="AD203" i="6" s="1"/>
  <c r="Z203" i="6"/>
  <c r="AB203" i="6" s="1"/>
  <c r="V203" i="6"/>
  <c r="R203" i="6"/>
  <c r="N203" i="6"/>
  <c r="J203" i="6"/>
  <c r="I203" i="6"/>
  <c r="H203" i="6"/>
  <c r="D203" i="6"/>
  <c r="A203" i="6"/>
  <c r="AF202" i="6"/>
  <c r="AD202" i="6"/>
  <c r="AC202" i="6"/>
  <c r="AB202" i="6"/>
  <c r="Z202" i="6"/>
  <c r="V202" i="6"/>
  <c r="R202" i="6"/>
  <c r="N202" i="6"/>
  <c r="J202" i="6"/>
  <c r="I202" i="6"/>
  <c r="H202" i="6"/>
  <c r="D202" i="6"/>
  <c r="A202" i="6"/>
  <c r="AF201" i="6"/>
  <c r="AC201" i="6"/>
  <c r="AD201" i="6" s="1"/>
  <c r="Z201" i="6"/>
  <c r="V201" i="6"/>
  <c r="R201" i="6"/>
  <c r="AB201" i="6" s="1"/>
  <c r="N201" i="6"/>
  <c r="J201" i="6"/>
  <c r="I201" i="6"/>
  <c r="H201" i="6"/>
  <c r="D201" i="6"/>
  <c r="A201" i="6"/>
  <c r="AF200" i="6"/>
  <c r="AD200" i="6"/>
  <c r="AC200" i="6"/>
  <c r="Z200" i="6"/>
  <c r="V200" i="6"/>
  <c r="R200" i="6"/>
  <c r="AB200" i="6" s="1"/>
  <c r="N200" i="6"/>
  <c r="J200" i="6"/>
  <c r="I200" i="6"/>
  <c r="H200" i="6"/>
  <c r="D200" i="6"/>
  <c r="A200" i="6"/>
  <c r="AF199" i="6"/>
  <c r="AD199" i="6"/>
  <c r="AC199" i="6"/>
  <c r="Z199" i="6"/>
  <c r="V199" i="6"/>
  <c r="R199" i="6"/>
  <c r="AB199" i="6" s="1"/>
  <c r="N199" i="6"/>
  <c r="J199" i="6"/>
  <c r="I199" i="6"/>
  <c r="H199" i="6"/>
  <c r="D199" i="6"/>
  <c r="A199" i="6"/>
  <c r="AF198" i="6"/>
  <c r="AD198" i="6"/>
  <c r="AC198" i="6"/>
  <c r="AB198" i="6"/>
  <c r="Z198" i="6"/>
  <c r="V198" i="6"/>
  <c r="R198" i="6"/>
  <c r="N198" i="6"/>
  <c r="J198" i="6"/>
  <c r="I198" i="6"/>
  <c r="H198" i="6"/>
  <c r="D198" i="6"/>
  <c r="A198" i="6"/>
  <c r="AF197" i="6"/>
  <c r="AC197" i="6"/>
  <c r="AD197" i="6" s="1"/>
  <c r="Z197" i="6"/>
  <c r="V197" i="6"/>
  <c r="R197" i="6"/>
  <c r="AB197" i="6" s="1"/>
  <c r="N197" i="6"/>
  <c r="J197" i="6"/>
  <c r="I197" i="6"/>
  <c r="H197" i="6"/>
  <c r="D197" i="6"/>
  <c r="A197" i="6"/>
  <c r="AF196" i="6"/>
  <c r="AD196" i="6"/>
  <c r="AC196" i="6"/>
  <c r="AB196" i="6"/>
  <c r="Z196" i="6"/>
  <c r="V196" i="6"/>
  <c r="R196" i="6"/>
  <c r="N196" i="6"/>
  <c r="J196" i="6"/>
  <c r="I196" i="6"/>
  <c r="H196" i="6"/>
  <c r="D196" i="6"/>
  <c r="A196" i="6"/>
  <c r="AF195" i="6"/>
  <c r="AC195" i="6"/>
  <c r="AD195" i="6" s="1"/>
  <c r="Z195" i="6"/>
  <c r="V195" i="6"/>
  <c r="R195" i="6"/>
  <c r="AB195" i="6" s="1"/>
  <c r="N195" i="6"/>
  <c r="J195" i="6"/>
  <c r="I195" i="6"/>
  <c r="H195" i="6"/>
  <c r="D195" i="6"/>
  <c r="A195" i="6"/>
  <c r="AF194" i="6"/>
  <c r="AD194" i="6"/>
  <c r="AC194" i="6"/>
  <c r="Z194" i="6"/>
  <c r="V194" i="6"/>
  <c r="R194" i="6"/>
  <c r="AB194" i="6" s="1"/>
  <c r="N194" i="6"/>
  <c r="J194" i="6"/>
  <c r="I194" i="6"/>
  <c r="H194" i="6"/>
  <c r="D194" i="6"/>
  <c r="A194" i="6"/>
  <c r="AF193" i="6"/>
  <c r="AD193" i="6"/>
  <c r="AC193" i="6"/>
  <c r="Z193" i="6"/>
  <c r="V193" i="6"/>
  <c r="R193" i="6"/>
  <c r="AB193" i="6" s="1"/>
  <c r="N193" i="6"/>
  <c r="J193" i="6"/>
  <c r="I193" i="6"/>
  <c r="H193" i="6"/>
  <c r="D193" i="6"/>
  <c r="A193" i="6"/>
  <c r="AF192" i="6"/>
  <c r="AD192" i="6"/>
  <c r="AC192" i="6"/>
  <c r="AB192" i="6"/>
  <c r="Z192" i="6"/>
  <c r="V192" i="6"/>
  <c r="R192" i="6"/>
  <c r="N192" i="6"/>
  <c r="J192" i="6"/>
  <c r="I192" i="6"/>
  <c r="H192" i="6"/>
  <c r="D192" i="6"/>
  <c r="A192" i="6"/>
  <c r="AF191" i="6"/>
  <c r="AC191" i="6"/>
  <c r="AD191" i="6" s="1"/>
  <c r="Z191" i="6"/>
  <c r="V191" i="6"/>
  <c r="R191" i="6"/>
  <c r="AB191" i="6" s="1"/>
  <c r="N191" i="6"/>
  <c r="J191" i="6"/>
  <c r="I191" i="6"/>
  <c r="H191" i="6"/>
  <c r="D191" i="6"/>
  <c r="A191" i="6"/>
  <c r="AF190" i="6"/>
  <c r="AD190" i="6"/>
  <c r="AC190" i="6"/>
  <c r="AB190" i="6"/>
  <c r="Z190" i="6"/>
  <c r="V190" i="6"/>
  <c r="R190" i="6"/>
  <c r="N190" i="6"/>
  <c r="J190" i="6"/>
  <c r="I190" i="6"/>
  <c r="H190" i="6"/>
  <c r="D190" i="6"/>
  <c r="A190" i="6"/>
  <c r="AF189" i="6"/>
  <c r="AC189" i="6"/>
  <c r="AD189" i="6" s="1"/>
  <c r="Z189" i="6"/>
  <c r="V189" i="6"/>
  <c r="R189" i="6"/>
  <c r="AB189" i="6" s="1"/>
  <c r="N189" i="6"/>
  <c r="J189" i="6"/>
  <c r="I189" i="6"/>
  <c r="H189" i="6"/>
  <c r="D189" i="6"/>
  <c r="A189" i="6"/>
  <c r="AF188" i="6"/>
  <c r="AD188" i="6"/>
  <c r="AC188" i="6"/>
  <c r="Z188" i="6"/>
  <c r="V188" i="6"/>
  <c r="R188" i="6"/>
  <c r="AB188" i="6" s="1"/>
  <c r="N188" i="6"/>
  <c r="J188" i="6"/>
  <c r="I188" i="6"/>
  <c r="H188" i="6"/>
  <c r="D188" i="6"/>
  <c r="A188" i="6"/>
  <c r="AF187" i="6"/>
  <c r="AD187" i="6"/>
  <c r="AC187" i="6"/>
  <c r="Z187" i="6"/>
  <c r="V187" i="6"/>
  <c r="R187" i="6"/>
  <c r="AB187" i="6" s="1"/>
  <c r="N187" i="6"/>
  <c r="J187" i="6"/>
  <c r="I187" i="6"/>
  <c r="H187" i="6"/>
  <c r="D187" i="6"/>
  <c r="A187" i="6"/>
  <c r="AF186" i="6"/>
  <c r="AD186" i="6"/>
  <c r="AC186" i="6"/>
  <c r="AB186" i="6"/>
  <c r="Z186" i="6"/>
  <c r="V186" i="6"/>
  <c r="R186" i="6"/>
  <c r="N186" i="6"/>
  <c r="J186" i="6"/>
  <c r="I186" i="6"/>
  <c r="H186" i="6"/>
  <c r="D186" i="6"/>
  <c r="A186" i="6"/>
  <c r="AF185" i="6"/>
  <c r="AC185" i="6"/>
  <c r="AD185" i="6" s="1"/>
  <c r="Z185" i="6"/>
  <c r="V185" i="6"/>
  <c r="R185" i="6"/>
  <c r="AB185" i="6" s="1"/>
  <c r="N185" i="6"/>
  <c r="J185" i="6"/>
  <c r="I185" i="6"/>
  <c r="H185" i="6"/>
  <c r="D185" i="6"/>
  <c r="A185" i="6"/>
  <c r="AF184" i="6"/>
  <c r="AD184" i="6"/>
  <c r="AC184" i="6"/>
  <c r="AB184" i="6"/>
  <c r="Z184" i="6"/>
  <c r="V184" i="6"/>
  <c r="R184" i="6"/>
  <c r="N184" i="6"/>
  <c r="J184" i="6"/>
  <c r="I184" i="6"/>
  <c r="H184" i="6"/>
  <c r="D184" i="6"/>
  <c r="A184" i="6"/>
  <c r="AF183" i="6"/>
  <c r="AC183" i="6"/>
  <c r="AD183" i="6" s="1"/>
  <c r="Z183" i="6"/>
  <c r="V183" i="6"/>
  <c r="R183" i="6"/>
  <c r="AB183" i="6" s="1"/>
  <c r="N183" i="6"/>
  <c r="J183" i="6"/>
  <c r="I183" i="6"/>
  <c r="H183" i="6"/>
  <c r="D183" i="6"/>
  <c r="A183" i="6"/>
  <c r="AF182" i="6"/>
  <c r="AD182" i="6"/>
  <c r="AC182" i="6"/>
  <c r="Z182" i="6"/>
  <c r="V182" i="6"/>
  <c r="R182" i="6"/>
  <c r="AB182" i="6" s="1"/>
  <c r="N182" i="6"/>
  <c r="J182" i="6"/>
  <c r="I182" i="6"/>
  <c r="H182" i="6"/>
  <c r="D182" i="6"/>
  <c r="A182" i="6"/>
  <c r="AF181" i="6"/>
  <c r="AD181" i="6"/>
  <c r="AC181" i="6"/>
  <c r="Z181" i="6"/>
  <c r="V181" i="6"/>
  <c r="R181" i="6"/>
  <c r="AB181" i="6" s="1"/>
  <c r="N181" i="6"/>
  <c r="J181" i="6"/>
  <c r="I181" i="6"/>
  <c r="H181" i="6"/>
  <c r="D181" i="6"/>
  <c r="A181" i="6"/>
  <c r="AF180" i="6"/>
  <c r="AD180" i="6"/>
  <c r="AC180" i="6"/>
  <c r="AB180" i="6"/>
  <c r="Z180" i="6"/>
  <c r="V180" i="6"/>
  <c r="R180" i="6"/>
  <c r="N180" i="6"/>
  <c r="J180" i="6"/>
  <c r="I180" i="6"/>
  <c r="H180" i="6"/>
  <c r="D180" i="6"/>
  <c r="A180" i="6"/>
  <c r="AF179" i="6"/>
  <c r="AC179" i="6"/>
  <c r="AD179" i="6" s="1"/>
  <c r="Z179" i="6"/>
  <c r="V179" i="6"/>
  <c r="R179" i="6"/>
  <c r="AB179" i="6" s="1"/>
  <c r="N179" i="6"/>
  <c r="J179" i="6"/>
  <c r="I179" i="6"/>
  <c r="H179" i="6"/>
  <c r="D179" i="6"/>
  <c r="A179" i="6"/>
  <c r="AF178" i="6"/>
  <c r="AD178" i="6"/>
  <c r="AC178" i="6"/>
  <c r="AB178" i="6"/>
  <c r="Z178" i="6"/>
  <c r="V178" i="6"/>
  <c r="R178" i="6"/>
  <c r="N178" i="6"/>
  <c r="J178" i="6"/>
  <c r="I178" i="6"/>
  <c r="H178" i="6"/>
  <c r="D178" i="6"/>
  <c r="A178" i="6"/>
  <c r="AF177" i="6"/>
  <c r="AC177" i="6"/>
  <c r="AD177" i="6" s="1"/>
  <c r="Z177" i="6"/>
  <c r="V177" i="6"/>
  <c r="R177" i="6"/>
  <c r="AB177" i="6" s="1"/>
  <c r="N177" i="6"/>
  <c r="J177" i="6"/>
  <c r="I177" i="6"/>
  <c r="H177" i="6"/>
  <c r="D177" i="6"/>
  <c r="A177" i="6"/>
  <c r="AF176" i="6"/>
  <c r="AD176" i="6"/>
  <c r="AC176" i="6"/>
  <c r="Z176" i="6"/>
  <c r="V176" i="6"/>
  <c r="R176" i="6"/>
  <c r="AB176" i="6" s="1"/>
  <c r="N176" i="6"/>
  <c r="J176" i="6"/>
  <c r="I176" i="6"/>
  <c r="H176" i="6"/>
  <c r="D176" i="6"/>
  <c r="A176" i="6"/>
  <c r="AF175" i="6"/>
  <c r="AD175" i="6"/>
  <c r="AC175" i="6"/>
  <c r="Z175" i="6"/>
  <c r="V175" i="6"/>
  <c r="R175" i="6"/>
  <c r="AB175" i="6" s="1"/>
  <c r="N175" i="6"/>
  <c r="J175" i="6"/>
  <c r="I175" i="6"/>
  <c r="H175" i="6"/>
  <c r="D175" i="6"/>
  <c r="A175" i="6"/>
  <c r="AF174" i="6"/>
  <c r="AD174" i="6"/>
  <c r="AC174" i="6"/>
  <c r="AB174" i="6"/>
  <c r="Z174" i="6"/>
  <c r="V174" i="6"/>
  <c r="R174" i="6"/>
  <c r="N174" i="6"/>
  <c r="J174" i="6"/>
  <c r="I174" i="6"/>
  <c r="H174" i="6"/>
  <c r="D174" i="6"/>
  <c r="A174" i="6"/>
  <c r="AF173" i="6"/>
  <c r="AC173" i="6"/>
  <c r="AD173" i="6" s="1"/>
  <c r="Z173" i="6"/>
  <c r="V173" i="6"/>
  <c r="R173" i="6"/>
  <c r="AB173" i="6" s="1"/>
  <c r="N173" i="6"/>
  <c r="J173" i="6"/>
  <c r="I173" i="6"/>
  <c r="H173" i="6"/>
  <c r="D173" i="6"/>
  <c r="A173" i="6"/>
  <c r="AF172" i="6"/>
  <c r="AD172" i="6"/>
  <c r="AC172" i="6"/>
  <c r="AB172" i="6"/>
  <c r="Z172" i="6"/>
  <c r="V172" i="6"/>
  <c r="R172" i="6"/>
  <c r="N172" i="6"/>
  <c r="J172" i="6"/>
  <c r="I172" i="6"/>
  <c r="H172" i="6"/>
  <c r="D172" i="6"/>
  <c r="A172" i="6"/>
  <c r="AF171" i="6"/>
  <c r="AC171" i="6"/>
  <c r="AD171" i="6" s="1"/>
  <c r="Z171" i="6"/>
  <c r="V171" i="6"/>
  <c r="R171" i="6"/>
  <c r="AB171" i="6" s="1"/>
  <c r="N171" i="6"/>
  <c r="J171" i="6"/>
  <c r="I171" i="6"/>
  <c r="H171" i="6"/>
  <c r="D171" i="6"/>
  <c r="A171" i="6"/>
  <c r="AF170" i="6"/>
  <c r="AD170" i="6"/>
  <c r="AC170" i="6"/>
  <c r="Z170" i="6"/>
  <c r="V170" i="6"/>
  <c r="R170" i="6"/>
  <c r="AB170" i="6" s="1"/>
  <c r="N170" i="6"/>
  <c r="J170" i="6"/>
  <c r="I170" i="6"/>
  <c r="H170" i="6"/>
  <c r="D170" i="6"/>
  <c r="A170" i="6"/>
  <c r="AF169" i="6"/>
  <c r="AD169" i="6"/>
  <c r="AC169" i="6"/>
  <c r="Z169" i="6"/>
  <c r="V169" i="6"/>
  <c r="R169" i="6"/>
  <c r="AB169" i="6" s="1"/>
  <c r="N169" i="6"/>
  <c r="J169" i="6"/>
  <c r="I169" i="6"/>
  <c r="H169" i="6"/>
  <c r="D169" i="6"/>
  <c r="A169" i="6"/>
  <c r="AF168" i="6"/>
  <c r="AD168" i="6"/>
  <c r="AC168" i="6"/>
  <c r="AB168" i="6"/>
  <c r="Z168" i="6"/>
  <c r="V168" i="6"/>
  <c r="R168" i="6"/>
  <c r="N168" i="6"/>
  <c r="J168" i="6"/>
  <c r="I168" i="6"/>
  <c r="H168" i="6"/>
  <c r="D168" i="6"/>
  <c r="A168" i="6"/>
  <c r="AF167" i="6"/>
  <c r="AC167" i="6"/>
  <c r="AD167" i="6" s="1"/>
  <c r="Z167" i="6"/>
  <c r="V167" i="6"/>
  <c r="R167" i="6"/>
  <c r="AB167" i="6" s="1"/>
  <c r="N167" i="6"/>
  <c r="J167" i="6"/>
  <c r="I167" i="6"/>
  <c r="H167" i="6"/>
  <c r="D167" i="6"/>
  <c r="A167" i="6"/>
  <c r="AF166" i="6"/>
  <c r="AD166" i="6"/>
  <c r="AC166" i="6"/>
  <c r="AB166" i="6"/>
  <c r="Z166" i="6"/>
  <c r="V166" i="6"/>
  <c r="R166" i="6"/>
  <c r="N166" i="6"/>
  <c r="J166" i="6"/>
  <c r="I166" i="6"/>
  <c r="H166" i="6"/>
  <c r="D166" i="6"/>
  <c r="A166" i="6"/>
  <c r="AF165" i="6"/>
  <c r="AC165" i="6"/>
  <c r="AD165" i="6" s="1"/>
  <c r="Z165" i="6"/>
  <c r="V165" i="6"/>
  <c r="R165" i="6"/>
  <c r="AB165" i="6" s="1"/>
  <c r="N165" i="6"/>
  <c r="J165" i="6"/>
  <c r="I165" i="6"/>
  <c r="H165" i="6"/>
  <c r="D165" i="6"/>
  <c r="A165" i="6"/>
  <c r="AF164" i="6"/>
  <c r="AD164" i="6"/>
  <c r="AC164" i="6"/>
  <c r="Z164" i="6"/>
  <c r="V164" i="6"/>
  <c r="R164" i="6"/>
  <c r="AB164" i="6" s="1"/>
  <c r="N164" i="6"/>
  <c r="J164" i="6"/>
  <c r="I164" i="6"/>
  <c r="H164" i="6"/>
  <c r="D164" i="6"/>
  <c r="A164" i="6"/>
  <c r="AF163" i="6"/>
  <c r="AD163" i="6"/>
  <c r="AC163" i="6"/>
  <c r="Z163" i="6"/>
  <c r="V163" i="6"/>
  <c r="R163" i="6"/>
  <c r="AB163" i="6" s="1"/>
  <c r="N163" i="6"/>
  <c r="J163" i="6"/>
  <c r="I163" i="6"/>
  <c r="H163" i="6"/>
  <c r="D163" i="6"/>
  <c r="A163" i="6"/>
  <c r="AF162" i="6"/>
  <c r="AD162" i="6"/>
  <c r="AC162" i="6"/>
  <c r="AB162" i="6"/>
  <c r="Z162" i="6"/>
  <c r="V162" i="6"/>
  <c r="R162" i="6"/>
  <c r="N162" i="6"/>
  <c r="J162" i="6"/>
  <c r="I162" i="6"/>
  <c r="H162" i="6"/>
  <c r="D162" i="6"/>
  <c r="A162" i="6"/>
  <c r="AF161" i="6"/>
  <c r="AC161" i="6"/>
  <c r="AD161" i="6" s="1"/>
  <c r="Z161" i="6"/>
  <c r="V161" i="6"/>
  <c r="R161" i="6"/>
  <c r="AB161" i="6" s="1"/>
  <c r="N161" i="6"/>
  <c r="J161" i="6"/>
  <c r="I161" i="6"/>
  <c r="H161" i="6"/>
  <c r="D161" i="6"/>
  <c r="A161" i="6"/>
  <c r="AF160" i="6"/>
  <c r="AD160" i="6"/>
  <c r="AC160" i="6"/>
  <c r="AB160" i="6"/>
  <c r="Z160" i="6"/>
  <c r="V160" i="6"/>
  <c r="R160" i="6"/>
  <c r="N160" i="6"/>
  <c r="J160" i="6"/>
  <c r="I160" i="6"/>
  <c r="H160" i="6"/>
  <c r="D160" i="6"/>
  <c r="A160" i="6"/>
  <c r="AF159" i="6"/>
  <c r="AC159" i="6"/>
  <c r="AD159" i="6" s="1"/>
  <c r="Z159" i="6"/>
  <c r="V159" i="6"/>
  <c r="R159" i="6"/>
  <c r="AB159" i="6" s="1"/>
  <c r="N159" i="6"/>
  <c r="J159" i="6"/>
  <c r="I159" i="6"/>
  <c r="H159" i="6"/>
  <c r="D159" i="6"/>
  <c r="A159" i="6"/>
  <c r="AF158" i="6"/>
  <c r="AD158" i="6"/>
  <c r="AC158" i="6"/>
  <c r="Z158" i="6"/>
  <c r="V158" i="6"/>
  <c r="R158" i="6"/>
  <c r="AB158" i="6" s="1"/>
  <c r="N158" i="6"/>
  <c r="J158" i="6"/>
  <c r="I158" i="6"/>
  <c r="H158" i="6"/>
  <c r="D158" i="6"/>
  <c r="A158" i="6"/>
  <c r="AF157" i="6"/>
  <c r="AD157" i="6"/>
  <c r="AC157" i="6"/>
  <c r="Z157" i="6"/>
  <c r="V157" i="6"/>
  <c r="R157" i="6"/>
  <c r="AB157" i="6" s="1"/>
  <c r="N157" i="6"/>
  <c r="J157" i="6"/>
  <c r="I157" i="6"/>
  <c r="H157" i="6"/>
  <c r="D157" i="6"/>
  <c r="A157" i="6"/>
  <c r="AF156" i="6"/>
  <c r="AD156" i="6"/>
  <c r="AC156" i="6"/>
  <c r="AB156" i="6"/>
  <c r="Z156" i="6"/>
  <c r="V156" i="6"/>
  <c r="R156" i="6"/>
  <c r="N156" i="6"/>
  <c r="J156" i="6"/>
  <c r="I156" i="6"/>
  <c r="H156" i="6"/>
  <c r="D156" i="6"/>
  <c r="A156" i="6"/>
  <c r="AF155" i="6"/>
  <c r="AC155" i="6"/>
  <c r="AD155" i="6" s="1"/>
  <c r="Z155" i="6"/>
  <c r="V155" i="6"/>
  <c r="R155" i="6"/>
  <c r="AB155" i="6" s="1"/>
  <c r="N155" i="6"/>
  <c r="J155" i="6"/>
  <c r="I155" i="6"/>
  <c r="H155" i="6"/>
  <c r="D155" i="6"/>
  <c r="A155" i="6"/>
  <c r="AF154" i="6"/>
  <c r="AD154" i="6"/>
  <c r="AC154" i="6"/>
  <c r="AB154" i="6"/>
  <c r="Z154" i="6"/>
  <c r="V154" i="6"/>
  <c r="R154" i="6"/>
  <c r="N154" i="6"/>
  <c r="J154" i="6"/>
  <c r="I154" i="6"/>
  <c r="H154" i="6"/>
  <c r="D154" i="6"/>
  <c r="A154" i="6"/>
  <c r="AF153" i="6"/>
  <c r="AC153" i="6"/>
  <c r="AD153" i="6" s="1"/>
  <c r="Z153" i="6"/>
  <c r="V153" i="6"/>
  <c r="R153" i="6"/>
  <c r="AB153" i="6" s="1"/>
  <c r="N153" i="6"/>
  <c r="J153" i="6"/>
  <c r="I153" i="6"/>
  <c r="H153" i="6"/>
  <c r="D153" i="6"/>
  <c r="A153" i="6"/>
  <c r="AF152" i="6"/>
  <c r="AD152" i="6"/>
  <c r="AC152" i="6"/>
  <c r="Z152" i="6"/>
  <c r="V152" i="6"/>
  <c r="R152" i="6"/>
  <c r="AB152" i="6" s="1"/>
  <c r="N152" i="6"/>
  <c r="J152" i="6"/>
  <c r="I152" i="6"/>
  <c r="H152" i="6"/>
  <c r="D152" i="6"/>
  <c r="A152" i="6"/>
  <c r="AF151" i="6"/>
  <c r="AD151" i="6"/>
  <c r="AC151" i="6"/>
  <c r="Z151" i="6"/>
  <c r="V151" i="6"/>
  <c r="R151" i="6"/>
  <c r="AB151" i="6" s="1"/>
  <c r="N151" i="6"/>
  <c r="J151" i="6"/>
  <c r="I151" i="6"/>
  <c r="H151" i="6"/>
  <c r="D151" i="6"/>
  <c r="A151" i="6"/>
  <c r="AF150" i="6"/>
  <c r="AD150" i="6"/>
  <c r="AC150" i="6"/>
  <c r="AB150" i="6"/>
  <c r="Z150" i="6"/>
  <c r="V150" i="6"/>
  <c r="R150" i="6"/>
  <c r="N150" i="6"/>
  <c r="J150" i="6"/>
  <c r="I150" i="6"/>
  <c r="H150" i="6"/>
  <c r="D150" i="6"/>
  <c r="A150" i="6"/>
  <c r="AF149" i="6"/>
  <c r="AC149" i="6"/>
  <c r="AD149" i="6" s="1"/>
  <c r="Z149" i="6"/>
  <c r="V149" i="6"/>
  <c r="R149" i="6"/>
  <c r="AB149" i="6" s="1"/>
  <c r="N149" i="6"/>
  <c r="J149" i="6"/>
  <c r="I149" i="6"/>
  <c r="H149" i="6"/>
  <c r="D149" i="6"/>
  <c r="A149" i="6"/>
  <c r="AF148" i="6"/>
  <c r="AD148" i="6"/>
  <c r="AC148" i="6"/>
  <c r="AB148" i="6"/>
  <c r="Z148" i="6"/>
  <c r="V148" i="6"/>
  <c r="R148" i="6"/>
  <c r="N148" i="6"/>
  <c r="J148" i="6"/>
  <c r="I148" i="6"/>
  <c r="H148" i="6"/>
  <c r="D148" i="6"/>
  <c r="A148" i="6"/>
  <c r="AF147" i="6"/>
  <c r="AC147" i="6"/>
  <c r="AD147" i="6" s="1"/>
  <c r="Z147" i="6"/>
  <c r="V147" i="6"/>
  <c r="R147" i="6"/>
  <c r="AB147" i="6" s="1"/>
  <c r="N147" i="6"/>
  <c r="J147" i="6"/>
  <c r="I147" i="6"/>
  <c r="H147" i="6"/>
  <c r="D147" i="6"/>
  <c r="A147" i="6"/>
  <c r="AF146" i="6"/>
  <c r="AD146" i="6"/>
  <c r="AC146" i="6"/>
  <c r="Z146" i="6"/>
  <c r="V146" i="6"/>
  <c r="R146" i="6"/>
  <c r="AB146" i="6" s="1"/>
  <c r="N146" i="6"/>
  <c r="J146" i="6"/>
  <c r="I146" i="6"/>
  <c r="H146" i="6"/>
  <c r="D146" i="6"/>
  <c r="A146" i="6"/>
  <c r="AF145" i="6"/>
  <c r="AD145" i="6"/>
  <c r="AC145" i="6"/>
  <c r="Z145" i="6"/>
  <c r="V145" i="6"/>
  <c r="R145" i="6"/>
  <c r="AB145" i="6" s="1"/>
  <c r="N145" i="6"/>
  <c r="J145" i="6"/>
  <c r="I145" i="6"/>
  <c r="H145" i="6"/>
  <c r="D145" i="6"/>
  <c r="A145" i="6"/>
  <c r="AF144" i="6"/>
  <c r="AD144" i="6"/>
  <c r="AC144" i="6"/>
  <c r="AB144" i="6"/>
  <c r="Z144" i="6"/>
  <c r="V144" i="6"/>
  <c r="R144" i="6"/>
  <c r="N144" i="6"/>
  <c r="J144" i="6"/>
  <c r="I144" i="6"/>
  <c r="H144" i="6"/>
  <c r="D144" i="6"/>
  <c r="A144" i="6"/>
  <c r="AF143" i="6"/>
  <c r="AC143" i="6"/>
  <c r="AD143" i="6" s="1"/>
  <c r="Z143" i="6"/>
  <c r="V143" i="6"/>
  <c r="R143" i="6"/>
  <c r="AB143" i="6" s="1"/>
  <c r="N143" i="6"/>
  <c r="J143" i="6"/>
  <c r="I143" i="6"/>
  <c r="H143" i="6"/>
  <c r="D143" i="6"/>
  <c r="A143" i="6"/>
  <c r="AF142" i="6"/>
  <c r="AD142" i="6"/>
  <c r="AC142" i="6"/>
  <c r="AB142" i="6"/>
  <c r="Z142" i="6"/>
  <c r="V142" i="6"/>
  <c r="R142" i="6"/>
  <c r="N142" i="6"/>
  <c r="J142" i="6"/>
  <c r="I142" i="6"/>
  <c r="H142" i="6"/>
  <c r="D142" i="6"/>
  <c r="A142" i="6"/>
  <c r="AF141" i="6"/>
  <c r="AC141" i="6"/>
  <c r="AD141" i="6" s="1"/>
  <c r="Z141" i="6"/>
  <c r="V141" i="6"/>
  <c r="R141" i="6"/>
  <c r="AB141" i="6" s="1"/>
  <c r="N141" i="6"/>
  <c r="J141" i="6"/>
  <c r="I141" i="6"/>
  <c r="H141" i="6"/>
  <c r="D141" i="6"/>
  <c r="A141" i="6"/>
  <c r="AF140" i="6"/>
  <c r="AD140" i="6"/>
  <c r="AC140" i="6"/>
  <c r="Z140" i="6"/>
  <c r="V140" i="6"/>
  <c r="R140" i="6"/>
  <c r="AB140" i="6" s="1"/>
  <c r="N140" i="6"/>
  <c r="J140" i="6"/>
  <c r="I140" i="6"/>
  <c r="H140" i="6"/>
  <c r="D140" i="6"/>
  <c r="A140" i="6"/>
  <c r="AF139" i="6"/>
  <c r="AD139" i="6"/>
  <c r="AC139" i="6"/>
  <c r="Z139" i="6"/>
  <c r="V139" i="6"/>
  <c r="R139" i="6"/>
  <c r="AB139" i="6" s="1"/>
  <c r="N139" i="6"/>
  <c r="J139" i="6"/>
  <c r="I139" i="6"/>
  <c r="H139" i="6"/>
  <c r="D139" i="6"/>
  <c r="A139" i="6"/>
  <c r="AF138" i="6"/>
  <c r="AD138" i="6"/>
  <c r="AC138" i="6"/>
  <c r="AB138" i="6"/>
  <c r="Z138" i="6"/>
  <c r="V138" i="6"/>
  <c r="R138" i="6"/>
  <c r="N138" i="6"/>
  <c r="J138" i="6"/>
  <c r="I138" i="6"/>
  <c r="H138" i="6"/>
  <c r="D138" i="6"/>
  <c r="A138" i="6"/>
  <c r="AF137" i="6"/>
  <c r="AC137" i="6"/>
  <c r="AD137" i="6" s="1"/>
  <c r="Z137" i="6"/>
  <c r="V137" i="6"/>
  <c r="R137" i="6"/>
  <c r="AB137" i="6" s="1"/>
  <c r="N137" i="6"/>
  <c r="J137" i="6"/>
  <c r="I137" i="6"/>
  <c r="H137" i="6"/>
  <c r="D137" i="6"/>
  <c r="A137" i="6"/>
  <c r="AF136" i="6"/>
  <c r="AD136" i="6"/>
  <c r="AC136" i="6"/>
  <c r="AB136" i="6"/>
  <c r="Z136" i="6"/>
  <c r="V136" i="6"/>
  <c r="R136" i="6"/>
  <c r="N136" i="6"/>
  <c r="J136" i="6"/>
  <c r="I136" i="6"/>
  <c r="H136" i="6"/>
  <c r="D136" i="6"/>
  <c r="A136" i="6"/>
  <c r="AF135" i="6"/>
  <c r="AC135" i="6"/>
  <c r="AD135" i="6" s="1"/>
  <c r="Z135" i="6"/>
  <c r="V135" i="6"/>
  <c r="R135" i="6"/>
  <c r="AB135" i="6" s="1"/>
  <c r="N135" i="6"/>
  <c r="J135" i="6"/>
  <c r="I135" i="6"/>
  <c r="H135" i="6"/>
  <c r="D135" i="6"/>
  <c r="A135" i="6"/>
  <c r="AF134" i="6"/>
  <c r="AD134" i="6"/>
  <c r="AC134" i="6"/>
  <c r="Z134" i="6"/>
  <c r="V134" i="6"/>
  <c r="R134" i="6"/>
  <c r="AB134" i="6" s="1"/>
  <c r="N134" i="6"/>
  <c r="J134" i="6"/>
  <c r="I134" i="6"/>
  <c r="H134" i="6"/>
  <c r="D134" i="6"/>
  <c r="A134" i="6"/>
  <c r="AF133" i="6"/>
  <c r="AD133" i="6"/>
  <c r="AC133" i="6"/>
  <c r="Z133" i="6"/>
  <c r="V133" i="6"/>
  <c r="R133" i="6"/>
  <c r="AB133" i="6" s="1"/>
  <c r="N133" i="6"/>
  <c r="J133" i="6"/>
  <c r="I133" i="6"/>
  <c r="H133" i="6"/>
  <c r="D133" i="6"/>
  <c r="A133" i="6"/>
  <c r="AF132" i="6"/>
  <c r="AD132" i="6"/>
  <c r="AC132" i="6"/>
  <c r="AB132" i="6"/>
  <c r="Z132" i="6"/>
  <c r="V132" i="6"/>
  <c r="R132" i="6"/>
  <c r="N132" i="6"/>
  <c r="J132" i="6"/>
  <c r="I132" i="6"/>
  <c r="H132" i="6"/>
  <c r="D132" i="6"/>
  <c r="A132" i="6"/>
  <c r="AF131" i="6"/>
  <c r="AC131" i="6"/>
  <c r="AD131" i="6" s="1"/>
  <c r="Z131" i="6"/>
  <c r="V131" i="6"/>
  <c r="R131" i="6"/>
  <c r="AB131" i="6" s="1"/>
  <c r="N131" i="6"/>
  <c r="J131" i="6"/>
  <c r="I131" i="6"/>
  <c r="H131" i="6"/>
  <c r="D131" i="6"/>
  <c r="A131" i="6"/>
  <c r="AF130" i="6"/>
  <c r="AD130" i="6"/>
  <c r="AC130" i="6"/>
  <c r="AB130" i="6"/>
  <c r="Z130" i="6"/>
  <c r="V130" i="6"/>
  <c r="R130" i="6"/>
  <c r="N130" i="6"/>
  <c r="J130" i="6"/>
  <c r="I130" i="6"/>
  <c r="H130" i="6"/>
  <c r="D130" i="6"/>
  <c r="A130" i="6"/>
  <c r="AF129" i="6"/>
  <c r="AC129" i="6"/>
  <c r="AD129" i="6" s="1"/>
  <c r="Z129" i="6"/>
  <c r="V129" i="6"/>
  <c r="R129" i="6"/>
  <c r="AB129" i="6" s="1"/>
  <c r="N129" i="6"/>
  <c r="J129" i="6"/>
  <c r="I129" i="6"/>
  <c r="H129" i="6"/>
  <c r="D129" i="6"/>
  <c r="A129" i="6"/>
  <c r="AF128" i="6"/>
  <c r="AD128" i="6"/>
  <c r="AC128" i="6"/>
  <c r="Z128" i="6"/>
  <c r="V128" i="6"/>
  <c r="R128" i="6"/>
  <c r="AB128" i="6" s="1"/>
  <c r="N128" i="6"/>
  <c r="J128" i="6"/>
  <c r="I128" i="6"/>
  <c r="H128" i="6"/>
  <c r="D128" i="6"/>
  <c r="A128" i="6"/>
  <c r="AF127" i="6"/>
  <c r="AD127" i="6"/>
  <c r="AC127" i="6"/>
  <c r="Z127" i="6"/>
  <c r="V127" i="6"/>
  <c r="R127" i="6"/>
  <c r="AB127" i="6" s="1"/>
  <c r="N127" i="6"/>
  <c r="J127" i="6"/>
  <c r="I127" i="6"/>
  <c r="H127" i="6"/>
  <c r="D127" i="6"/>
  <c r="A127" i="6"/>
  <c r="AF126" i="6"/>
  <c r="AD126" i="6"/>
  <c r="AC126" i="6"/>
  <c r="AB126" i="6"/>
  <c r="Z126" i="6"/>
  <c r="V126" i="6"/>
  <c r="R126" i="6"/>
  <c r="N126" i="6"/>
  <c r="J126" i="6"/>
  <c r="I126" i="6"/>
  <c r="H126" i="6"/>
  <c r="D126" i="6"/>
  <c r="A126" i="6"/>
  <c r="AF125" i="6"/>
  <c r="AC125" i="6"/>
  <c r="AD125" i="6" s="1"/>
  <c r="Z125" i="6"/>
  <c r="V125" i="6"/>
  <c r="R125" i="6"/>
  <c r="AB125" i="6" s="1"/>
  <c r="N125" i="6"/>
  <c r="J125" i="6"/>
  <c r="I125" i="6"/>
  <c r="H125" i="6"/>
  <c r="D125" i="6"/>
  <c r="A125" i="6"/>
  <c r="AF124" i="6"/>
  <c r="AD124" i="6"/>
  <c r="AC124" i="6"/>
  <c r="AB124" i="6"/>
  <c r="Z124" i="6"/>
  <c r="V124" i="6"/>
  <c r="R124" i="6"/>
  <c r="N124" i="6"/>
  <c r="J124" i="6"/>
  <c r="I124" i="6"/>
  <c r="H124" i="6"/>
  <c r="D124" i="6"/>
  <c r="A124" i="6"/>
  <c r="AF123" i="6"/>
  <c r="AC123" i="6"/>
  <c r="AD123" i="6" s="1"/>
  <c r="Z123" i="6"/>
  <c r="V123" i="6"/>
  <c r="R123" i="6"/>
  <c r="AB123" i="6" s="1"/>
  <c r="N123" i="6"/>
  <c r="J123" i="6"/>
  <c r="I123" i="6"/>
  <c r="H123" i="6"/>
  <c r="D123" i="6"/>
  <c r="A123" i="6"/>
  <c r="AF122" i="6"/>
  <c r="AD122" i="6"/>
  <c r="AC122" i="6"/>
  <c r="Z122" i="6"/>
  <c r="V122" i="6"/>
  <c r="R122" i="6"/>
  <c r="AB122" i="6" s="1"/>
  <c r="N122" i="6"/>
  <c r="J122" i="6"/>
  <c r="I122" i="6"/>
  <c r="H122" i="6"/>
  <c r="D122" i="6"/>
  <c r="A122" i="6"/>
  <c r="AF121" i="6"/>
  <c r="AD121" i="6"/>
  <c r="AC121" i="6"/>
  <c r="Z121" i="6"/>
  <c r="V121" i="6"/>
  <c r="R121" i="6"/>
  <c r="AB121" i="6" s="1"/>
  <c r="N121" i="6"/>
  <c r="J121" i="6"/>
  <c r="I121" i="6"/>
  <c r="H121" i="6"/>
  <c r="D121" i="6"/>
  <c r="A121" i="6"/>
  <c r="AF120" i="6"/>
  <c r="AD120" i="6"/>
  <c r="AC120" i="6"/>
  <c r="AB120" i="6"/>
  <c r="Z120" i="6"/>
  <c r="V120" i="6"/>
  <c r="R120" i="6"/>
  <c r="N120" i="6"/>
  <c r="J120" i="6"/>
  <c r="I120" i="6"/>
  <c r="H120" i="6"/>
  <c r="D120" i="6"/>
  <c r="A120" i="6"/>
  <c r="AF119" i="6"/>
  <c r="AC119" i="6"/>
  <c r="AD119" i="6" s="1"/>
  <c r="Z119" i="6"/>
  <c r="V119" i="6"/>
  <c r="R119" i="6"/>
  <c r="AB119" i="6" s="1"/>
  <c r="N119" i="6"/>
  <c r="J119" i="6"/>
  <c r="I119" i="6"/>
  <c r="H119" i="6"/>
  <c r="D119" i="6"/>
  <c r="A119" i="6"/>
  <c r="AF118" i="6"/>
  <c r="AD118" i="6"/>
  <c r="AC118" i="6"/>
  <c r="AB118" i="6"/>
  <c r="Z118" i="6"/>
  <c r="V118" i="6"/>
  <c r="R118" i="6"/>
  <c r="N118" i="6"/>
  <c r="J118" i="6"/>
  <c r="I118" i="6"/>
  <c r="H118" i="6"/>
  <c r="D118" i="6"/>
  <c r="A118" i="6"/>
  <c r="AF117" i="6"/>
  <c r="AC117" i="6"/>
  <c r="AD117" i="6" s="1"/>
  <c r="Z117" i="6"/>
  <c r="V117" i="6"/>
  <c r="R117" i="6"/>
  <c r="AB117" i="6" s="1"/>
  <c r="N117" i="6"/>
  <c r="J117" i="6"/>
  <c r="I117" i="6"/>
  <c r="H117" i="6"/>
  <c r="D117" i="6"/>
  <c r="A117" i="6"/>
  <c r="AF116" i="6"/>
  <c r="AD116" i="6"/>
  <c r="AC116" i="6"/>
  <c r="Z116" i="6"/>
  <c r="V116" i="6"/>
  <c r="R116" i="6"/>
  <c r="AB116" i="6" s="1"/>
  <c r="N116" i="6"/>
  <c r="J116" i="6"/>
  <c r="I116" i="6"/>
  <c r="H116" i="6"/>
  <c r="D116" i="6"/>
  <c r="A116" i="6"/>
  <c r="AF115" i="6"/>
  <c r="AD115" i="6"/>
  <c r="AC115" i="6"/>
  <c r="Z115" i="6"/>
  <c r="V115" i="6"/>
  <c r="R115" i="6"/>
  <c r="AB115" i="6" s="1"/>
  <c r="N115" i="6"/>
  <c r="J115" i="6"/>
  <c r="I115" i="6"/>
  <c r="H115" i="6"/>
  <c r="D115" i="6"/>
  <c r="A115" i="6"/>
  <c r="AF114" i="6"/>
  <c r="AD114" i="6"/>
  <c r="AC114" i="6"/>
  <c r="AB114" i="6"/>
  <c r="Z114" i="6"/>
  <c r="V114" i="6"/>
  <c r="R114" i="6"/>
  <c r="N114" i="6"/>
  <c r="J114" i="6"/>
  <c r="I114" i="6"/>
  <c r="H114" i="6"/>
  <c r="D114" i="6"/>
  <c r="A114" i="6"/>
  <c r="AF113" i="6"/>
  <c r="AC113" i="6"/>
  <c r="AD113" i="6" s="1"/>
  <c r="Z113" i="6"/>
  <c r="V113" i="6"/>
  <c r="R113" i="6"/>
  <c r="AB113" i="6" s="1"/>
  <c r="N113" i="6"/>
  <c r="J113" i="6"/>
  <c r="I113" i="6"/>
  <c r="H113" i="6"/>
  <c r="D113" i="6"/>
  <c r="A113" i="6"/>
  <c r="AF112" i="6"/>
  <c r="AD112" i="6"/>
  <c r="AC112" i="6"/>
  <c r="AB112" i="6"/>
  <c r="Z112" i="6"/>
  <c r="V112" i="6"/>
  <c r="R112" i="6"/>
  <c r="N112" i="6"/>
  <c r="J112" i="6"/>
  <c r="I112" i="6"/>
  <c r="H112" i="6"/>
  <c r="D112" i="6"/>
  <c r="A112" i="6"/>
  <c r="AF111" i="6"/>
  <c r="AC111" i="6"/>
  <c r="AD111" i="6" s="1"/>
  <c r="Z111" i="6"/>
  <c r="V111" i="6"/>
  <c r="R111" i="6"/>
  <c r="AB111" i="6" s="1"/>
  <c r="N111" i="6"/>
  <c r="J111" i="6"/>
  <c r="I111" i="6"/>
  <c r="H111" i="6"/>
  <c r="D111" i="6"/>
  <c r="A111" i="6"/>
  <c r="AF110" i="6"/>
  <c r="AD110" i="6"/>
  <c r="AC110" i="6"/>
  <c r="Z110" i="6"/>
  <c r="V110" i="6"/>
  <c r="R110" i="6"/>
  <c r="AB110" i="6" s="1"/>
  <c r="N110" i="6"/>
  <c r="J110" i="6"/>
  <c r="I110" i="6"/>
  <c r="H110" i="6"/>
  <c r="D110" i="6"/>
  <c r="A110" i="6"/>
  <c r="AF109" i="6"/>
  <c r="AD109" i="6"/>
  <c r="AC109" i="6"/>
  <c r="Z109" i="6"/>
  <c r="V109" i="6"/>
  <c r="R109" i="6"/>
  <c r="AB109" i="6" s="1"/>
  <c r="N109" i="6"/>
  <c r="J109" i="6"/>
  <c r="I109" i="6"/>
  <c r="H109" i="6"/>
  <c r="D109" i="6"/>
  <c r="A109" i="6"/>
  <c r="AF108" i="6"/>
  <c r="AD108" i="6"/>
  <c r="AC108" i="6"/>
  <c r="Z108" i="6"/>
  <c r="V108" i="6"/>
  <c r="AB108" i="6" s="1"/>
  <c r="R108" i="6"/>
  <c r="N108" i="6"/>
  <c r="J108" i="6"/>
  <c r="I108" i="6"/>
  <c r="H108" i="6"/>
  <c r="D108" i="6"/>
  <c r="A108" i="6"/>
  <c r="AF107" i="6"/>
  <c r="AC107" i="6"/>
  <c r="AD107" i="6" s="1"/>
  <c r="Z107" i="6"/>
  <c r="V107" i="6"/>
  <c r="R107" i="6"/>
  <c r="AB107" i="6" s="1"/>
  <c r="N107" i="6"/>
  <c r="J107" i="6"/>
  <c r="I107" i="6"/>
  <c r="H107" i="6"/>
  <c r="D107" i="6"/>
  <c r="A107" i="6"/>
  <c r="AF106" i="6"/>
  <c r="AD106" i="6"/>
  <c r="AC106" i="6"/>
  <c r="AB106" i="6"/>
  <c r="Z106" i="6"/>
  <c r="V106" i="6"/>
  <c r="R106" i="6"/>
  <c r="N106" i="6"/>
  <c r="J106" i="6"/>
  <c r="I106" i="6"/>
  <c r="H106" i="6"/>
  <c r="D106" i="6"/>
  <c r="A106" i="6"/>
  <c r="AF105" i="6"/>
  <c r="AC105" i="6"/>
  <c r="AD105" i="6" s="1"/>
  <c r="Z105" i="6"/>
  <c r="V105" i="6"/>
  <c r="R105" i="6"/>
  <c r="AB105" i="6" s="1"/>
  <c r="N105" i="6"/>
  <c r="J105" i="6"/>
  <c r="I105" i="6"/>
  <c r="H105" i="6"/>
  <c r="D105" i="6"/>
  <c r="A105" i="6"/>
  <c r="AF104" i="6"/>
  <c r="AD104" i="6"/>
  <c r="AC104" i="6"/>
  <c r="Z104" i="6"/>
  <c r="V104" i="6"/>
  <c r="R104" i="6"/>
  <c r="AB104" i="6" s="1"/>
  <c r="N104" i="6"/>
  <c r="J104" i="6"/>
  <c r="I104" i="6"/>
  <c r="H104" i="6"/>
  <c r="D104" i="6"/>
  <c r="A104" i="6"/>
  <c r="AF103" i="6"/>
  <c r="AC103" i="6"/>
  <c r="AD103" i="6" s="1"/>
  <c r="Z103" i="6"/>
  <c r="V103" i="6"/>
  <c r="R103" i="6"/>
  <c r="AB103" i="6" s="1"/>
  <c r="N103" i="6"/>
  <c r="J103" i="6"/>
  <c r="I103" i="6"/>
  <c r="H103" i="6"/>
  <c r="D103" i="6"/>
  <c r="A103" i="6"/>
  <c r="AF102" i="6"/>
  <c r="AD102" i="6"/>
  <c r="AC102" i="6"/>
  <c r="Z102" i="6"/>
  <c r="V102" i="6"/>
  <c r="AB102" i="6" s="1"/>
  <c r="R102" i="6"/>
  <c r="N102" i="6"/>
  <c r="J102" i="6"/>
  <c r="I102" i="6"/>
  <c r="H102" i="6"/>
  <c r="D102" i="6"/>
  <c r="A102" i="6"/>
  <c r="AF101" i="6"/>
  <c r="AC101" i="6"/>
  <c r="AD101" i="6" s="1"/>
  <c r="Z101" i="6"/>
  <c r="V101" i="6"/>
  <c r="R101" i="6"/>
  <c r="AB101" i="6" s="1"/>
  <c r="N101" i="6"/>
  <c r="J101" i="6"/>
  <c r="I101" i="6"/>
  <c r="H101" i="6"/>
  <c r="D101" i="6"/>
  <c r="A101" i="6"/>
  <c r="AF100" i="6"/>
  <c r="AD100" i="6"/>
  <c r="AC100" i="6"/>
  <c r="AB100" i="6"/>
  <c r="Z100" i="6"/>
  <c r="V100" i="6"/>
  <c r="R100" i="6"/>
  <c r="N100" i="6"/>
  <c r="J100" i="6"/>
  <c r="I100" i="6"/>
  <c r="H100" i="6"/>
  <c r="D100" i="6"/>
  <c r="A100" i="6"/>
  <c r="AF99" i="6"/>
  <c r="AC99" i="6"/>
  <c r="AD99" i="6" s="1"/>
  <c r="Z99" i="6"/>
  <c r="V99" i="6"/>
  <c r="R99" i="6"/>
  <c r="AB99" i="6" s="1"/>
  <c r="N99" i="6"/>
  <c r="J99" i="6"/>
  <c r="I99" i="6"/>
  <c r="H99" i="6"/>
  <c r="D99" i="6"/>
  <c r="A99" i="6"/>
  <c r="AF98" i="6"/>
  <c r="AD98" i="6"/>
  <c r="AC98" i="6"/>
  <c r="Z98" i="6"/>
  <c r="V98" i="6"/>
  <c r="R98" i="6"/>
  <c r="AB98" i="6" s="1"/>
  <c r="N98" i="6"/>
  <c r="J98" i="6"/>
  <c r="I98" i="6"/>
  <c r="H98" i="6"/>
  <c r="D98" i="6"/>
  <c r="A98" i="6"/>
  <c r="AF97" i="6"/>
  <c r="AC97" i="6"/>
  <c r="AD97" i="6" s="1"/>
  <c r="Z97" i="6"/>
  <c r="V97" i="6"/>
  <c r="R97" i="6"/>
  <c r="AB97" i="6" s="1"/>
  <c r="N97" i="6"/>
  <c r="J97" i="6"/>
  <c r="I97" i="6"/>
  <c r="H97" i="6"/>
  <c r="D97" i="6"/>
  <c r="A97" i="6"/>
  <c r="AF96" i="6"/>
  <c r="AD96" i="6"/>
  <c r="AC96" i="6"/>
  <c r="Z96" i="6"/>
  <c r="V96" i="6"/>
  <c r="AB96" i="6" s="1"/>
  <c r="R96" i="6"/>
  <c r="N96" i="6"/>
  <c r="J96" i="6"/>
  <c r="I96" i="6"/>
  <c r="H96" i="6"/>
  <c r="D96" i="6"/>
  <c r="A96" i="6"/>
  <c r="AF95" i="6"/>
  <c r="AC95" i="6"/>
  <c r="AD95" i="6" s="1"/>
  <c r="Z95" i="6"/>
  <c r="V95" i="6"/>
  <c r="R95" i="6"/>
  <c r="AB95" i="6" s="1"/>
  <c r="N95" i="6"/>
  <c r="J95" i="6"/>
  <c r="I95" i="6"/>
  <c r="H95" i="6"/>
  <c r="D95" i="6"/>
  <c r="A95" i="6"/>
  <c r="AF94" i="6"/>
  <c r="AD94" i="6"/>
  <c r="AC94" i="6"/>
  <c r="AB94" i="6"/>
  <c r="Z94" i="6"/>
  <c r="V94" i="6"/>
  <c r="R94" i="6"/>
  <c r="N94" i="6"/>
  <c r="J94" i="6"/>
  <c r="I94" i="6"/>
  <c r="H94" i="6"/>
  <c r="D94" i="6"/>
  <c r="A94" i="6"/>
  <c r="AF93" i="6"/>
  <c r="AC93" i="6"/>
  <c r="AD93" i="6" s="1"/>
  <c r="Z93" i="6"/>
  <c r="V93" i="6"/>
  <c r="R93" i="6"/>
  <c r="AB93" i="6" s="1"/>
  <c r="N93" i="6"/>
  <c r="J93" i="6"/>
  <c r="I93" i="6"/>
  <c r="H93" i="6"/>
  <c r="D93" i="6"/>
  <c r="A93" i="6"/>
  <c r="AF92" i="6"/>
  <c r="AD92" i="6"/>
  <c r="AC92" i="6"/>
  <c r="Z92" i="6"/>
  <c r="V92" i="6"/>
  <c r="R92" i="6"/>
  <c r="AB92" i="6" s="1"/>
  <c r="N92" i="6"/>
  <c r="J92" i="6"/>
  <c r="I92" i="6"/>
  <c r="H92" i="6"/>
  <c r="D92" i="6"/>
  <c r="A92" i="6"/>
  <c r="AF91" i="6"/>
  <c r="AC91" i="6"/>
  <c r="AD91" i="6" s="1"/>
  <c r="Z91" i="6"/>
  <c r="V91" i="6"/>
  <c r="R91" i="6"/>
  <c r="AB91" i="6" s="1"/>
  <c r="N91" i="6"/>
  <c r="J91" i="6"/>
  <c r="I91" i="6"/>
  <c r="H91" i="6"/>
  <c r="D91" i="6"/>
  <c r="A91" i="6"/>
  <c r="AF90" i="6"/>
  <c r="AD90" i="6"/>
  <c r="AC90" i="6"/>
  <c r="Z90" i="6"/>
  <c r="V90" i="6"/>
  <c r="AB90" i="6" s="1"/>
  <c r="R90" i="6"/>
  <c r="N90" i="6"/>
  <c r="J90" i="6"/>
  <c r="I90" i="6"/>
  <c r="H90" i="6"/>
  <c r="D90" i="6"/>
  <c r="A90" i="6"/>
  <c r="AF89" i="6"/>
  <c r="AC89" i="6"/>
  <c r="AD89" i="6" s="1"/>
  <c r="Z89" i="6"/>
  <c r="V89" i="6"/>
  <c r="R89" i="6"/>
  <c r="AB89" i="6" s="1"/>
  <c r="N89" i="6"/>
  <c r="J89" i="6"/>
  <c r="I89" i="6"/>
  <c r="H89" i="6"/>
  <c r="D89" i="6"/>
  <c r="A89" i="6"/>
  <c r="AF88" i="6"/>
  <c r="AD88" i="6"/>
  <c r="AC88" i="6"/>
  <c r="AB88" i="6"/>
  <c r="Z88" i="6"/>
  <c r="V88" i="6"/>
  <c r="R88" i="6"/>
  <c r="N88" i="6"/>
  <c r="J88" i="6"/>
  <c r="I88" i="6"/>
  <c r="H88" i="6"/>
  <c r="D88" i="6"/>
  <c r="A88" i="6"/>
  <c r="AF87" i="6"/>
  <c r="AC87" i="6"/>
  <c r="AD87" i="6" s="1"/>
  <c r="Z87" i="6"/>
  <c r="V87" i="6"/>
  <c r="R87" i="6"/>
  <c r="AB87" i="6" s="1"/>
  <c r="N87" i="6"/>
  <c r="J87" i="6"/>
  <c r="I87" i="6"/>
  <c r="H87" i="6"/>
  <c r="D87" i="6"/>
  <c r="A87" i="6"/>
  <c r="AF86" i="6"/>
  <c r="AD86" i="6"/>
  <c r="AC86" i="6"/>
  <c r="Z86" i="6"/>
  <c r="V86" i="6"/>
  <c r="R86" i="6"/>
  <c r="AB86" i="6" s="1"/>
  <c r="N86" i="6"/>
  <c r="J86" i="6"/>
  <c r="I86" i="6"/>
  <c r="H86" i="6"/>
  <c r="D86" i="6"/>
  <c r="A86" i="6"/>
  <c r="AF85" i="6"/>
  <c r="AC85" i="6"/>
  <c r="AD85" i="6" s="1"/>
  <c r="Z85" i="6"/>
  <c r="V85" i="6"/>
  <c r="R85" i="6"/>
  <c r="AB85" i="6" s="1"/>
  <c r="N85" i="6"/>
  <c r="J85" i="6"/>
  <c r="I85" i="6"/>
  <c r="H85" i="6"/>
  <c r="D85" i="6"/>
  <c r="A85" i="6"/>
  <c r="AF84" i="6"/>
  <c r="AD84" i="6"/>
  <c r="AC84" i="6"/>
  <c r="Z84" i="6"/>
  <c r="V84" i="6"/>
  <c r="AB84" i="6" s="1"/>
  <c r="R84" i="6"/>
  <c r="N84" i="6"/>
  <c r="J84" i="6"/>
  <c r="I84" i="6"/>
  <c r="H84" i="6"/>
  <c r="D84" i="6"/>
  <c r="A84" i="6"/>
  <c r="AF83" i="6"/>
  <c r="AC83" i="6"/>
  <c r="AD83" i="6" s="1"/>
  <c r="Z83" i="6"/>
  <c r="V83" i="6"/>
  <c r="R83" i="6"/>
  <c r="AB83" i="6" s="1"/>
  <c r="N83" i="6"/>
  <c r="J83" i="6"/>
  <c r="I83" i="6"/>
  <c r="H83" i="6"/>
  <c r="D83" i="6"/>
  <c r="A83" i="6"/>
  <c r="AF82" i="6"/>
  <c r="AD82" i="6"/>
  <c r="AC82" i="6"/>
  <c r="AB82" i="6"/>
  <c r="Z82" i="6"/>
  <c r="V82" i="6"/>
  <c r="R82" i="6"/>
  <c r="N82" i="6"/>
  <c r="J82" i="6"/>
  <c r="I82" i="6"/>
  <c r="H82" i="6"/>
  <c r="D82" i="6"/>
  <c r="A82" i="6"/>
  <c r="AF81" i="6"/>
  <c r="AC81" i="6"/>
  <c r="AD81" i="6" s="1"/>
  <c r="Z81" i="6"/>
  <c r="V81" i="6"/>
  <c r="R81" i="6"/>
  <c r="AB81" i="6" s="1"/>
  <c r="N81" i="6"/>
  <c r="J81" i="6"/>
  <c r="I81" i="6"/>
  <c r="H81" i="6"/>
  <c r="D81" i="6"/>
  <c r="A81" i="6"/>
  <c r="AF80" i="6"/>
  <c r="AD80" i="6"/>
  <c r="AC80" i="6"/>
  <c r="Z80" i="6"/>
  <c r="V80" i="6"/>
  <c r="R80" i="6"/>
  <c r="AB80" i="6" s="1"/>
  <c r="N80" i="6"/>
  <c r="J80" i="6"/>
  <c r="I80" i="6"/>
  <c r="H80" i="6"/>
  <c r="D80" i="6"/>
  <c r="A80" i="6"/>
  <c r="AF79" i="6"/>
  <c r="AC79" i="6"/>
  <c r="AD79" i="6" s="1"/>
  <c r="Z79" i="6"/>
  <c r="V79" i="6"/>
  <c r="R79" i="6"/>
  <c r="AB79" i="6" s="1"/>
  <c r="N79" i="6"/>
  <c r="J79" i="6"/>
  <c r="I79" i="6"/>
  <c r="H79" i="6"/>
  <c r="D79" i="6"/>
  <c r="A79" i="6"/>
  <c r="AF78" i="6"/>
  <c r="AD78" i="6"/>
  <c r="AC78" i="6"/>
  <c r="Z78" i="6"/>
  <c r="V78" i="6"/>
  <c r="R78" i="6"/>
  <c r="AB78" i="6" s="1"/>
  <c r="N78" i="6"/>
  <c r="J78" i="6"/>
  <c r="I78" i="6"/>
  <c r="H78" i="6"/>
  <c r="D78" i="6"/>
  <c r="A78" i="6"/>
  <c r="AF77" i="6"/>
  <c r="AC77" i="6"/>
  <c r="AD77" i="6" s="1"/>
  <c r="AB77" i="6"/>
  <c r="Z77" i="6"/>
  <c r="V77" i="6"/>
  <c r="R77" i="6"/>
  <c r="N77" i="6"/>
  <c r="J77" i="6"/>
  <c r="I77" i="6"/>
  <c r="H77" i="6"/>
  <c r="D77" i="6"/>
  <c r="A77" i="6"/>
  <c r="AF76" i="6"/>
  <c r="AC76" i="6"/>
  <c r="AD76" i="6" s="1"/>
  <c r="Z76" i="6"/>
  <c r="V76" i="6"/>
  <c r="AB76" i="6" s="1"/>
  <c r="R76" i="6"/>
  <c r="N76" i="6"/>
  <c r="J76" i="6"/>
  <c r="I76" i="6"/>
  <c r="H76" i="6"/>
  <c r="D76" i="6"/>
  <c r="A76" i="6"/>
  <c r="AF75" i="6"/>
  <c r="AD75" i="6"/>
  <c r="AC75" i="6"/>
  <c r="Z75" i="6"/>
  <c r="AB75" i="6" s="1"/>
  <c r="V75" i="6"/>
  <c r="R75" i="6"/>
  <c r="N75" i="6"/>
  <c r="J75" i="6"/>
  <c r="I75" i="6"/>
  <c r="H75" i="6"/>
  <c r="D75" i="6"/>
  <c r="A75" i="6"/>
  <c r="AF74" i="6"/>
  <c r="AD74" i="6"/>
  <c r="AC74" i="6"/>
  <c r="Z74" i="6"/>
  <c r="V74" i="6"/>
  <c r="R74" i="6"/>
  <c r="AB74" i="6" s="1"/>
  <c r="N74" i="6"/>
  <c r="J74" i="6"/>
  <c r="I74" i="6"/>
  <c r="H74" i="6"/>
  <c r="D74" i="6"/>
  <c r="A74" i="6"/>
  <c r="AF73" i="6"/>
  <c r="AC73" i="6"/>
  <c r="AD73" i="6" s="1"/>
  <c r="Z73" i="6"/>
  <c r="V73" i="6"/>
  <c r="R73" i="6"/>
  <c r="AB73" i="6" s="1"/>
  <c r="N73" i="6"/>
  <c r="J73" i="6"/>
  <c r="I73" i="6"/>
  <c r="H73" i="6"/>
  <c r="D73" i="6"/>
  <c r="A73" i="6"/>
  <c r="AF72" i="6"/>
  <c r="AD72" i="6"/>
  <c r="AC72" i="6"/>
  <c r="Z72" i="6"/>
  <c r="V72" i="6"/>
  <c r="R72" i="6"/>
  <c r="AB72" i="6" s="1"/>
  <c r="N72" i="6"/>
  <c r="J72" i="6"/>
  <c r="I72" i="6"/>
  <c r="H72" i="6"/>
  <c r="D72" i="6"/>
  <c r="A72" i="6"/>
  <c r="AF71" i="6"/>
  <c r="AC71" i="6"/>
  <c r="AD71" i="6" s="1"/>
  <c r="Z71" i="6"/>
  <c r="V71" i="6"/>
  <c r="AB71" i="6" s="1"/>
  <c r="R71" i="6"/>
  <c r="N71" i="6"/>
  <c r="J71" i="6"/>
  <c r="I71" i="6"/>
  <c r="H71" i="6"/>
  <c r="D71" i="6"/>
  <c r="A71" i="6"/>
  <c r="AF70" i="6"/>
  <c r="AC70" i="6"/>
  <c r="AD70" i="6" s="1"/>
  <c r="Z70" i="6"/>
  <c r="V70" i="6"/>
  <c r="R70" i="6"/>
  <c r="AB70" i="6" s="1"/>
  <c r="N70" i="6"/>
  <c r="J70" i="6"/>
  <c r="I70" i="6"/>
  <c r="H70" i="6"/>
  <c r="D70" i="6"/>
  <c r="A70" i="6"/>
  <c r="AF69" i="6"/>
  <c r="AD69" i="6"/>
  <c r="AC69" i="6"/>
  <c r="AB69" i="6"/>
  <c r="Z69" i="6"/>
  <c r="V69" i="6"/>
  <c r="R69" i="6"/>
  <c r="N69" i="6"/>
  <c r="J69" i="6"/>
  <c r="I69" i="6"/>
  <c r="H69" i="6"/>
  <c r="D69" i="6"/>
  <c r="A69" i="6"/>
  <c r="AF68" i="6"/>
  <c r="AC68" i="6"/>
  <c r="AD68" i="6" s="1"/>
  <c r="Z68" i="6"/>
  <c r="V68" i="6"/>
  <c r="R68" i="6"/>
  <c r="AB68" i="6" s="1"/>
  <c r="N68" i="6"/>
  <c r="J68" i="6"/>
  <c r="I68" i="6"/>
  <c r="H68" i="6"/>
  <c r="D68" i="6"/>
  <c r="A68" i="6"/>
  <c r="AF67" i="6"/>
  <c r="AD67" i="6"/>
  <c r="AC67" i="6"/>
  <c r="Z67" i="6"/>
  <c r="V67" i="6"/>
  <c r="AB67" i="6" s="1"/>
  <c r="R67" i="6"/>
  <c r="N67" i="6"/>
  <c r="J67" i="6"/>
  <c r="I67" i="6"/>
  <c r="H67" i="6"/>
  <c r="D67" i="6"/>
  <c r="A67" i="6"/>
  <c r="AF66" i="6"/>
  <c r="AC66" i="6"/>
  <c r="AD66" i="6" s="1"/>
  <c r="Z66" i="6"/>
  <c r="V66" i="6"/>
  <c r="R66" i="6"/>
  <c r="AB66" i="6" s="1"/>
  <c r="N66" i="6"/>
  <c r="J66" i="6"/>
  <c r="I66" i="6"/>
  <c r="H66" i="6"/>
  <c r="D66" i="6"/>
  <c r="A66" i="6"/>
  <c r="AF65" i="6"/>
  <c r="AD65" i="6"/>
  <c r="AC65" i="6"/>
  <c r="Z65" i="6"/>
  <c r="V65" i="6"/>
  <c r="R65" i="6"/>
  <c r="AB65" i="6" s="1"/>
  <c r="N65" i="6"/>
  <c r="J65" i="6"/>
  <c r="I65" i="6"/>
  <c r="H65" i="6"/>
  <c r="D65" i="6"/>
  <c r="A65" i="6"/>
  <c r="AF64" i="6"/>
  <c r="AC64" i="6"/>
  <c r="AD64" i="6" s="1"/>
  <c r="Z64" i="6"/>
  <c r="V64" i="6"/>
  <c r="R64" i="6"/>
  <c r="AB64" i="6" s="1"/>
  <c r="N64" i="6"/>
  <c r="J64" i="6"/>
  <c r="I64" i="6"/>
  <c r="H64" i="6"/>
  <c r="D64" i="6"/>
  <c r="A64" i="6"/>
  <c r="AF63" i="6"/>
  <c r="AD63" i="6"/>
  <c r="AC63" i="6"/>
  <c r="AB63" i="6"/>
  <c r="Z63" i="6"/>
  <c r="V63" i="6"/>
  <c r="R63" i="6"/>
  <c r="N63" i="6"/>
  <c r="J63" i="6"/>
  <c r="I63" i="6"/>
  <c r="H63" i="6"/>
  <c r="D63" i="6"/>
  <c r="A63" i="6"/>
  <c r="AF62" i="6"/>
  <c r="AC62" i="6"/>
  <c r="AD62" i="6" s="1"/>
  <c r="Z62" i="6"/>
  <c r="V62" i="6"/>
  <c r="R62" i="6"/>
  <c r="AB62" i="6" s="1"/>
  <c r="N62" i="6"/>
  <c r="J62" i="6"/>
  <c r="I62" i="6"/>
  <c r="H62" i="6"/>
  <c r="D62" i="6"/>
  <c r="A62" i="6"/>
  <c r="AF61" i="6"/>
  <c r="AD61" i="6"/>
  <c r="AC61" i="6"/>
  <c r="Z61" i="6"/>
  <c r="V61" i="6"/>
  <c r="AB61" i="6" s="1"/>
  <c r="R61" i="6"/>
  <c r="N61" i="6"/>
  <c r="J61" i="6"/>
  <c r="I61" i="6"/>
  <c r="H61" i="6"/>
  <c r="D61" i="6"/>
  <c r="A61" i="6"/>
  <c r="AF60" i="6"/>
  <c r="AD60" i="6"/>
  <c r="AC60" i="6"/>
  <c r="Z60" i="6"/>
  <c r="V60" i="6"/>
  <c r="R60" i="6"/>
  <c r="AB60" i="6" s="1"/>
  <c r="N60" i="6"/>
  <c r="J60" i="6"/>
  <c r="I60" i="6"/>
  <c r="H60" i="6"/>
  <c r="D60" i="6"/>
  <c r="A60" i="6"/>
  <c r="AF59" i="6"/>
  <c r="AD59" i="6"/>
  <c r="AC59" i="6"/>
  <c r="Z59" i="6"/>
  <c r="V59" i="6"/>
  <c r="AB59" i="6" s="1"/>
  <c r="R59" i="6"/>
  <c r="N59" i="6"/>
  <c r="J59" i="6"/>
  <c r="I59" i="6"/>
  <c r="H59" i="6"/>
  <c r="D59" i="6"/>
  <c r="A59" i="6"/>
  <c r="AF58" i="6"/>
  <c r="AC58" i="6"/>
  <c r="AD58" i="6" s="1"/>
  <c r="Z58" i="6"/>
  <c r="V58" i="6"/>
  <c r="R58" i="6"/>
  <c r="AB58" i="6" s="1"/>
  <c r="N58" i="6"/>
  <c r="J58" i="6"/>
  <c r="I58" i="6"/>
  <c r="H58" i="6"/>
  <c r="D58" i="6"/>
  <c r="A58" i="6"/>
  <c r="AF57" i="6"/>
  <c r="AD57" i="6"/>
  <c r="AC57" i="6"/>
  <c r="AB57" i="6"/>
  <c r="Z57" i="6"/>
  <c r="V57" i="6"/>
  <c r="R57" i="6"/>
  <c r="N57" i="6"/>
  <c r="J57" i="6"/>
  <c r="I57" i="6"/>
  <c r="H57" i="6"/>
  <c r="D57" i="6"/>
  <c r="A57" i="6"/>
  <c r="AF56" i="6"/>
  <c r="AC56" i="6"/>
  <c r="AD56" i="6" s="1"/>
  <c r="Z56" i="6"/>
  <c r="V56" i="6"/>
  <c r="R56" i="6"/>
  <c r="AB56" i="6" s="1"/>
  <c r="N56" i="6"/>
  <c r="J56" i="6"/>
  <c r="I56" i="6"/>
  <c r="H56" i="6"/>
  <c r="D56" i="6"/>
  <c r="A56" i="6"/>
  <c r="AF55" i="6"/>
  <c r="AD55" i="6"/>
  <c r="AC55" i="6"/>
  <c r="Z55" i="6"/>
  <c r="V55" i="6"/>
  <c r="AB55" i="6" s="1"/>
  <c r="R55" i="6"/>
  <c r="N55" i="6"/>
  <c r="J55" i="6"/>
  <c r="I55" i="6"/>
  <c r="H55" i="6"/>
  <c r="D55" i="6"/>
  <c r="A55" i="6"/>
  <c r="AF54" i="6"/>
  <c r="AC54" i="6"/>
  <c r="AD54" i="6" s="1"/>
  <c r="Z54" i="6"/>
  <c r="V54" i="6"/>
  <c r="R54" i="6"/>
  <c r="AB54" i="6" s="1"/>
  <c r="N54" i="6"/>
  <c r="J54" i="6"/>
  <c r="I54" i="6"/>
  <c r="H54" i="6"/>
  <c r="D54" i="6"/>
  <c r="A54" i="6"/>
  <c r="AF53" i="6"/>
  <c r="AD53" i="6"/>
  <c r="AC53" i="6"/>
  <c r="Z53" i="6"/>
  <c r="V53" i="6"/>
  <c r="AB53" i="6" s="1"/>
  <c r="R53" i="6"/>
  <c r="N53" i="6"/>
  <c r="J53" i="6"/>
  <c r="I53" i="6"/>
  <c r="H53" i="6"/>
  <c r="D53" i="6"/>
  <c r="A53" i="6"/>
  <c r="AF52" i="6"/>
  <c r="AC52" i="6"/>
  <c r="AD52" i="6" s="1"/>
  <c r="Z52" i="6"/>
  <c r="V52" i="6"/>
  <c r="R52" i="6"/>
  <c r="AB52" i="6" s="1"/>
  <c r="N52" i="6"/>
  <c r="J52" i="6"/>
  <c r="I52" i="6"/>
  <c r="H52" i="6"/>
  <c r="D52" i="6"/>
  <c r="A52" i="6"/>
  <c r="AF51" i="6"/>
  <c r="AD51" i="6"/>
  <c r="AC51" i="6"/>
  <c r="AB51" i="6"/>
  <c r="Z51" i="6"/>
  <c r="V51" i="6"/>
  <c r="R51" i="6"/>
  <c r="N51" i="6"/>
  <c r="J51" i="6"/>
  <c r="I51" i="6"/>
  <c r="H51" i="6"/>
  <c r="D51" i="6"/>
  <c r="A51" i="6"/>
  <c r="AF50" i="6"/>
  <c r="AC50" i="6"/>
  <c r="AD50" i="6" s="1"/>
  <c r="Z50" i="6"/>
  <c r="V50" i="6"/>
  <c r="R50" i="6"/>
  <c r="AB50" i="6" s="1"/>
  <c r="N50" i="6"/>
  <c r="J50" i="6"/>
  <c r="I50" i="6"/>
  <c r="H50" i="6"/>
  <c r="D50" i="6"/>
  <c r="A50" i="6"/>
  <c r="AF49" i="6"/>
  <c r="AD49" i="6"/>
  <c r="AC49" i="6"/>
  <c r="Z49" i="6"/>
  <c r="V49" i="6"/>
  <c r="AB49" i="6" s="1"/>
  <c r="R49" i="6"/>
  <c r="N49" i="6"/>
  <c r="J49" i="6"/>
  <c r="I49" i="6"/>
  <c r="H49" i="6"/>
  <c r="D49" i="6"/>
  <c r="A49" i="6"/>
  <c r="AF48" i="6"/>
  <c r="AC48" i="6"/>
  <c r="AD48" i="6" s="1"/>
  <c r="Z48" i="6"/>
  <c r="V48" i="6"/>
  <c r="R48" i="6"/>
  <c r="AB48" i="6" s="1"/>
  <c r="N48" i="6"/>
  <c r="J48" i="6"/>
  <c r="I48" i="6"/>
  <c r="H48" i="6"/>
  <c r="D48" i="6"/>
  <c r="A48" i="6"/>
  <c r="AF47" i="6"/>
  <c r="AD47" i="6"/>
  <c r="AC47" i="6"/>
  <c r="Z47" i="6"/>
  <c r="V47" i="6"/>
  <c r="AB47" i="6" s="1"/>
  <c r="R47" i="6"/>
  <c r="N47" i="6"/>
  <c r="J47" i="6"/>
  <c r="I47" i="6"/>
  <c r="H47" i="6"/>
  <c r="D47" i="6"/>
  <c r="A47" i="6"/>
  <c r="AF46" i="6"/>
  <c r="AC46" i="6"/>
  <c r="AD46" i="6" s="1"/>
  <c r="Z46" i="6"/>
  <c r="V46" i="6"/>
  <c r="R46" i="6"/>
  <c r="AB46" i="6" s="1"/>
  <c r="N46" i="6"/>
  <c r="J46" i="6"/>
  <c r="I46" i="6"/>
  <c r="H46" i="6"/>
  <c r="D46" i="6"/>
  <c r="A46" i="6"/>
  <c r="AF45" i="6"/>
  <c r="AD45" i="6"/>
  <c r="AC45" i="6"/>
  <c r="AB45" i="6"/>
  <c r="Z45" i="6"/>
  <c r="V45" i="6"/>
  <c r="R45" i="6"/>
  <c r="N45" i="6"/>
  <c r="J45" i="6"/>
  <c r="I45" i="6"/>
  <c r="H45" i="6"/>
  <c r="D45" i="6"/>
  <c r="A45" i="6"/>
  <c r="AF44" i="6"/>
  <c r="AC44" i="6"/>
  <c r="AD44" i="6" s="1"/>
  <c r="Z44" i="6"/>
  <c r="V44" i="6"/>
  <c r="R44" i="6"/>
  <c r="AB44" i="6" s="1"/>
  <c r="N44" i="6"/>
  <c r="J44" i="6"/>
  <c r="I44" i="6"/>
  <c r="H44" i="6"/>
  <c r="D44" i="6"/>
  <c r="A44" i="6"/>
  <c r="AF43" i="6"/>
  <c r="AD43" i="6"/>
  <c r="AC43" i="6"/>
  <c r="Z43" i="6"/>
  <c r="V43" i="6"/>
  <c r="AB43" i="6" s="1"/>
  <c r="R43" i="6"/>
  <c r="N43" i="6"/>
  <c r="J43" i="6"/>
  <c r="I43" i="6"/>
  <c r="H43" i="6"/>
  <c r="D43" i="6"/>
  <c r="A43" i="6"/>
  <c r="AF42" i="6"/>
  <c r="AC42" i="6"/>
  <c r="AD42" i="6" s="1"/>
  <c r="Z42" i="6"/>
  <c r="V42" i="6"/>
  <c r="R42" i="6"/>
  <c r="AB42" i="6" s="1"/>
  <c r="N42" i="6"/>
  <c r="J42" i="6"/>
  <c r="I42" i="6"/>
  <c r="H42" i="6"/>
  <c r="D42" i="6"/>
  <c r="A42" i="6"/>
  <c r="AF41" i="6"/>
  <c r="AD41" i="6"/>
  <c r="AC41" i="6"/>
  <c r="Z41" i="6"/>
  <c r="V41" i="6"/>
  <c r="AB41" i="6" s="1"/>
  <c r="R41" i="6"/>
  <c r="N41" i="6"/>
  <c r="J41" i="6"/>
  <c r="I41" i="6"/>
  <c r="H41" i="6"/>
  <c r="D41" i="6"/>
  <c r="A41" i="6"/>
  <c r="AF40" i="6"/>
  <c r="AC40" i="6"/>
  <c r="AD40" i="6" s="1"/>
  <c r="Z40" i="6"/>
  <c r="V40" i="6"/>
  <c r="R40" i="6"/>
  <c r="AB40" i="6" s="1"/>
  <c r="N40" i="6"/>
  <c r="J40" i="6"/>
  <c r="I40" i="6"/>
  <c r="H40" i="6"/>
  <c r="D40" i="6"/>
  <c r="A40" i="6"/>
  <c r="AF39" i="6"/>
  <c r="AD39" i="6"/>
  <c r="AC39" i="6"/>
  <c r="AB39" i="6"/>
  <c r="Z39" i="6"/>
  <c r="V39" i="6"/>
  <c r="R39" i="6"/>
  <c r="N39" i="6"/>
  <c r="J39" i="6"/>
  <c r="I39" i="6"/>
  <c r="H39" i="6"/>
  <c r="D39" i="6"/>
  <c r="A39" i="6"/>
  <c r="AF38" i="6"/>
  <c r="AC38" i="6"/>
  <c r="AD38" i="6" s="1"/>
  <c r="Z38" i="6"/>
  <c r="V38" i="6"/>
  <c r="R38" i="6"/>
  <c r="AB38" i="6" s="1"/>
  <c r="N38" i="6"/>
  <c r="J38" i="6"/>
  <c r="I38" i="6"/>
  <c r="H38" i="6"/>
  <c r="D38" i="6"/>
  <c r="A38" i="6"/>
  <c r="AF37" i="6"/>
  <c r="AD37" i="6"/>
  <c r="AC37" i="6"/>
  <c r="Z37" i="6"/>
  <c r="V37" i="6"/>
  <c r="AB37" i="6" s="1"/>
  <c r="R37" i="6"/>
  <c r="N37" i="6"/>
  <c r="J37" i="6"/>
  <c r="I37" i="6"/>
  <c r="H37" i="6"/>
  <c r="D37" i="6"/>
  <c r="A37" i="6"/>
  <c r="AF36" i="6"/>
  <c r="AC36" i="6"/>
  <c r="AD36" i="6" s="1"/>
  <c r="Z36" i="6"/>
  <c r="V36" i="6"/>
  <c r="R36" i="6"/>
  <c r="AB36" i="6" s="1"/>
  <c r="N36" i="6"/>
  <c r="J36" i="6"/>
  <c r="I36" i="6"/>
  <c r="H36" i="6"/>
  <c r="D36" i="6"/>
  <c r="A36" i="6"/>
  <c r="AF35" i="6"/>
  <c r="AD35" i="6"/>
  <c r="AC35" i="6"/>
  <c r="Z35" i="6"/>
  <c r="V35" i="6"/>
  <c r="AB35" i="6" s="1"/>
  <c r="R35" i="6"/>
  <c r="N35" i="6"/>
  <c r="J35" i="6"/>
  <c r="I35" i="6"/>
  <c r="H35" i="6"/>
  <c r="D35" i="6"/>
  <c r="A35" i="6"/>
  <c r="AF34" i="6"/>
  <c r="AC34" i="6"/>
  <c r="AD34" i="6" s="1"/>
  <c r="Z34" i="6"/>
  <c r="V34" i="6"/>
  <c r="R34" i="6"/>
  <c r="AB34" i="6" s="1"/>
  <c r="N34" i="6"/>
  <c r="J34" i="6"/>
  <c r="I34" i="6"/>
  <c r="H34" i="6"/>
  <c r="D34" i="6"/>
  <c r="A34" i="6"/>
  <c r="AF33" i="6"/>
  <c r="AD33" i="6"/>
  <c r="AC33" i="6"/>
  <c r="AB33" i="6"/>
  <c r="Z33" i="6"/>
  <c r="V33" i="6"/>
  <c r="R33" i="6"/>
  <c r="N33" i="6"/>
  <c r="J33" i="6"/>
  <c r="I33" i="6"/>
  <c r="H33" i="6"/>
  <c r="D33" i="6"/>
  <c r="A33" i="6"/>
  <c r="AF32" i="6"/>
  <c r="AC32" i="6"/>
  <c r="AD32" i="6" s="1"/>
  <c r="Z32" i="6"/>
  <c r="V32" i="6"/>
  <c r="R32" i="6"/>
  <c r="AB32" i="6" s="1"/>
  <c r="N32" i="6"/>
  <c r="J32" i="6"/>
  <c r="I32" i="6"/>
  <c r="H32" i="6"/>
  <c r="D32" i="6"/>
  <c r="A32" i="6"/>
  <c r="AF31" i="6"/>
  <c r="AD31" i="6"/>
  <c r="AC31" i="6"/>
  <c r="Z31" i="6"/>
  <c r="V31" i="6"/>
  <c r="AB31" i="6" s="1"/>
  <c r="R31" i="6"/>
  <c r="N31" i="6"/>
  <c r="J31" i="6"/>
  <c r="I31" i="6"/>
  <c r="H31" i="6"/>
  <c r="D31" i="6"/>
  <c r="A31" i="6"/>
  <c r="AF30" i="6"/>
  <c r="AC30" i="6"/>
  <c r="AD30" i="6" s="1"/>
  <c r="Z30" i="6"/>
  <c r="V30" i="6"/>
  <c r="R30" i="6"/>
  <c r="AB30" i="6" s="1"/>
  <c r="N30" i="6"/>
  <c r="J30" i="6"/>
  <c r="I30" i="6"/>
  <c r="H30" i="6"/>
  <c r="D30" i="6"/>
  <c r="A30" i="6"/>
  <c r="AF29" i="6"/>
  <c r="AD29" i="6"/>
  <c r="AC29" i="6"/>
  <c r="Z29" i="6"/>
  <c r="V29" i="6"/>
  <c r="AB29" i="6" s="1"/>
  <c r="R29" i="6"/>
  <c r="N29" i="6"/>
  <c r="J29" i="6"/>
  <c r="I29" i="6"/>
  <c r="H29" i="6"/>
  <c r="D29" i="6"/>
  <c r="A29" i="6"/>
  <c r="AF28" i="6"/>
  <c r="AC28" i="6"/>
  <c r="AD28" i="6" s="1"/>
  <c r="Z28" i="6"/>
  <c r="V28" i="6"/>
  <c r="R28" i="6"/>
  <c r="AB28" i="6" s="1"/>
  <c r="N28" i="6"/>
  <c r="J28" i="6"/>
  <c r="I28" i="6"/>
  <c r="H28" i="6"/>
  <c r="D28" i="6"/>
  <c r="A28" i="6"/>
  <c r="AF27" i="6"/>
  <c r="AD27" i="6"/>
  <c r="AC27" i="6"/>
  <c r="AB27" i="6"/>
  <c r="Z27" i="6"/>
  <c r="V27" i="6"/>
  <c r="R27" i="6"/>
  <c r="N27" i="6"/>
  <c r="J27" i="6"/>
  <c r="I27" i="6"/>
  <c r="H27" i="6"/>
  <c r="D27" i="6"/>
  <c r="A27" i="6"/>
  <c r="AF26" i="6"/>
  <c r="AC26" i="6"/>
  <c r="AD26" i="6" s="1"/>
  <c r="Z26" i="6"/>
  <c r="V26" i="6"/>
  <c r="R26" i="6"/>
  <c r="AB26" i="6" s="1"/>
  <c r="N26" i="6"/>
  <c r="J26" i="6"/>
  <c r="I26" i="6"/>
  <c r="H26" i="6"/>
  <c r="D26" i="6"/>
  <c r="A26" i="6"/>
  <c r="AF25" i="6"/>
  <c r="AD25" i="6"/>
  <c r="AC25" i="6"/>
  <c r="Z25" i="6"/>
  <c r="V25" i="6"/>
  <c r="AB25" i="6" s="1"/>
  <c r="R25" i="6"/>
  <c r="N25" i="6"/>
  <c r="J25" i="6"/>
  <c r="I25" i="6"/>
  <c r="H25" i="6"/>
  <c r="D25" i="6"/>
  <c r="A25" i="6"/>
  <c r="AF24" i="6"/>
  <c r="AC24" i="6"/>
  <c r="AD24" i="6" s="1"/>
  <c r="Z24" i="6"/>
  <c r="V24" i="6"/>
  <c r="R24" i="6"/>
  <c r="AB24" i="6" s="1"/>
  <c r="N24" i="6"/>
  <c r="J24" i="6"/>
  <c r="I24" i="6"/>
  <c r="H24" i="6"/>
  <c r="D24" i="6"/>
  <c r="A24" i="6"/>
  <c r="AF23" i="6"/>
  <c r="AD23" i="6"/>
  <c r="AC23" i="6"/>
  <c r="Z23" i="6"/>
  <c r="V23" i="6"/>
  <c r="AB23" i="6" s="1"/>
  <c r="R23" i="6"/>
  <c r="N23" i="6"/>
  <c r="J23" i="6"/>
  <c r="I23" i="6"/>
  <c r="H23" i="6"/>
  <c r="D23" i="6"/>
  <c r="A23" i="6"/>
  <c r="AF22" i="6"/>
  <c r="AC22" i="6"/>
  <c r="AD22" i="6" s="1"/>
  <c r="Z22" i="6"/>
  <c r="V22" i="6"/>
  <c r="R22" i="6"/>
  <c r="AB22" i="6" s="1"/>
  <c r="N22" i="6"/>
  <c r="J22" i="6"/>
  <c r="I22" i="6"/>
  <c r="H22" i="6"/>
  <c r="D22" i="6"/>
  <c r="A22" i="6"/>
  <c r="AF21" i="6"/>
  <c r="AD21" i="6"/>
  <c r="AC21" i="6"/>
  <c r="AB21" i="6"/>
  <c r="Z21" i="6"/>
  <c r="V21" i="6"/>
  <c r="R21" i="6"/>
  <c r="N21" i="6"/>
  <c r="J21" i="6"/>
  <c r="I21" i="6"/>
  <c r="H21" i="6"/>
  <c r="D21" i="6"/>
  <c r="A21" i="6"/>
  <c r="AF20" i="6"/>
  <c r="AC20" i="6"/>
  <c r="AD20" i="6" s="1"/>
  <c r="Z20" i="6"/>
  <c r="V20" i="6"/>
  <c r="R20" i="6"/>
  <c r="AB20" i="6" s="1"/>
  <c r="N20" i="6"/>
  <c r="J20" i="6"/>
  <c r="I20" i="6"/>
  <c r="H20" i="6"/>
  <c r="D20" i="6"/>
  <c r="A20" i="6"/>
  <c r="AF19" i="6"/>
  <c r="AD19" i="6"/>
  <c r="AC19" i="6"/>
  <c r="Z19" i="6"/>
  <c r="V19" i="6"/>
  <c r="AB19" i="6" s="1"/>
  <c r="R19" i="6"/>
  <c r="N19" i="6"/>
  <c r="J19" i="6"/>
  <c r="I19" i="6"/>
  <c r="H19" i="6"/>
  <c r="D19" i="6"/>
  <c r="A19" i="6"/>
  <c r="AF18" i="6"/>
  <c r="AC18" i="6"/>
  <c r="AD18" i="6" s="1"/>
  <c r="Z18" i="6"/>
  <c r="V18" i="6"/>
  <c r="R18" i="6"/>
  <c r="AB18" i="6" s="1"/>
  <c r="N18" i="6"/>
  <c r="J18" i="6"/>
  <c r="I18" i="6"/>
  <c r="H18" i="6"/>
  <c r="D18" i="6"/>
  <c r="A18" i="6"/>
  <c r="AF17" i="6"/>
  <c r="AD17" i="6"/>
  <c r="AC17" i="6"/>
  <c r="Z17" i="6"/>
  <c r="V17" i="6"/>
  <c r="AB17" i="6" s="1"/>
  <c r="R17" i="6"/>
  <c r="N17" i="6"/>
  <c r="J17" i="6"/>
  <c r="I17" i="6"/>
  <c r="H17" i="6"/>
  <c r="D17" i="6"/>
  <c r="A17" i="6"/>
  <c r="AF16" i="6"/>
  <c r="Z16" i="6"/>
  <c r="V16" i="6"/>
  <c r="R16" i="6"/>
  <c r="AB16" i="6" s="1"/>
  <c r="AC16" i="6" s="1"/>
  <c r="AD16" i="6" s="1"/>
  <c r="N16" i="6"/>
  <c r="J16" i="6"/>
  <c r="I16" i="6"/>
  <c r="H16" i="6"/>
  <c r="D16" i="6"/>
  <c r="A16" i="6"/>
  <c r="AF15" i="6"/>
  <c r="Z15" i="6"/>
  <c r="V15" i="6"/>
  <c r="AB15" i="6" s="1"/>
  <c r="AC15" i="6" s="1"/>
  <c r="AD15" i="6" s="1"/>
  <c r="R15" i="6"/>
  <c r="N15" i="6"/>
  <c r="J15" i="6"/>
  <c r="I15" i="6"/>
  <c r="H15" i="6"/>
  <c r="D15" i="6"/>
  <c r="A15" i="6"/>
  <c r="AF14" i="6"/>
  <c r="Z14" i="6"/>
  <c r="V14" i="6"/>
  <c r="R14" i="6"/>
  <c r="AB14" i="6" s="1"/>
  <c r="AC14" i="6" s="1"/>
  <c r="AD14" i="6" s="1"/>
  <c r="N14" i="6"/>
  <c r="J14" i="6"/>
  <c r="I14" i="6"/>
  <c r="H14" i="6"/>
  <c r="D14" i="6"/>
  <c r="A14" i="6"/>
  <c r="AF13" i="6"/>
  <c r="Z13" i="6"/>
  <c r="V13" i="6"/>
  <c r="AB13" i="6" s="1"/>
  <c r="AC13" i="6" s="1"/>
  <c r="AD13" i="6" s="1"/>
  <c r="R13" i="6"/>
  <c r="N13" i="6"/>
  <c r="J13" i="6"/>
  <c r="I13" i="6"/>
  <c r="H13" i="6"/>
  <c r="D13" i="6"/>
  <c r="A13" i="6"/>
  <c r="AF12" i="6"/>
  <c r="Z12" i="6"/>
  <c r="V12" i="6"/>
  <c r="R12" i="6"/>
  <c r="AB12" i="6" s="1"/>
  <c r="AC12" i="6" s="1"/>
  <c r="N12" i="6"/>
  <c r="J12" i="6"/>
  <c r="I12" i="6"/>
  <c r="H12" i="6"/>
  <c r="D12" i="6"/>
  <c r="A12" i="6"/>
  <c r="AF11" i="6"/>
  <c r="AB11" i="6"/>
  <c r="AC11" i="6" s="1"/>
  <c r="Z11" i="6"/>
  <c r="V11" i="6"/>
  <c r="R11" i="6"/>
  <c r="N11" i="6"/>
  <c r="J11" i="6"/>
  <c r="I11" i="6"/>
  <c r="H11" i="6"/>
  <c r="D11" i="6"/>
  <c r="A11" i="6"/>
  <c r="AF10" i="6"/>
  <c r="Z10" i="6"/>
  <c r="V10" i="6"/>
  <c r="R10" i="6"/>
  <c r="AB10" i="6" s="1"/>
  <c r="AC10" i="6" s="1"/>
  <c r="AD10" i="6" s="1"/>
  <c r="N10" i="6"/>
  <c r="J10" i="6"/>
  <c r="I10" i="6"/>
  <c r="H10" i="6"/>
  <c r="D10" i="6"/>
  <c r="A10" i="6"/>
  <c r="AF9" i="6"/>
  <c r="AB9" i="6"/>
  <c r="AC9" i="6" s="1"/>
  <c r="AD9" i="6" s="1"/>
  <c r="Z9" i="6"/>
  <c r="V9" i="6"/>
  <c r="R9" i="6"/>
  <c r="N9" i="6"/>
  <c r="J9" i="6"/>
  <c r="I9" i="6"/>
  <c r="H9" i="6"/>
  <c r="D9" i="6"/>
  <c r="A9" i="6"/>
  <c r="AF8" i="6"/>
  <c r="Z8" i="6"/>
  <c r="V8" i="6"/>
  <c r="R8" i="6"/>
  <c r="AB8" i="6" s="1"/>
  <c r="AC8" i="6" s="1"/>
  <c r="AD8" i="6" s="1"/>
  <c r="N8" i="6"/>
  <c r="J8" i="6"/>
  <c r="I8" i="6"/>
  <c r="H8" i="6"/>
  <c r="D8" i="6"/>
  <c r="A8" i="6"/>
  <c r="AF7" i="6"/>
  <c r="Z7" i="6"/>
  <c r="V7" i="6"/>
  <c r="AB7" i="6" s="1"/>
  <c r="AC7" i="6" s="1"/>
  <c r="R7" i="6"/>
  <c r="N7" i="6"/>
  <c r="J7" i="6"/>
  <c r="I7" i="6"/>
  <c r="H7" i="6"/>
  <c r="D7" i="6"/>
  <c r="A7" i="6"/>
  <c r="AF6" i="6"/>
  <c r="Z6" i="6"/>
  <c r="V6" i="6"/>
  <c r="R6" i="6"/>
  <c r="AB6" i="6" s="1"/>
  <c r="AC6" i="6" s="1"/>
  <c r="N6" i="6"/>
  <c r="J6" i="6"/>
  <c r="I6" i="6"/>
  <c r="H6" i="6"/>
  <c r="D6" i="6"/>
  <c r="A6" i="6"/>
  <c r="AF5" i="6"/>
  <c r="AB5" i="6"/>
  <c r="AC5" i="6" s="1"/>
  <c r="AD5" i="6" s="1"/>
  <c r="Z5" i="6"/>
  <c r="V5" i="6"/>
  <c r="R5" i="6"/>
  <c r="N5" i="6"/>
  <c r="J5" i="6"/>
  <c r="I5" i="6"/>
  <c r="H5" i="6"/>
  <c r="D5" i="6"/>
  <c r="A5" i="6"/>
  <c r="AF4" i="6"/>
  <c r="Z4" i="6"/>
  <c r="V4" i="6"/>
  <c r="R4" i="6"/>
  <c r="AB4" i="6" s="1"/>
  <c r="AC4" i="6" s="1"/>
  <c r="AD4" i="6" s="1"/>
  <c r="N4" i="6"/>
  <c r="J4" i="6"/>
  <c r="I4" i="6"/>
  <c r="H4" i="6"/>
  <c r="D4" i="6"/>
  <c r="A4" i="6"/>
  <c r="AF3" i="6"/>
  <c r="AB3" i="6"/>
  <c r="AC3" i="6" s="1"/>
  <c r="AD3" i="6" s="1"/>
  <c r="Z3" i="6"/>
  <c r="V3" i="6"/>
  <c r="R3" i="6"/>
  <c r="N3" i="6"/>
  <c r="J3" i="6"/>
  <c r="I3" i="6"/>
  <c r="H3" i="6"/>
  <c r="D3" i="6"/>
  <c r="A3" i="6"/>
  <c r="AF2" i="6"/>
  <c r="Z2" i="6"/>
  <c r="V2" i="6"/>
  <c r="R2" i="6"/>
  <c r="AB2" i="6" s="1"/>
  <c r="AC2" i="6" s="1"/>
  <c r="N2" i="6"/>
  <c r="J2" i="6"/>
  <c r="I2" i="6"/>
  <c r="H2" i="6"/>
  <c r="D2" i="6"/>
  <c r="A2" i="6"/>
  <c r="V500" i="5"/>
  <c r="U500" i="5"/>
  <c r="T500" i="5"/>
  <c r="Q500" i="5"/>
  <c r="R500" i="5" s="1"/>
  <c r="S500" i="5" s="1"/>
  <c r="O500" i="5"/>
  <c r="L500" i="5"/>
  <c r="K500" i="5"/>
  <c r="J500" i="5"/>
  <c r="F500" i="5"/>
  <c r="E500" i="5"/>
  <c r="D500" i="5"/>
  <c r="A500" i="5"/>
  <c r="V499" i="5"/>
  <c r="U499" i="5"/>
  <c r="T499" i="5"/>
  <c r="Q499" i="5"/>
  <c r="R499" i="5" s="1"/>
  <c r="S499" i="5" s="1"/>
  <c r="O499" i="5"/>
  <c r="K499" i="5"/>
  <c r="J499" i="5"/>
  <c r="L499" i="5" s="1"/>
  <c r="F499" i="5"/>
  <c r="E499" i="5"/>
  <c r="D499" i="5"/>
  <c r="A499" i="5"/>
  <c r="V498" i="5"/>
  <c r="U498" i="5"/>
  <c r="T498" i="5"/>
  <c r="Q498" i="5"/>
  <c r="R498" i="5" s="1"/>
  <c r="S498" i="5" s="1"/>
  <c r="O498" i="5"/>
  <c r="L498" i="5"/>
  <c r="K498" i="5"/>
  <c r="J498" i="5"/>
  <c r="F498" i="5"/>
  <c r="E498" i="5"/>
  <c r="D498" i="5"/>
  <c r="A498" i="5"/>
  <c r="V497" i="5"/>
  <c r="U497" i="5"/>
  <c r="T497" i="5"/>
  <c r="Q497" i="5"/>
  <c r="R497" i="5" s="1"/>
  <c r="S497" i="5" s="1"/>
  <c r="O497" i="5"/>
  <c r="L497" i="5"/>
  <c r="K497" i="5"/>
  <c r="J497" i="5"/>
  <c r="F497" i="5"/>
  <c r="E497" i="5"/>
  <c r="D497" i="5"/>
  <c r="A497" i="5"/>
  <c r="V496" i="5"/>
  <c r="U496" i="5"/>
  <c r="T496" i="5"/>
  <c r="Q496" i="5"/>
  <c r="R496" i="5" s="1"/>
  <c r="S496" i="5" s="1"/>
  <c r="O496" i="5"/>
  <c r="K496" i="5"/>
  <c r="J496" i="5"/>
  <c r="L496" i="5" s="1"/>
  <c r="F496" i="5"/>
  <c r="E496" i="5"/>
  <c r="D496" i="5"/>
  <c r="A496" i="5"/>
  <c r="V495" i="5"/>
  <c r="U495" i="5"/>
  <c r="T495" i="5"/>
  <c r="Q495" i="5"/>
  <c r="R495" i="5" s="1"/>
  <c r="S495" i="5" s="1"/>
  <c r="O495" i="5"/>
  <c r="L495" i="5"/>
  <c r="K495" i="5"/>
  <c r="J495" i="5"/>
  <c r="F495" i="5"/>
  <c r="E495" i="5"/>
  <c r="D495" i="5"/>
  <c r="A495" i="5"/>
  <c r="V494" i="5"/>
  <c r="U494" i="5"/>
  <c r="T494" i="5"/>
  <c r="Q494" i="5"/>
  <c r="R494" i="5" s="1"/>
  <c r="S494" i="5" s="1"/>
  <c r="O494" i="5"/>
  <c r="L494" i="5"/>
  <c r="K494" i="5"/>
  <c r="J494" i="5"/>
  <c r="F494" i="5"/>
  <c r="E494" i="5"/>
  <c r="D494" i="5"/>
  <c r="A494" i="5"/>
  <c r="V493" i="5"/>
  <c r="U493" i="5"/>
  <c r="T493" i="5"/>
  <c r="Q493" i="5"/>
  <c r="R493" i="5" s="1"/>
  <c r="S493" i="5" s="1"/>
  <c r="O493" i="5"/>
  <c r="K493" i="5"/>
  <c r="J493" i="5"/>
  <c r="L493" i="5" s="1"/>
  <c r="F493" i="5"/>
  <c r="E493" i="5"/>
  <c r="D493" i="5"/>
  <c r="A493" i="5"/>
  <c r="V492" i="5"/>
  <c r="U492" i="5"/>
  <c r="T492" i="5"/>
  <c r="Q492" i="5"/>
  <c r="R492" i="5" s="1"/>
  <c r="S492" i="5" s="1"/>
  <c r="O492" i="5"/>
  <c r="L492" i="5"/>
  <c r="K492" i="5"/>
  <c r="J492" i="5"/>
  <c r="F492" i="5"/>
  <c r="E492" i="5"/>
  <c r="D492" i="5"/>
  <c r="A492" i="5"/>
  <c r="V491" i="5"/>
  <c r="U491" i="5"/>
  <c r="T491" i="5"/>
  <c r="Q491" i="5"/>
  <c r="R491" i="5" s="1"/>
  <c r="S491" i="5" s="1"/>
  <c r="O491" i="5"/>
  <c r="L491" i="5"/>
  <c r="K491" i="5"/>
  <c r="J491" i="5"/>
  <c r="F491" i="5"/>
  <c r="E491" i="5"/>
  <c r="D491" i="5"/>
  <c r="A491" i="5"/>
  <c r="V490" i="5"/>
  <c r="U490" i="5"/>
  <c r="T490" i="5"/>
  <c r="Q490" i="5"/>
  <c r="R490" i="5" s="1"/>
  <c r="S490" i="5" s="1"/>
  <c r="O490" i="5"/>
  <c r="K490" i="5"/>
  <c r="J490" i="5"/>
  <c r="L490" i="5" s="1"/>
  <c r="F490" i="5"/>
  <c r="E490" i="5"/>
  <c r="D490" i="5"/>
  <c r="A490" i="5"/>
  <c r="V489" i="5"/>
  <c r="U489" i="5"/>
  <c r="T489" i="5"/>
  <c r="Q489" i="5"/>
  <c r="R489" i="5" s="1"/>
  <c r="S489" i="5" s="1"/>
  <c r="O489" i="5"/>
  <c r="L489" i="5"/>
  <c r="K489" i="5"/>
  <c r="J489" i="5"/>
  <c r="F489" i="5"/>
  <c r="E489" i="5"/>
  <c r="D489" i="5"/>
  <c r="A489" i="5"/>
  <c r="V488" i="5"/>
  <c r="U488" i="5"/>
  <c r="T488" i="5"/>
  <c r="Q488" i="5"/>
  <c r="R488" i="5" s="1"/>
  <c r="S488" i="5" s="1"/>
  <c r="O488" i="5"/>
  <c r="L488" i="5"/>
  <c r="K488" i="5"/>
  <c r="J488" i="5"/>
  <c r="F488" i="5"/>
  <c r="E488" i="5"/>
  <c r="D488" i="5"/>
  <c r="A488" i="5"/>
  <c r="V487" i="5"/>
  <c r="U487" i="5"/>
  <c r="T487" i="5"/>
  <c r="Q487" i="5"/>
  <c r="R487" i="5" s="1"/>
  <c r="S487" i="5" s="1"/>
  <c r="O487" i="5"/>
  <c r="K487" i="5"/>
  <c r="J487" i="5"/>
  <c r="L487" i="5" s="1"/>
  <c r="F487" i="5"/>
  <c r="E487" i="5"/>
  <c r="D487" i="5"/>
  <c r="A487" i="5"/>
  <c r="V486" i="5"/>
  <c r="U486" i="5"/>
  <c r="T486" i="5"/>
  <c r="Q486" i="5"/>
  <c r="R486" i="5" s="1"/>
  <c r="S486" i="5" s="1"/>
  <c r="O486" i="5"/>
  <c r="L486" i="5"/>
  <c r="K486" i="5"/>
  <c r="J486" i="5"/>
  <c r="F486" i="5"/>
  <c r="E486" i="5"/>
  <c r="D486" i="5"/>
  <c r="A486" i="5"/>
  <c r="V485" i="5"/>
  <c r="U485" i="5"/>
  <c r="T485" i="5"/>
  <c r="Q485" i="5"/>
  <c r="R485" i="5" s="1"/>
  <c r="S485" i="5" s="1"/>
  <c r="O485" i="5"/>
  <c r="L485" i="5"/>
  <c r="K485" i="5"/>
  <c r="J485" i="5"/>
  <c r="F485" i="5"/>
  <c r="E485" i="5"/>
  <c r="D485" i="5"/>
  <c r="A485" i="5"/>
  <c r="V484" i="5"/>
  <c r="U484" i="5"/>
  <c r="T484" i="5"/>
  <c r="Q484" i="5"/>
  <c r="R484" i="5" s="1"/>
  <c r="S484" i="5" s="1"/>
  <c r="O484" i="5"/>
  <c r="K484" i="5"/>
  <c r="J484" i="5"/>
  <c r="L484" i="5" s="1"/>
  <c r="F484" i="5"/>
  <c r="E484" i="5"/>
  <c r="D484" i="5"/>
  <c r="A484" i="5"/>
  <c r="V483" i="5"/>
  <c r="U483" i="5"/>
  <c r="T483" i="5"/>
  <c r="Q483" i="5"/>
  <c r="R483" i="5" s="1"/>
  <c r="S483" i="5" s="1"/>
  <c r="O483" i="5"/>
  <c r="L483" i="5"/>
  <c r="K483" i="5"/>
  <c r="J483" i="5"/>
  <c r="F483" i="5"/>
  <c r="E483" i="5"/>
  <c r="D483" i="5"/>
  <c r="A483" i="5"/>
  <c r="V482" i="5"/>
  <c r="U482" i="5"/>
  <c r="T482" i="5"/>
  <c r="Q482" i="5"/>
  <c r="R482" i="5" s="1"/>
  <c r="S482" i="5" s="1"/>
  <c r="O482" i="5"/>
  <c r="L482" i="5"/>
  <c r="K482" i="5"/>
  <c r="J482" i="5"/>
  <c r="F482" i="5"/>
  <c r="E482" i="5"/>
  <c r="D482" i="5"/>
  <c r="A482" i="5"/>
  <c r="V481" i="5"/>
  <c r="U481" i="5"/>
  <c r="T481" i="5"/>
  <c r="Q481" i="5"/>
  <c r="R481" i="5" s="1"/>
  <c r="S481" i="5" s="1"/>
  <c r="O481" i="5"/>
  <c r="K481" i="5"/>
  <c r="J481" i="5"/>
  <c r="L481" i="5" s="1"/>
  <c r="F481" i="5"/>
  <c r="E481" i="5"/>
  <c r="D481" i="5"/>
  <c r="A481" i="5"/>
  <c r="V480" i="5"/>
  <c r="U480" i="5"/>
  <c r="T480" i="5"/>
  <c r="Q480" i="5"/>
  <c r="R480" i="5" s="1"/>
  <c r="S480" i="5" s="1"/>
  <c r="O480" i="5"/>
  <c r="L480" i="5"/>
  <c r="K480" i="5"/>
  <c r="J480" i="5"/>
  <c r="F480" i="5"/>
  <c r="E480" i="5"/>
  <c r="D480" i="5"/>
  <c r="A480" i="5"/>
  <c r="V479" i="5"/>
  <c r="U479" i="5"/>
  <c r="T479" i="5"/>
  <c r="Q479" i="5"/>
  <c r="R479" i="5" s="1"/>
  <c r="S479" i="5" s="1"/>
  <c r="O479" i="5"/>
  <c r="L479" i="5"/>
  <c r="K479" i="5"/>
  <c r="J479" i="5"/>
  <c r="F479" i="5"/>
  <c r="E479" i="5"/>
  <c r="D479" i="5"/>
  <c r="A479" i="5"/>
  <c r="V478" i="5"/>
  <c r="U478" i="5"/>
  <c r="T478" i="5"/>
  <c r="Q478" i="5"/>
  <c r="R478" i="5" s="1"/>
  <c r="S478" i="5" s="1"/>
  <c r="O478" i="5"/>
  <c r="K478" i="5"/>
  <c r="J478" i="5"/>
  <c r="L478" i="5" s="1"/>
  <c r="F478" i="5"/>
  <c r="E478" i="5"/>
  <c r="D478" i="5"/>
  <c r="A478" i="5"/>
  <c r="V477" i="5"/>
  <c r="U477" i="5"/>
  <c r="T477" i="5"/>
  <c r="Q477" i="5"/>
  <c r="R477" i="5" s="1"/>
  <c r="S477" i="5" s="1"/>
  <c r="O477" i="5"/>
  <c r="L477" i="5"/>
  <c r="K477" i="5"/>
  <c r="J477" i="5"/>
  <c r="F477" i="5"/>
  <c r="E477" i="5"/>
  <c r="D477" i="5"/>
  <c r="A477" i="5"/>
  <c r="V476" i="5"/>
  <c r="U476" i="5"/>
  <c r="T476" i="5"/>
  <c r="Q476" i="5"/>
  <c r="R476" i="5" s="1"/>
  <c r="S476" i="5" s="1"/>
  <c r="O476" i="5"/>
  <c r="L476" i="5"/>
  <c r="K476" i="5"/>
  <c r="J476" i="5"/>
  <c r="F476" i="5"/>
  <c r="E476" i="5"/>
  <c r="D476" i="5"/>
  <c r="A476" i="5"/>
  <c r="V475" i="5"/>
  <c r="U475" i="5"/>
  <c r="T475" i="5"/>
  <c r="Q475" i="5"/>
  <c r="R475" i="5" s="1"/>
  <c r="S475" i="5" s="1"/>
  <c r="O475" i="5"/>
  <c r="K475" i="5"/>
  <c r="J475" i="5"/>
  <c r="L475" i="5" s="1"/>
  <c r="F475" i="5"/>
  <c r="E475" i="5"/>
  <c r="D475" i="5"/>
  <c r="A475" i="5"/>
  <c r="V474" i="5"/>
  <c r="U474" i="5"/>
  <c r="T474" i="5"/>
  <c r="Q474" i="5"/>
  <c r="R474" i="5" s="1"/>
  <c r="S474" i="5" s="1"/>
  <c r="O474" i="5"/>
  <c r="L474" i="5"/>
  <c r="K474" i="5"/>
  <c r="J474" i="5"/>
  <c r="F474" i="5"/>
  <c r="E474" i="5"/>
  <c r="D474" i="5"/>
  <c r="A474" i="5"/>
  <c r="V473" i="5"/>
  <c r="U473" i="5"/>
  <c r="T473" i="5"/>
  <c r="Q473" i="5"/>
  <c r="R473" i="5" s="1"/>
  <c r="S473" i="5" s="1"/>
  <c r="O473" i="5"/>
  <c r="L473" i="5"/>
  <c r="K473" i="5"/>
  <c r="J473" i="5"/>
  <c r="F473" i="5"/>
  <c r="E473" i="5"/>
  <c r="D473" i="5"/>
  <c r="A473" i="5"/>
  <c r="V472" i="5"/>
  <c r="U472" i="5"/>
  <c r="T472" i="5"/>
  <c r="Q472" i="5"/>
  <c r="R472" i="5" s="1"/>
  <c r="S472" i="5" s="1"/>
  <c r="O472" i="5"/>
  <c r="K472" i="5"/>
  <c r="J472" i="5"/>
  <c r="L472" i="5" s="1"/>
  <c r="F472" i="5"/>
  <c r="E472" i="5"/>
  <c r="D472" i="5"/>
  <c r="A472" i="5"/>
  <c r="V471" i="5"/>
  <c r="U471" i="5"/>
  <c r="T471" i="5"/>
  <c r="Q471" i="5"/>
  <c r="R471" i="5" s="1"/>
  <c r="S471" i="5" s="1"/>
  <c r="O471" i="5"/>
  <c r="L471" i="5"/>
  <c r="K471" i="5"/>
  <c r="J471" i="5"/>
  <c r="F471" i="5"/>
  <c r="E471" i="5"/>
  <c r="D471" i="5"/>
  <c r="A471" i="5"/>
  <c r="V470" i="5"/>
  <c r="U470" i="5"/>
  <c r="T470" i="5"/>
  <c r="Q470" i="5"/>
  <c r="R470" i="5" s="1"/>
  <c r="S470" i="5" s="1"/>
  <c r="O470" i="5"/>
  <c r="L470" i="5"/>
  <c r="K470" i="5"/>
  <c r="J470" i="5"/>
  <c r="F470" i="5"/>
  <c r="E470" i="5"/>
  <c r="D470" i="5"/>
  <c r="A470" i="5"/>
  <c r="V469" i="5"/>
  <c r="U469" i="5"/>
  <c r="T469" i="5"/>
  <c r="Q469" i="5"/>
  <c r="R469" i="5" s="1"/>
  <c r="S469" i="5" s="1"/>
  <c r="O469" i="5"/>
  <c r="K469" i="5"/>
  <c r="J469" i="5"/>
  <c r="L469" i="5" s="1"/>
  <c r="F469" i="5"/>
  <c r="E469" i="5"/>
  <c r="D469" i="5"/>
  <c r="A469" i="5"/>
  <c r="V468" i="5"/>
  <c r="U468" i="5"/>
  <c r="T468" i="5"/>
  <c r="Q468" i="5"/>
  <c r="R468" i="5" s="1"/>
  <c r="S468" i="5" s="1"/>
  <c r="O468" i="5"/>
  <c r="L468" i="5"/>
  <c r="K468" i="5"/>
  <c r="J468" i="5"/>
  <c r="F468" i="5"/>
  <c r="E468" i="5"/>
  <c r="D468" i="5"/>
  <c r="A468" i="5"/>
  <c r="V467" i="5"/>
  <c r="U467" i="5"/>
  <c r="T467" i="5"/>
  <c r="Q467" i="5"/>
  <c r="R467" i="5" s="1"/>
  <c r="S467" i="5" s="1"/>
  <c r="O467" i="5"/>
  <c r="L467" i="5"/>
  <c r="K467" i="5"/>
  <c r="J467" i="5"/>
  <c r="F467" i="5"/>
  <c r="E467" i="5"/>
  <c r="D467" i="5"/>
  <c r="A467" i="5"/>
  <c r="V466" i="5"/>
  <c r="U466" i="5"/>
  <c r="T466" i="5"/>
  <c r="Q466" i="5"/>
  <c r="R466" i="5" s="1"/>
  <c r="S466" i="5" s="1"/>
  <c r="O466" i="5"/>
  <c r="K466" i="5"/>
  <c r="J466" i="5"/>
  <c r="L466" i="5" s="1"/>
  <c r="F466" i="5"/>
  <c r="E466" i="5"/>
  <c r="D466" i="5"/>
  <c r="A466" i="5"/>
  <c r="V465" i="5"/>
  <c r="U465" i="5"/>
  <c r="T465" i="5"/>
  <c r="Q465" i="5"/>
  <c r="R465" i="5" s="1"/>
  <c r="S465" i="5" s="1"/>
  <c r="O465" i="5"/>
  <c r="L465" i="5"/>
  <c r="K465" i="5"/>
  <c r="J465" i="5"/>
  <c r="F465" i="5"/>
  <c r="E465" i="5"/>
  <c r="D465" i="5"/>
  <c r="A465" i="5"/>
  <c r="V464" i="5"/>
  <c r="U464" i="5"/>
  <c r="T464" i="5"/>
  <c r="Q464" i="5"/>
  <c r="R464" i="5" s="1"/>
  <c r="S464" i="5" s="1"/>
  <c r="O464" i="5"/>
  <c r="L464" i="5"/>
  <c r="K464" i="5"/>
  <c r="J464" i="5"/>
  <c r="F464" i="5"/>
  <c r="E464" i="5"/>
  <c r="D464" i="5"/>
  <c r="A464" i="5"/>
  <c r="V463" i="5"/>
  <c r="U463" i="5"/>
  <c r="T463" i="5"/>
  <c r="Q463" i="5"/>
  <c r="R463" i="5" s="1"/>
  <c r="S463" i="5" s="1"/>
  <c r="O463" i="5"/>
  <c r="K463" i="5"/>
  <c r="J463" i="5"/>
  <c r="L463" i="5" s="1"/>
  <c r="F463" i="5"/>
  <c r="E463" i="5"/>
  <c r="D463" i="5"/>
  <c r="A463" i="5"/>
  <c r="V462" i="5"/>
  <c r="U462" i="5"/>
  <c r="T462" i="5"/>
  <c r="Q462" i="5"/>
  <c r="R462" i="5" s="1"/>
  <c r="S462" i="5" s="1"/>
  <c r="O462" i="5"/>
  <c r="L462" i="5"/>
  <c r="K462" i="5"/>
  <c r="J462" i="5"/>
  <c r="F462" i="5"/>
  <c r="E462" i="5"/>
  <c r="D462" i="5"/>
  <c r="A462" i="5"/>
  <c r="V461" i="5"/>
  <c r="U461" i="5"/>
  <c r="T461" i="5"/>
  <c r="Q461" i="5"/>
  <c r="R461" i="5" s="1"/>
  <c r="S461" i="5" s="1"/>
  <c r="O461" i="5"/>
  <c r="L461" i="5"/>
  <c r="K461" i="5"/>
  <c r="J461" i="5"/>
  <c r="F461" i="5"/>
  <c r="E461" i="5"/>
  <c r="D461" i="5"/>
  <c r="A461" i="5"/>
  <c r="V460" i="5"/>
  <c r="U460" i="5"/>
  <c r="T460" i="5"/>
  <c r="Q460" i="5"/>
  <c r="R460" i="5" s="1"/>
  <c r="S460" i="5" s="1"/>
  <c r="O460" i="5"/>
  <c r="K460" i="5"/>
  <c r="J460" i="5"/>
  <c r="L460" i="5" s="1"/>
  <c r="F460" i="5"/>
  <c r="E460" i="5"/>
  <c r="D460" i="5"/>
  <c r="A460" i="5"/>
  <c r="V459" i="5"/>
  <c r="U459" i="5"/>
  <c r="T459" i="5"/>
  <c r="Q459" i="5"/>
  <c r="R459" i="5" s="1"/>
  <c r="S459" i="5" s="1"/>
  <c r="O459" i="5"/>
  <c r="L459" i="5"/>
  <c r="K459" i="5"/>
  <c r="J459" i="5"/>
  <c r="F459" i="5"/>
  <c r="E459" i="5"/>
  <c r="D459" i="5"/>
  <c r="A459" i="5"/>
  <c r="V458" i="5"/>
  <c r="U458" i="5"/>
  <c r="T458" i="5"/>
  <c r="Q458" i="5"/>
  <c r="R458" i="5" s="1"/>
  <c r="S458" i="5" s="1"/>
  <c r="O458" i="5"/>
  <c r="L458" i="5"/>
  <c r="K458" i="5"/>
  <c r="J458" i="5"/>
  <c r="F458" i="5"/>
  <c r="E458" i="5"/>
  <c r="D458" i="5"/>
  <c r="A458" i="5"/>
  <c r="V457" i="5"/>
  <c r="U457" i="5"/>
  <c r="T457" i="5"/>
  <c r="Q457" i="5"/>
  <c r="R457" i="5" s="1"/>
  <c r="S457" i="5" s="1"/>
  <c r="O457" i="5"/>
  <c r="K457" i="5"/>
  <c r="J457" i="5"/>
  <c r="L457" i="5" s="1"/>
  <c r="F457" i="5"/>
  <c r="E457" i="5"/>
  <c r="D457" i="5"/>
  <c r="A457" i="5"/>
  <c r="V456" i="5"/>
  <c r="U456" i="5"/>
  <c r="T456" i="5"/>
  <c r="Q456" i="5"/>
  <c r="R456" i="5" s="1"/>
  <c r="S456" i="5" s="1"/>
  <c r="O456" i="5"/>
  <c r="L456" i="5"/>
  <c r="K456" i="5"/>
  <c r="J456" i="5"/>
  <c r="F456" i="5"/>
  <c r="E456" i="5"/>
  <c r="D456" i="5"/>
  <c r="A456" i="5"/>
  <c r="V455" i="5"/>
  <c r="U455" i="5"/>
  <c r="T455" i="5"/>
  <c r="Q455" i="5"/>
  <c r="R455" i="5" s="1"/>
  <c r="S455" i="5" s="1"/>
  <c r="O455" i="5"/>
  <c r="L455" i="5"/>
  <c r="K455" i="5"/>
  <c r="J455" i="5"/>
  <c r="F455" i="5"/>
  <c r="E455" i="5"/>
  <c r="D455" i="5"/>
  <c r="A455" i="5"/>
  <c r="V454" i="5"/>
  <c r="U454" i="5"/>
  <c r="T454" i="5"/>
  <c r="Q454" i="5"/>
  <c r="R454" i="5" s="1"/>
  <c r="S454" i="5" s="1"/>
  <c r="O454" i="5"/>
  <c r="K454" i="5"/>
  <c r="J454" i="5"/>
  <c r="L454" i="5" s="1"/>
  <c r="F454" i="5"/>
  <c r="E454" i="5"/>
  <c r="D454" i="5"/>
  <c r="A454" i="5"/>
  <c r="V453" i="5"/>
  <c r="U453" i="5"/>
  <c r="T453" i="5"/>
  <c r="Q453" i="5"/>
  <c r="R453" i="5" s="1"/>
  <c r="S453" i="5" s="1"/>
  <c r="O453" i="5"/>
  <c r="L453" i="5"/>
  <c r="K453" i="5"/>
  <c r="J453" i="5"/>
  <c r="F453" i="5"/>
  <c r="E453" i="5"/>
  <c r="D453" i="5"/>
  <c r="A453" i="5"/>
  <c r="V452" i="5"/>
  <c r="U452" i="5"/>
  <c r="T452" i="5"/>
  <c r="Q452" i="5"/>
  <c r="R452" i="5" s="1"/>
  <c r="S452" i="5" s="1"/>
  <c r="O452" i="5"/>
  <c r="L452" i="5"/>
  <c r="K452" i="5"/>
  <c r="J452" i="5"/>
  <c r="F452" i="5"/>
  <c r="E452" i="5"/>
  <c r="D452" i="5"/>
  <c r="A452" i="5"/>
  <c r="V451" i="5"/>
  <c r="U451" i="5"/>
  <c r="T451" i="5"/>
  <c r="Q451" i="5"/>
  <c r="R451" i="5" s="1"/>
  <c r="S451" i="5" s="1"/>
  <c r="O451" i="5"/>
  <c r="K451" i="5"/>
  <c r="J451" i="5"/>
  <c r="L451" i="5" s="1"/>
  <c r="F451" i="5"/>
  <c r="E451" i="5"/>
  <c r="D451" i="5"/>
  <c r="A451" i="5"/>
  <c r="V450" i="5"/>
  <c r="U450" i="5"/>
  <c r="T450" i="5"/>
  <c r="Q450" i="5"/>
  <c r="R450" i="5" s="1"/>
  <c r="S450" i="5" s="1"/>
  <c r="O450" i="5"/>
  <c r="L450" i="5"/>
  <c r="K450" i="5"/>
  <c r="J450" i="5"/>
  <c r="F450" i="5"/>
  <c r="E450" i="5"/>
  <c r="D450" i="5"/>
  <c r="A450" i="5"/>
  <c r="V449" i="5"/>
  <c r="U449" i="5"/>
  <c r="T449" i="5"/>
  <c r="Q449" i="5"/>
  <c r="R449" i="5" s="1"/>
  <c r="S449" i="5" s="1"/>
  <c r="O449" i="5"/>
  <c r="L449" i="5"/>
  <c r="K449" i="5"/>
  <c r="J449" i="5"/>
  <c r="F449" i="5"/>
  <c r="E449" i="5"/>
  <c r="D449" i="5"/>
  <c r="A449" i="5"/>
  <c r="V448" i="5"/>
  <c r="U448" i="5"/>
  <c r="T448" i="5"/>
  <c r="Q448" i="5"/>
  <c r="R448" i="5" s="1"/>
  <c r="S448" i="5" s="1"/>
  <c r="O448" i="5"/>
  <c r="K448" i="5"/>
  <c r="J448" i="5"/>
  <c r="L448" i="5" s="1"/>
  <c r="F448" i="5"/>
  <c r="E448" i="5"/>
  <c r="D448" i="5"/>
  <c r="A448" i="5"/>
  <c r="V447" i="5"/>
  <c r="U447" i="5"/>
  <c r="T447" i="5"/>
  <c r="Q447" i="5"/>
  <c r="R447" i="5" s="1"/>
  <c r="S447" i="5" s="1"/>
  <c r="O447" i="5"/>
  <c r="L447" i="5"/>
  <c r="K447" i="5"/>
  <c r="J447" i="5"/>
  <c r="F447" i="5"/>
  <c r="E447" i="5"/>
  <c r="D447" i="5"/>
  <c r="A447" i="5"/>
  <c r="V446" i="5"/>
  <c r="U446" i="5"/>
  <c r="T446" i="5"/>
  <c r="Q446" i="5"/>
  <c r="R446" i="5" s="1"/>
  <c r="S446" i="5" s="1"/>
  <c r="O446" i="5"/>
  <c r="L446" i="5"/>
  <c r="K446" i="5"/>
  <c r="J446" i="5"/>
  <c r="F446" i="5"/>
  <c r="E446" i="5"/>
  <c r="D446" i="5"/>
  <c r="A446" i="5"/>
  <c r="V445" i="5"/>
  <c r="U445" i="5"/>
  <c r="T445" i="5"/>
  <c r="Q445" i="5"/>
  <c r="R445" i="5" s="1"/>
  <c r="S445" i="5" s="1"/>
  <c r="O445" i="5"/>
  <c r="K445" i="5"/>
  <c r="J445" i="5"/>
  <c r="L445" i="5" s="1"/>
  <c r="F445" i="5"/>
  <c r="E445" i="5"/>
  <c r="D445" i="5"/>
  <c r="A445" i="5"/>
  <c r="V444" i="5"/>
  <c r="U444" i="5"/>
  <c r="T444" i="5"/>
  <c r="Q444" i="5"/>
  <c r="R444" i="5" s="1"/>
  <c r="S444" i="5" s="1"/>
  <c r="O444" i="5"/>
  <c r="L444" i="5"/>
  <c r="K444" i="5"/>
  <c r="J444" i="5"/>
  <c r="F444" i="5"/>
  <c r="E444" i="5"/>
  <c r="D444" i="5"/>
  <c r="A444" i="5"/>
  <c r="V443" i="5"/>
  <c r="U443" i="5"/>
  <c r="T443" i="5"/>
  <c r="Q443" i="5"/>
  <c r="R443" i="5" s="1"/>
  <c r="S443" i="5" s="1"/>
  <c r="O443" i="5"/>
  <c r="L443" i="5"/>
  <c r="K443" i="5"/>
  <c r="J443" i="5"/>
  <c r="F443" i="5"/>
  <c r="E443" i="5"/>
  <c r="D443" i="5"/>
  <c r="A443" i="5"/>
  <c r="V442" i="5"/>
  <c r="U442" i="5"/>
  <c r="T442" i="5"/>
  <c r="Q442" i="5"/>
  <c r="R442" i="5" s="1"/>
  <c r="S442" i="5" s="1"/>
  <c r="O442" i="5"/>
  <c r="K442" i="5"/>
  <c r="J442" i="5"/>
  <c r="L442" i="5" s="1"/>
  <c r="F442" i="5"/>
  <c r="E442" i="5"/>
  <c r="D442" i="5"/>
  <c r="A442" i="5"/>
  <c r="V441" i="5"/>
  <c r="U441" i="5"/>
  <c r="T441" i="5"/>
  <c r="Q441" i="5"/>
  <c r="R441" i="5" s="1"/>
  <c r="S441" i="5" s="1"/>
  <c r="O441" i="5"/>
  <c r="L441" i="5"/>
  <c r="K441" i="5"/>
  <c r="J441" i="5"/>
  <c r="F441" i="5"/>
  <c r="E441" i="5"/>
  <c r="D441" i="5"/>
  <c r="A441" i="5"/>
  <c r="V440" i="5"/>
  <c r="U440" i="5"/>
  <c r="T440" i="5"/>
  <c r="Q440" i="5"/>
  <c r="R440" i="5" s="1"/>
  <c r="S440" i="5" s="1"/>
  <c r="O440" i="5"/>
  <c r="L440" i="5"/>
  <c r="K440" i="5"/>
  <c r="J440" i="5"/>
  <c r="F440" i="5"/>
  <c r="E440" i="5"/>
  <c r="D440" i="5"/>
  <c r="A440" i="5"/>
  <c r="V439" i="5"/>
  <c r="U439" i="5"/>
  <c r="T439" i="5"/>
  <c r="Q439" i="5"/>
  <c r="R439" i="5" s="1"/>
  <c r="S439" i="5" s="1"/>
  <c r="O439" i="5"/>
  <c r="K439" i="5"/>
  <c r="J439" i="5"/>
  <c r="L439" i="5" s="1"/>
  <c r="F439" i="5"/>
  <c r="E439" i="5"/>
  <c r="D439" i="5"/>
  <c r="A439" i="5"/>
  <c r="V438" i="5"/>
  <c r="U438" i="5"/>
  <c r="T438" i="5"/>
  <c r="Q438" i="5"/>
  <c r="R438" i="5" s="1"/>
  <c r="S438" i="5" s="1"/>
  <c r="O438" i="5"/>
  <c r="L438" i="5"/>
  <c r="K438" i="5"/>
  <c r="J438" i="5"/>
  <c r="F438" i="5"/>
  <c r="E438" i="5"/>
  <c r="D438" i="5"/>
  <c r="A438" i="5"/>
  <c r="V437" i="5"/>
  <c r="U437" i="5"/>
  <c r="T437" i="5"/>
  <c r="Q437" i="5"/>
  <c r="R437" i="5" s="1"/>
  <c r="S437" i="5" s="1"/>
  <c r="O437" i="5"/>
  <c r="L437" i="5"/>
  <c r="K437" i="5"/>
  <c r="J437" i="5"/>
  <c r="F437" i="5"/>
  <c r="E437" i="5"/>
  <c r="D437" i="5"/>
  <c r="A437" i="5"/>
  <c r="V436" i="5"/>
  <c r="U436" i="5"/>
  <c r="T436" i="5"/>
  <c r="Q436" i="5"/>
  <c r="R436" i="5" s="1"/>
  <c r="S436" i="5" s="1"/>
  <c r="O436" i="5"/>
  <c r="K436" i="5"/>
  <c r="J436" i="5"/>
  <c r="L436" i="5" s="1"/>
  <c r="F436" i="5"/>
  <c r="E436" i="5"/>
  <c r="D436" i="5"/>
  <c r="A436" i="5"/>
  <c r="V435" i="5"/>
  <c r="U435" i="5"/>
  <c r="T435" i="5"/>
  <c r="Q435" i="5"/>
  <c r="R435" i="5" s="1"/>
  <c r="S435" i="5" s="1"/>
  <c r="O435" i="5"/>
  <c r="L435" i="5"/>
  <c r="K435" i="5"/>
  <c r="J435" i="5"/>
  <c r="F435" i="5"/>
  <c r="E435" i="5"/>
  <c r="D435" i="5"/>
  <c r="A435" i="5"/>
  <c r="V434" i="5"/>
  <c r="U434" i="5"/>
  <c r="T434" i="5"/>
  <c r="Q434" i="5"/>
  <c r="R434" i="5" s="1"/>
  <c r="S434" i="5" s="1"/>
  <c r="O434" i="5"/>
  <c r="L434" i="5"/>
  <c r="K434" i="5"/>
  <c r="J434" i="5"/>
  <c r="F434" i="5"/>
  <c r="E434" i="5"/>
  <c r="D434" i="5"/>
  <c r="A434" i="5"/>
  <c r="V433" i="5"/>
  <c r="U433" i="5"/>
  <c r="T433" i="5"/>
  <c r="Q433" i="5"/>
  <c r="R433" i="5" s="1"/>
  <c r="S433" i="5" s="1"/>
  <c r="O433" i="5"/>
  <c r="K433" i="5"/>
  <c r="J433" i="5"/>
  <c r="L433" i="5" s="1"/>
  <c r="F433" i="5"/>
  <c r="E433" i="5"/>
  <c r="D433" i="5"/>
  <c r="A433" i="5"/>
  <c r="V432" i="5"/>
  <c r="U432" i="5"/>
  <c r="T432" i="5"/>
  <c r="Q432" i="5"/>
  <c r="R432" i="5" s="1"/>
  <c r="S432" i="5" s="1"/>
  <c r="O432" i="5"/>
  <c r="L432" i="5"/>
  <c r="K432" i="5"/>
  <c r="J432" i="5"/>
  <c r="F432" i="5"/>
  <c r="E432" i="5"/>
  <c r="D432" i="5"/>
  <c r="A432" i="5"/>
  <c r="V431" i="5"/>
  <c r="U431" i="5"/>
  <c r="T431" i="5"/>
  <c r="Q431" i="5"/>
  <c r="R431" i="5" s="1"/>
  <c r="S431" i="5" s="1"/>
  <c r="O431" i="5"/>
  <c r="L431" i="5"/>
  <c r="K431" i="5"/>
  <c r="J431" i="5"/>
  <c r="F431" i="5"/>
  <c r="E431" i="5"/>
  <c r="D431" i="5"/>
  <c r="A431" i="5"/>
  <c r="V430" i="5"/>
  <c r="U430" i="5"/>
  <c r="T430" i="5"/>
  <c r="Q430" i="5"/>
  <c r="R430" i="5" s="1"/>
  <c r="S430" i="5" s="1"/>
  <c r="O430" i="5"/>
  <c r="K430" i="5"/>
  <c r="J430" i="5"/>
  <c r="L430" i="5" s="1"/>
  <c r="F430" i="5"/>
  <c r="E430" i="5"/>
  <c r="D430" i="5"/>
  <c r="A430" i="5"/>
  <c r="V429" i="5"/>
  <c r="U429" i="5"/>
  <c r="T429" i="5"/>
  <c r="Q429" i="5"/>
  <c r="R429" i="5" s="1"/>
  <c r="S429" i="5" s="1"/>
  <c r="O429" i="5"/>
  <c r="L429" i="5"/>
  <c r="K429" i="5"/>
  <c r="J429" i="5"/>
  <c r="F429" i="5"/>
  <c r="E429" i="5"/>
  <c r="D429" i="5"/>
  <c r="A429" i="5"/>
  <c r="V428" i="5"/>
  <c r="U428" i="5"/>
  <c r="T428" i="5"/>
  <c r="Q428" i="5"/>
  <c r="R428" i="5" s="1"/>
  <c r="S428" i="5" s="1"/>
  <c r="O428" i="5"/>
  <c r="L428" i="5"/>
  <c r="K428" i="5"/>
  <c r="J428" i="5"/>
  <c r="F428" i="5"/>
  <c r="E428" i="5"/>
  <c r="D428" i="5"/>
  <c r="A428" i="5"/>
  <c r="V427" i="5"/>
  <c r="U427" i="5"/>
  <c r="T427" i="5"/>
  <c r="Q427" i="5"/>
  <c r="R427" i="5" s="1"/>
  <c r="S427" i="5" s="1"/>
  <c r="O427" i="5"/>
  <c r="K427" i="5"/>
  <c r="J427" i="5"/>
  <c r="L427" i="5" s="1"/>
  <c r="F427" i="5"/>
  <c r="E427" i="5"/>
  <c r="D427" i="5"/>
  <c r="A427" i="5"/>
  <c r="V426" i="5"/>
  <c r="U426" i="5"/>
  <c r="T426" i="5"/>
  <c r="Q426" i="5"/>
  <c r="R426" i="5" s="1"/>
  <c r="S426" i="5" s="1"/>
  <c r="O426" i="5"/>
  <c r="L426" i="5"/>
  <c r="K426" i="5"/>
  <c r="J426" i="5"/>
  <c r="F426" i="5"/>
  <c r="E426" i="5"/>
  <c r="D426" i="5"/>
  <c r="A426" i="5"/>
  <c r="V425" i="5"/>
  <c r="U425" i="5"/>
  <c r="T425" i="5"/>
  <c r="Q425" i="5"/>
  <c r="R425" i="5" s="1"/>
  <c r="S425" i="5" s="1"/>
  <c r="O425" i="5"/>
  <c r="L425" i="5"/>
  <c r="K425" i="5"/>
  <c r="J425" i="5"/>
  <c r="F425" i="5"/>
  <c r="E425" i="5"/>
  <c r="D425" i="5"/>
  <c r="A425" i="5"/>
  <c r="V424" i="5"/>
  <c r="U424" i="5"/>
  <c r="T424" i="5"/>
  <c r="Q424" i="5"/>
  <c r="R424" i="5" s="1"/>
  <c r="S424" i="5" s="1"/>
  <c r="O424" i="5"/>
  <c r="K424" i="5"/>
  <c r="J424" i="5"/>
  <c r="L424" i="5" s="1"/>
  <c r="F424" i="5"/>
  <c r="E424" i="5"/>
  <c r="D424" i="5"/>
  <c r="A424" i="5"/>
  <c r="V423" i="5"/>
  <c r="U423" i="5"/>
  <c r="T423" i="5"/>
  <c r="S423" i="5"/>
  <c r="R423" i="5"/>
  <c r="Q423" i="5"/>
  <c r="O423" i="5"/>
  <c r="L423" i="5"/>
  <c r="K423" i="5"/>
  <c r="J423" i="5"/>
  <c r="F423" i="5"/>
  <c r="E423" i="5"/>
  <c r="D423" i="5"/>
  <c r="A423" i="5"/>
  <c r="V422" i="5"/>
  <c r="U422" i="5"/>
  <c r="T422" i="5"/>
  <c r="Q422" i="5"/>
  <c r="R422" i="5" s="1"/>
  <c r="S422" i="5" s="1"/>
  <c r="O422" i="5"/>
  <c r="L422" i="5"/>
  <c r="K422" i="5"/>
  <c r="J422" i="5"/>
  <c r="F422" i="5"/>
  <c r="E422" i="5"/>
  <c r="D422" i="5"/>
  <c r="A422" i="5"/>
  <c r="V421" i="5"/>
  <c r="U421" i="5"/>
  <c r="T421" i="5"/>
  <c r="Q421" i="5"/>
  <c r="R421" i="5" s="1"/>
  <c r="S421" i="5" s="1"/>
  <c r="O421" i="5"/>
  <c r="K421" i="5"/>
  <c r="J421" i="5"/>
  <c r="L421" i="5" s="1"/>
  <c r="F421" i="5"/>
  <c r="E421" i="5"/>
  <c r="D421" i="5"/>
  <c r="A421" i="5"/>
  <c r="V420" i="5"/>
  <c r="U420" i="5"/>
  <c r="T420" i="5"/>
  <c r="S420" i="5"/>
  <c r="R420" i="5"/>
  <c r="Q420" i="5"/>
  <c r="O420" i="5"/>
  <c r="L420" i="5"/>
  <c r="K420" i="5"/>
  <c r="J420" i="5"/>
  <c r="F420" i="5"/>
  <c r="E420" i="5"/>
  <c r="D420" i="5"/>
  <c r="A420" i="5"/>
  <c r="V419" i="5"/>
  <c r="U419" i="5"/>
  <c r="T419" i="5"/>
  <c r="Q419" i="5"/>
  <c r="R419" i="5" s="1"/>
  <c r="S419" i="5" s="1"/>
  <c r="O419" i="5"/>
  <c r="L419" i="5"/>
  <c r="K419" i="5"/>
  <c r="J419" i="5"/>
  <c r="F419" i="5"/>
  <c r="E419" i="5"/>
  <c r="D419" i="5"/>
  <c r="A419" i="5"/>
  <c r="V418" i="5"/>
  <c r="U418" i="5"/>
  <c r="T418" i="5"/>
  <c r="Q418" i="5"/>
  <c r="R418" i="5" s="1"/>
  <c r="S418" i="5" s="1"/>
  <c r="O418" i="5"/>
  <c r="K418" i="5"/>
  <c r="J418" i="5"/>
  <c r="L418" i="5" s="1"/>
  <c r="F418" i="5"/>
  <c r="E418" i="5"/>
  <c r="D418" i="5"/>
  <c r="A418" i="5"/>
  <c r="V417" i="5"/>
  <c r="U417" i="5"/>
  <c r="T417" i="5"/>
  <c r="Q417" i="5"/>
  <c r="R417" i="5" s="1"/>
  <c r="S417" i="5" s="1"/>
  <c r="O417" i="5"/>
  <c r="L417" i="5"/>
  <c r="K417" i="5"/>
  <c r="J417" i="5"/>
  <c r="F417" i="5"/>
  <c r="E417" i="5"/>
  <c r="D417" i="5"/>
  <c r="A417" i="5"/>
  <c r="V416" i="5"/>
  <c r="U416" i="5"/>
  <c r="T416" i="5"/>
  <c r="Q416" i="5"/>
  <c r="R416" i="5" s="1"/>
  <c r="S416" i="5" s="1"/>
  <c r="O416" i="5"/>
  <c r="L416" i="5"/>
  <c r="K416" i="5"/>
  <c r="J416" i="5"/>
  <c r="F416" i="5"/>
  <c r="E416" i="5"/>
  <c r="D416" i="5"/>
  <c r="A416" i="5"/>
  <c r="V415" i="5"/>
  <c r="U415" i="5"/>
  <c r="T415" i="5"/>
  <c r="Q415" i="5"/>
  <c r="R415" i="5" s="1"/>
  <c r="S415" i="5" s="1"/>
  <c r="O415" i="5"/>
  <c r="K415" i="5"/>
  <c r="J415" i="5"/>
  <c r="L415" i="5" s="1"/>
  <c r="F415" i="5"/>
  <c r="E415" i="5"/>
  <c r="D415" i="5"/>
  <c r="A415" i="5"/>
  <c r="V414" i="5"/>
  <c r="U414" i="5"/>
  <c r="T414" i="5"/>
  <c r="Q414" i="5"/>
  <c r="R414" i="5" s="1"/>
  <c r="S414" i="5" s="1"/>
  <c r="O414" i="5"/>
  <c r="L414" i="5"/>
  <c r="K414" i="5"/>
  <c r="J414" i="5"/>
  <c r="F414" i="5"/>
  <c r="E414" i="5"/>
  <c r="D414" i="5"/>
  <c r="A414" i="5"/>
  <c r="V413" i="5"/>
  <c r="U413" i="5"/>
  <c r="T413" i="5"/>
  <c r="Q413" i="5"/>
  <c r="R413" i="5" s="1"/>
  <c r="S413" i="5" s="1"/>
  <c r="O413" i="5"/>
  <c r="L413" i="5"/>
  <c r="K413" i="5"/>
  <c r="J413" i="5"/>
  <c r="F413" i="5"/>
  <c r="E413" i="5"/>
  <c r="D413" i="5"/>
  <c r="A413" i="5"/>
  <c r="V412" i="5"/>
  <c r="U412" i="5"/>
  <c r="T412" i="5"/>
  <c r="Q412" i="5"/>
  <c r="R412" i="5" s="1"/>
  <c r="S412" i="5" s="1"/>
  <c r="O412" i="5"/>
  <c r="K412" i="5"/>
  <c r="J412" i="5"/>
  <c r="L412" i="5" s="1"/>
  <c r="F412" i="5"/>
  <c r="E412" i="5"/>
  <c r="D412" i="5"/>
  <c r="A412" i="5"/>
  <c r="V411" i="5"/>
  <c r="U411" i="5"/>
  <c r="T411" i="5"/>
  <c r="Q411" i="5"/>
  <c r="R411" i="5" s="1"/>
  <c r="S411" i="5" s="1"/>
  <c r="O411" i="5"/>
  <c r="L411" i="5"/>
  <c r="K411" i="5"/>
  <c r="J411" i="5"/>
  <c r="F411" i="5"/>
  <c r="E411" i="5"/>
  <c r="D411" i="5"/>
  <c r="A411" i="5"/>
  <c r="V410" i="5"/>
  <c r="U410" i="5"/>
  <c r="T410" i="5"/>
  <c r="Q410" i="5"/>
  <c r="R410" i="5" s="1"/>
  <c r="S410" i="5" s="1"/>
  <c r="O410" i="5"/>
  <c r="L410" i="5"/>
  <c r="K410" i="5"/>
  <c r="J410" i="5"/>
  <c r="F410" i="5"/>
  <c r="E410" i="5"/>
  <c r="D410" i="5"/>
  <c r="A410" i="5"/>
  <c r="V409" i="5"/>
  <c r="U409" i="5"/>
  <c r="T409" i="5"/>
  <c r="Q409" i="5"/>
  <c r="R409" i="5" s="1"/>
  <c r="S409" i="5" s="1"/>
  <c r="O409" i="5"/>
  <c r="K409" i="5"/>
  <c r="J409" i="5"/>
  <c r="L409" i="5" s="1"/>
  <c r="F409" i="5"/>
  <c r="E409" i="5"/>
  <c r="D409" i="5"/>
  <c r="A409" i="5"/>
  <c r="V408" i="5"/>
  <c r="U408" i="5"/>
  <c r="T408" i="5"/>
  <c r="S408" i="5"/>
  <c r="R408" i="5"/>
  <c r="Q408" i="5"/>
  <c r="O408" i="5"/>
  <c r="L408" i="5"/>
  <c r="K408" i="5"/>
  <c r="J408" i="5"/>
  <c r="F408" i="5"/>
  <c r="E408" i="5"/>
  <c r="D408" i="5"/>
  <c r="A408" i="5"/>
  <c r="V407" i="5"/>
  <c r="U407" i="5"/>
  <c r="T407" i="5"/>
  <c r="Q407" i="5"/>
  <c r="R407" i="5" s="1"/>
  <c r="S407" i="5" s="1"/>
  <c r="O407" i="5"/>
  <c r="L407" i="5"/>
  <c r="K407" i="5"/>
  <c r="J407" i="5"/>
  <c r="F407" i="5"/>
  <c r="E407" i="5"/>
  <c r="D407" i="5"/>
  <c r="A407" i="5"/>
  <c r="V406" i="5"/>
  <c r="U406" i="5"/>
  <c r="T406" i="5"/>
  <c r="Q406" i="5"/>
  <c r="R406" i="5" s="1"/>
  <c r="S406" i="5" s="1"/>
  <c r="O406" i="5"/>
  <c r="K406" i="5"/>
  <c r="J406" i="5"/>
  <c r="L406" i="5" s="1"/>
  <c r="F406" i="5"/>
  <c r="E406" i="5"/>
  <c r="D406" i="5"/>
  <c r="A406" i="5"/>
  <c r="V405" i="5"/>
  <c r="U405" i="5"/>
  <c r="T405" i="5"/>
  <c r="S405" i="5"/>
  <c r="R405" i="5"/>
  <c r="Q405" i="5"/>
  <c r="O405" i="5"/>
  <c r="L405" i="5"/>
  <c r="K405" i="5"/>
  <c r="J405" i="5"/>
  <c r="F405" i="5"/>
  <c r="E405" i="5"/>
  <c r="D405" i="5"/>
  <c r="A405" i="5"/>
  <c r="V404" i="5"/>
  <c r="U404" i="5"/>
  <c r="T404" i="5"/>
  <c r="Q404" i="5"/>
  <c r="R404" i="5" s="1"/>
  <c r="S404" i="5" s="1"/>
  <c r="O404" i="5"/>
  <c r="L404" i="5"/>
  <c r="K404" i="5"/>
  <c r="J404" i="5"/>
  <c r="F404" i="5"/>
  <c r="E404" i="5"/>
  <c r="D404" i="5"/>
  <c r="A404" i="5"/>
  <c r="V403" i="5"/>
  <c r="U403" i="5"/>
  <c r="T403" i="5"/>
  <c r="Q403" i="5"/>
  <c r="R403" i="5" s="1"/>
  <c r="S403" i="5" s="1"/>
  <c r="O403" i="5"/>
  <c r="K403" i="5"/>
  <c r="J403" i="5"/>
  <c r="L403" i="5" s="1"/>
  <c r="F403" i="5"/>
  <c r="E403" i="5"/>
  <c r="D403" i="5"/>
  <c r="A403" i="5"/>
  <c r="V402" i="5"/>
  <c r="U402" i="5"/>
  <c r="T402" i="5"/>
  <c r="S402" i="5"/>
  <c r="R402" i="5"/>
  <c r="Q402" i="5"/>
  <c r="O402" i="5"/>
  <c r="L402" i="5"/>
  <c r="K402" i="5"/>
  <c r="J402" i="5"/>
  <c r="F402" i="5"/>
  <c r="E402" i="5"/>
  <c r="D402" i="5"/>
  <c r="A402" i="5"/>
  <c r="V401" i="5"/>
  <c r="U401" i="5"/>
  <c r="T401" i="5"/>
  <c r="Q401" i="5"/>
  <c r="R401" i="5" s="1"/>
  <c r="S401" i="5" s="1"/>
  <c r="O401" i="5"/>
  <c r="L401" i="5"/>
  <c r="K401" i="5"/>
  <c r="J401" i="5"/>
  <c r="F401" i="5"/>
  <c r="E401" i="5"/>
  <c r="D401" i="5"/>
  <c r="A401" i="5"/>
  <c r="V400" i="5"/>
  <c r="U400" i="5"/>
  <c r="T400" i="5"/>
  <c r="Q400" i="5"/>
  <c r="R400" i="5" s="1"/>
  <c r="S400" i="5" s="1"/>
  <c r="O400" i="5"/>
  <c r="K400" i="5"/>
  <c r="J400" i="5"/>
  <c r="L400" i="5" s="1"/>
  <c r="F400" i="5"/>
  <c r="E400" i="5"/>
  <c r="D400" i="5"/>
  <c r="A400" i="5"/>
  <c r="V399" i="5"/>
  <c r="U399" i="5"/>
  <c r="T399" i="5"/>
  <c r="S399" i="5"/>
  <c r="R399" i="5"/>
  <c r="Q399" i="5"/>
  <c r="O399" i="5"/>
  <c r="L399" i="5"/>
  <c r="K399" i="5"/>
  <c r="J399" i="5"/>
  <c r="F399" i="5"/>
  <c r="E399" i="5"/>
  <c r="D399" i="5"/>
  <c r="A399" i="5"/>
  <c r="V398" i="5"/>
  <c r="U398" i="5"/>
  <c r="T398" i="5"/>
  <c r="Q398" i="5"/>
  <c r="R398" i="5" s="1"/>
  <c r="S398" i="5" s="1"/>
  <c r="O398" i="5"/>
  <c r="L398" i="5"/>
  <c r="K398" i="5"/>
  <c r="J398" i="5"/>
  <c r="F398" i="5"/>
  <c r="E398" i="5"/>
  <c r="D398" i="5"/>
  <c r="A398" i="5"/>
  <c r="V397" i="5"/>
  <c r="U397" i="5"/>
  <c r="T397" i="5"/>
  <c r="Q397" i="5"/>
  <c r="R397" i="5" s="1"/>
  <c r="S397" i="5" s="1"/>
  <c r="O397" i="5"/>
  <c r="K397" i="5"/>
  <c r="J397" i="5"/>
  <c r="L397" i="5" s="1"/>
  <c r="F397" i="5"/>
  <c r="E397" i="5"/>
  <c r="D397" i="5"/>
  <c r="A397" i="5"/>
  <c r="V396" i="5"/>
  <c r="U396" i="5"/>
  <c r="T396" i="5"/>
  <c r="S396" i="5"/>
  <c r="R396" i="5"/>
  <c r="Q396" i="5"/>
  <c r="O396" i="5"/>
  <c r="L396" i="5"/>
  <c r="K396" i="5"/>
  <c r="J396" i="5"/>
  <c r="F396" i="5"/>
  <c r="E396" i="5"/>
  <c r="D396" i="5"/>
  <c r="A396" i="5"/>
  <c r="V395" i="5"/>
  <c r="U395" i="5"/>
  <c r="T395" i="5"/>
  <c r="Q395" i="5"/>
  <c r="R395" i="5" s="1"/>
  <c r="S395" i="5" s="1"/>
  <c r="O395" i="5"/>
  <c r="L395" i="5"/>
  <c r="K395" i="5"/>
  <c r="J395" i="5"/>
  <c r="F395" i="5"/>
  <c r="E395" i="5"/>
  <c r="D395" i="5"/>
  <c r="A395" i="5"/>
  <c r="V394" i="5"/>
  <c r="U394" i="5"/>
  <c r="T394" i="5"/>
  <c r="Q394" i="5"/>
  <c r="R394" i="5" s="1"/>
  <c r="S394" i="5" s="1"/>
  <c r="O394" i="5"/>
  <c r="K394" i="5"/>
  <c r="J394" i="5"/>
  <c r="L394" i="5" s="1"/>
  <c r="F394" i="5"/>
  <c r="E394" i="5"/>
  <c r="D394" i="5"/>
  <c r="A394" i="5"/>
  <c r="V393" i="5"/>
  <c r="U393" i="5"/>
  <c r="T393" i="5"/>
  <c r="S393" i="5"/>
  <c r="R393" i="5"/>
  <c r="Q393" i="5"/>
  <c r="O393" i="5"/>
  <c r="L393" i="5"/>
  <c r="K393" i="5"/>
  <c r="J393" i="5"/>
  <c r="F393" i="5"/>
  <c r="E393" i="5"/>
  <c r="D393" i="5"/>
  <c r="A393" i="5"/>
  <c r="V392" i="5"/>
  <c r="U392" i="5"/>
  <c r="T392" i="5"/>
  <c r="Q392" i="5"/>
  <c r="R392" i="5" s="1"/>
  <c r="S392" i="5" s="1"/>
  <c r="O392" i="5"/>
  <c r="L392" i="5"/>
  <c r="K392" i="5"/>
  <c r="J392" i="5"/>
  <c r="F392" i="5"/>
  <c r="E392" i="5"/>
  <c r="D392" i="5"/>
  <c r="A392" i="5"/>
  <c r="V391" i="5"/>
  <c r="U391" i="5"/>
  <c r="T391" i="5"/>
  <c r="Q391" i="5"/>
  <c r="R391" i="5" s="1"/>
  <c r="S391" i="5" s="1"/>
  <c r="O391" i="5"/>
  <c r="K391" i="5"/>
  <c r="J391" i="5"/>
  <c r="L391" i="5" s="1"/>
  <c r="F391" i="5"/>
  <c r="E391" i="5"/>
  <c r="D391" i="5"/>
  <c r="A391" i="5"/>
  <c r="V390" i="5"/>
  <c r="U390" i="5"/>
  <c r="T390" i="5"/>
  <c r="S390" i="5"/>
  <c r="R390" i="5"/>
  <c r="Q390" i="5"/>
  <c r="O390" i="5"/>
  <c r="L390" i="5"/>
  <c r="K390" i="5"/>
  <c r="J390" i="5"/>
  <c r="F390" i="5"/>
  <c r="E390" i="5"/>
  <c r="D390" i="5"/>
  <c r="A390" i="5"/>
  <c r="V389" i="5"/>
  <c r="U389" i="5"/>
  <c r="T389" i="5"/>
  <c r="Q389" i="5"/>
  <c r="R389" i="5" s="1"/>
  <c r="S389" i="5" s="1"/>
  <c r="O389" i="5"/>
  <c r="L389" i="5"/>
  <c r="K389" i="5"/>
  <c r="J389" i="5"/>
  <c r="F389" i="5"/>
  <c r="E389" i="5"/>
  <c r="D389" i="5"/>
  <c r="A389" i="5"/>
  <c r="V388" i="5"/>
  <c r="U388" i="5"/>
  <c r="T388" i="5"/>
  <c r="Q388" i="5"/>
  <c r="R388" i="5" s="1"/>
  <c r="S388" i="5" s="1"/>
  <c r="O388" i="5"/>
  <c r="K388" i="5"/>
  <c r="J388" i="5"/>
  <c r="L388" i="5" s="1"/>
  <c r="F388" i="5"/>
  <c r="E388" i="5"/>
  <c r="D388" i="5"/>
  <c r="A388" i="5"/>
  <c r="V387" i="5"/>
  <c r="U387" i="5"/>
  <c r="T387" i="5"/>
  <c r="S387" i="5"/>
  <c r="R387" i="5"/>
  <c r="Q387" i="5"/>
  <c r="O387" i="5"/>
  <c r="L387" i="5"/>
  <c r="K387" i="5"/>
  <c r="J387" i="5"/>
  <c r="F387" i="5"/>
  <c r="E387" i="5"/>
  <c r="D387" i="5"/>
  <c r="A387" i="5"/>
  <c r="V386" i="5"/>
  <c r="U386" i="5"/>
  <c r="T386" i="5"/>
  <c r="Q386" i="5"/>
  <c r="R386" i="5" s="1"/>
  <c r="S386" i="5" s="1"/>
  <c r="O386" i="5"/>
  <c r="L386" i="5"/>
  <c r="K386" i="5"/>
  <c r="J386" i="5"/>
  <c r="F386" i="5"/>
  <c r="E386" i="5"/>
  <c r="D386" i="5"/>
  <c r="A386" i="5"/>
  <c r="V385" i="5"/>
  <c r="U385" i="5"/>
  <c r="T385" i="5"/>
  <c r="Q385" i="5"/>
  <c r="R385" i="5" s="1"/>
  <c r="S385" i="5" s="1"/>
  <c r="O385" i="5"/>
  <c r="K385" i="5"/>
  <c r="J385" i="5"/>
  <c r="L385" i="5" s="1"/>
  <c r="F385" i="5"/>
  <c r="E385" i="5"/>
  <c r="D385" i="5"/>
  <c r="A385" i="5"/>
  <c r="V384" i="5"/>
  <c r="U384" i="5"/>
  <c r="T384" i="5"/>
  <c r="S384" i="5"/>
  <c r="R384" i="5"/>
  <c r="Q384" i="5"/>
  <c r="O384" i="5"/>
  <c r="K384" i="5"/>
  <c r="J384" i="5"/>
  <c r="L384" i="5" s="1"/>
  <c r="F384" i="5"/>
  <c r="E384" i="5"/>
  <c r="D384" i="5"/>
  <c r="A384" i="5"/>
  <c r="V383" i="5"/>
  <c r="U383" i="5"/>
  <c r="T383" i="5"/>
  <c r="Q383" i="5"/>
  <c r="R383" i="5" s="1"/>
  <c r="S383" i="5" s="1"/>
  <c r="O383" i="5"/>
  <c r="L383" i="5"/>
  <c r="K383" i="5"/>
  <c r="J383" i="5"/>
  <c r="F383" i="5"/>
  <c r="E383" i="5"/>
  <c r="D383" i="5"/>
  <c r="A383" i="5"/>
  <c r="V382" i="5"/>
  <c r="U382" i="5"/>
  <c r="T382" i="5"/>
  <c r="Q382" i="5"/>
  <c r="R382" i="5" s="1"/>
  <c r="S382" i="5" s="1"/>
  <c r="O382" i="5"/>
  <c r="K382" i="5"/>
  <c r="J382" i="5"/>
  <c r="L382" i="5" s="1"/>
  <c r="F382" i="5"/>
  <c r="E382" i="5"/>
  <c r="D382" i="5"/>
  <c r="A382" i="5"/>
  <c r="V381" i="5"/>
  <c r="U381" i="5"/>
  <c r="T381" i="5"/>
  <c r="S381" i="5"/>
  <c r="R381" i="5"/>
  <c r="Q381" i="5"/>
  <c r="O381" i="5"/>
  <c r="K381" i="5"/>
  <c r="J381" i="5"/>
  <c r="L381" i="5" s="1"/>
  <c r="F381" i="5"/>
  <c r="E381" i="5"/>
  <c r="D381" i="5"/>
  <c r="A381" i="5"/>
  <c r="V380" i="5"/>
  <c r="U380" i="5"/>
  <c r="T380" i="5"/>
  <c r="Q380" i="5"/>
  <c r="R380" i="5" s="1"/>
  <c r="S380" i="5" s="1"/>
  <c r="O380" i="5"/>
  <c r="L380" i="5"/>
  <c r="K380" i="5"/>
  <c r="J380" i="5"/>
  <c r="F380" i="5"/>
  <c r="E380" i="5"/>
  <c r="D380" i="5"/>
  <c r="A380" i="5"/>
  <c r="V379" i="5"/>
  <c r="U379" i="5"/>
  <c r="T379" i="5"/>
  <c r="Q379" i="5"/>
  <c r="R379" i="5" s="1"/>
  <c r="S379" i="5" s="1"/>
  <c r="O379" i="5"/>
  <c r="K379" i="5"/>
  <c r="J379" i="5"/>
  <c r="L379" i="5" s="1"/>
  <c r="F379" i="5"/>
  <c r="E379" i="5"/>
  <c r="D379" i="5"/>
  <c r="A379" i="5"/>
  <c r="V378" i="5"/>
  <c r="U378" i="5"/>
  <c r="T378" i="5"/>
  <c r="S378" i="5"/>
  <c r="R378" i="5"/>
  <c r="Q378" i="5"/>
  <c r="O378" i="5"/>
  <c r="K378" i="5"/>
  <c r="J378" i="5"/>
  <c r="L378" i="5" s="1"/>
  <c r="F378" i="5"/>
  <c r="E378" i="5"/>
  <c r="D378" i="5"/>
  <c r="A378" i="5"/>
  <c r="V377" i="5"/>
  <c r="U377" i="5"/>
  <c r="T377" i="5"/>
  <c r="Q377" i="5"/>
  <c r="R377" i="5" s="1"/>
  <c r="S377" i="5" s="1"/>
  <c r="O377" i="5"/>
  <c r="L377" i="5"/>
  <c r="K377" i="5"/>
  <c r="J377" i="5"/>
  <c r="F377" i="5"/>
  <c r="E377" i="5"/>
  <c r="D377" i="5"/>
  <c r="A377" i="5"/>
  <c r="V376" i="5"/>
  <c r="U376" i="5"/>
  <c r="T376" i="5"/>
  <c r="Q376" i="5"/>
  <c r="R376" i="5" s="1"/>
  <c r="S376" i="5" s="1"/>
  <c r="O376" i="5"/>
  <c r="K376" i="5"/>
  <c r="J376" i="5"/>
  <c r="L376" i="5" s="1"/>
  <c r="F376" i="5"/>
  <c r="E376" i="5"/>
  <c r="D376" i="5"/>
  <c r="A376" i="5"/>
  <c r="V375" i="5"/>
  <c r="U375" i="5"/>
  <c r="T375" i="5"/>
  <c r="S375" i="5"/>
  <c r="R375" i="5"/>
  <c r="Q375" i="5"/>
  <c r="O375" i="5"/>
  <c r="K375" i="5"/>
  <c r="J375" i="5"/>
  <c r="L375" i="5" s="1"/>
  <c r="F375" i="5"/>
  <c r="E375" i="5"/>
  <c r="D375" i="5"/>
  <c r="A375" i="5"/>
  <c r="V374" i="5"/>
  <c r="U374" i="5"/>
  <c r="T374" i="5"/>
  <c r="Q374" i="5"/>
  <c r="R374" i="5" s="1"/>
  <c r="S374" i="5" s="1"/>
  <c r="O374" i="5"/>
  <c r="L374" i="5"/>
  <c r="K374" i="5"/>
  <c r="J374" i="5"/>
  <c r="F374" i="5"/>
  <c r="E374" i="5"/>
  <c r="D374" i="5"/>
  <c r="A374" i="5"/>
  <c r="V373" i="5"/>
  <c r="U373" i="5"/>
  <c r="T373" i="5"/>
  <c r="Q373" i="5"/>
  <c r="R373" i="5" s="1"/>
  <c r="S373" i="5" s="1"/>
  <c r="O373" i="5"/>
  <c r="K373" i="5"/>
  <c r="J373" i="5"/>
  <c r="L373" i="5" s="1"/>
  <c r="F373" i="5"/>
  <c r="E373" i="5"/>
  <c r="D373" i="5"/>
  <c r="A373" i="5"/>
  <c r="V372" i="5"/>
  <c r="U372" i="5"/>
  <c r="T372" i="5"/>
  <c r="S372" i="5"/>
  <c r="R372" i="5"/>
  <c r="Q372" i="5"/>
  <c r="O372" i="5"/>
  <c r="K372" i="5"/>
  <c r="J372" i="5"/>
  <c r="L372" i="5" s="1"/>
  <c r="F372" i="5"/>
  <c r="E372" i="5"/>
  <c r="D372" i="5"/>
  <c r="A372" i="5"/>
  <c r="V371" i="5"/>
  <c r="U371" i="5"/>
  <c r="T371" i="5"/>
  <c r="Q371" i="5"/>
  <c r="R371" i="5" s="1"/>
  <c r="S371" i="5" s="1"/>
  <c r="O371" i="5"/>
  <c r="L371" i="5"/>
  <c r="K371" i="5"/>
  <c r="J371" i="5"/>
  <c r="F371" i="5"/>
  <c r="E371" i="5"/>
  <c r="D371" i="5"/>
  <c r="A371" i="5"/>
  <c r="V370" i="5"/>
  <c r="U370" i="5"/>
  <c r="T370" i="5"/>
  <c r="Q370" i="5"/>
  <c r="R370" i="5" s="1"/>
  <c r="S370" i="5" s="1"/>
  <c r="O370" i="5"/>
  <c r="K370" i="5"/>
  <c r="J370" i="5"/>
  <c r="L370" i="5" s="1"/>
  <c r="F370" i="5"/>
  <c r="E370" i="5"/>
  <c r="D370" i="5"/>
  <c r="A370" i="5"/>
  <c r="V369" i="5"/>
  <c r="U369" i="5"/>
  <c r="T369" i="5"/>
  <c r="S369" i="5"/>
  <c r="R369" i="5"/>
  <c r="Q369" i="5"/>
  <c r="O369" i="5"/>
  <c r="K369" i="5"/>
  <c r="J369" i="5"/>
  <c r="L369" i="5" s="1"/>
  <c r="F369" i="5"/>
  <c r="E369" i="5"/>
  <c r="D369" i="5"/>
  <c r="A369" i="5"/>
  <c r="V368" i="5"/>
  <c r="U368" i="5"/>
  <c r="T368" i="5"/>
  <c r="Q368" i="5"/>
  <c r="R368" i="5" s="1"/>
  <c r="S368" i="5" s="1"/>
  <c r="O368" i="5"/>
  <c r="L368" i="5"/>
  <c r="K368" i="5"/>
  <c r="J368" i="5"/>
  <c r="F368" i="5"/>
  <c r="E368" i="5"/>
  <c r="D368" i="5"/>
  <c r="A368" i="5"/>
  <c r="V367" i="5"/>
  <c r="U367" i="5"/>
  <c r="T367" i="5"/>
  <c r="Q367" i="5"/>
  <c r="R367" i="5" s="1"/>
  <c r="S367" i="5" s="1"/>
  <c r="O367" i="5"/>
  <c r="K367" i="5"/>
  <c r="J367" i="5"/>
  <c r="L367" i="5" s="1"/>
  <c r="F367" i="5"/>
  <c r="E367" i="5"/>
  <c r="D367" i="5"/>
  <c r="A367" i="5"/>
  <c r="V366" i="5"/>
  <c r="U366" i="5"/>
  <c r="T366" i="5"/>
  <c r="S366" i="5"/>
  <c r="R366" i="5"/>
  <c r="Q366" i="5"/>
  <c r="O366" i="5"/>
  <c r="K366" i="5"/>
  <c r="J366" i="5"/>
  <c r="L366" i="5" s="1"/>
  <c r="F366" i="5"/>
  <c r="E366" i="5"/>
  <c r="D366" i="5"/>
  <c r="A366" i="5"/>
  <c r="V365" i="5"/>
  <c r="U365" i="5"/>
  <c r="T365" i="5"/>
  <c r="Q365" i="5"/>
  <c r="R365" i="5" s="1"/>
  <c r="S365" i="5" s="1"/>
  <c r="O365" i="5"/>
  <c r="L365" i="5"/>
  <c r="K365" i="5"/>
  <c r="J365" i="5"/>
  <c r="F365" i="5"/>
  <c r="E365" i="5"/>
  <c r="D365" i="5"/>
  <c r="A365" i="5"/>
  <c r="V364" i="5"/>
  <c r="U364" i="5"/>
  <c r="T364" i="5"/>
  <c r="Q364" i="5"/>
  <c r="R364" i="5" s="1"/>
  <c r="S364" i="5" s="1"/>
  <c r="O364" i="5"/>
  <c r="K364" i="5"/>
  <c r="J364" i="5"/>
  <c r="L364" i="5" s="1"/>
  <c r="F364" i="5"/>
  <c r="E364" i="5"/>
  <c r="D364" i="5"/>
  <c r="A364" i="5"/>
  <c r="V363" i="5"/>
  <c r="U363" i="5"/>
  <c r="T363" i="5"/>
  <c r="S363" i="5"/>
  <c r="R363" i="5"/>
  <c r="Q363" i="5"/>
  <c r="O363" i="5"/>
  <c r="K363" i="5"/>
  <c r="J363" i="5"/>
  <c r="L363" i="5" s="1"/>
  <c r="F363" i="5"/>
  <c r="E363" i="5"/>
  <c r="D363" i="5"/>
  <c r="A363" i="5"/>
  <c r="V362" i="5"/>
  <c r="U362" i="5"/>
  <c r="T362" i="5"/>
  <c r="Q362" i="5"/>
  <c r="R362" i="5" s="1"/>
  <c r="S362" i="5" s="1"/>
  <c r="O362" i="5"/>
  <c r="L362" i="5"/>
  <c r="K362" i="5"/>
  <c r="J362" i="5"/>
  <c r="F362" i="5"/>
  <c r="E362" i="5"/>
  <c r="D362" i="5"/>
  <c r="A362" i="5"/>
  <c r="V361" i="5"/>
  <c r="U361" i="5"/>
  <c r="T361" i="5"/>
  <c r="Q361" i="5"/>
  <c r="R361" i="5" s="1"/>
  <c r="S361" i="5" s="1"/>
  <c r="O361" i="5"/>
  <c r="K361" i="5"/>
  <c r="J361" i="5"/>
  <c r="L361" i="5" s="1"/>
  <c r="F361" i="5"/>
  <c r="E361" i="5"/>
  <c r="D361" i="5"/>
  <c r="A361" i="5"/>
  <c r="V360" i="5"/>
  <c r="U360" i="5"/>
  <c r="T360" i="5"/>
  <c r="S360" i="5"/>
  <c r="R360" i="5"/>
  <c r="Q360" i="5"/>
  <c r="O360" i="5"/>
  <c r="K360" i="5"/>
  <c r="J360" i="5"/>
  <c r="L360" i="5" s="1"/>
  <c r="F360" i="5"/>
  <c r="E360" i="5"/>
  <c r="D360" i="5"/>
  <c r="A360" i="5"/>
  <c r="V359" i="5"/>
  <c r="U359" i="5"/>
  <c r="T359" i="5"/>
  <c r="Q359" i="5"/>
  <c r="R359" i="5" s="1"/>
  <c r="S359" i="5" s="1"/>
  <c r="O359" i="5"/>
  <c r="L359" i="5"/>
  <c r="K359" i="5"/>
  <c r="J359" i="5"/>
  <c r="F359" i="5"/>
  <c r="E359" i="5"/>
  <c r="D359" i="5"/>
  <c r="A359" i="5"/>
  <c r="V358" i="5"/>
  <c r="U358" i="5"/>
  <c r="T358" i="5"/>
  <c r="Q358" i="5"/>
  <c r="R358" i="5" s="1"/>
  <c r="S358" i="5" s="1"/>
  <c r="O358" i="5"/>
  <c r="K358" i="5"/>
  <c r="J358" i="5"/>
  <c r="L358" i="5" s="1"/>
  <c r="F358" i="5"/>
  <c r="E358" i="5"/>
  <c r="D358" i="5"/>
  <c r="A358" i="5"/>
  <c r="V357" i="5"/>
  <c r="U357" i="5"/>
  <c r="T357" i="5"/>
  <c r="S357" i="5"/>
  <c r="R357" i="5"/>
  <c r="Q357" i="5"/>
  <c r="O357" i="5"/>
  <c r="K357" i="5"/>
  <c r="J357" i="5"/>
  <c r="L357" i="5" s="1"/>
  <c r="F357" i="5"/>
  <c r="E357" i="5"/>
  <c r="D357" i="5"/>
  <c r="A357" i="5"/>
  <c r="V356" i="5"/>
  <c r="U356" i="5"/>
  <c r="T356" i="5"/>
  <c r="Q356" i="5"/>
  <c r="R356" i="5" s="1"/>
  <c r="S356" i="5" s="1"/>
  <c r="O356" i="5"/>
  <c r="L356" i="5"/>
  <c r="K356" i="5"/>
  <c r="J356" i="5"/>
  <c r="F356" i="5"/>
  <c r="E356" i="5"/>
  <c r="D356" i="5"/>
  <c r="A356" i="5"/>
  <c r="V355" i="5"/>
  <c r="U355" i="5"/>
  <c r="T355" i="5"/>
  <c r="Q355" i="5"/>
  <c r="R355" i="5" s="1"/>
  <c r="S355" i="5" s="1"/>
  <c r="O355" i="5"/>
  <c r="K355" i="5"/>
  <c r="J355" i="5"/>
  <c r="L355" i="5" s="1"/>
  <c r="F355" i="5"/>
  <c r="E355" i="5"/>
  <c r="D355" i="5"/>
  <c r="A355" i="5"/>
  <c r="V354" i="5"/>
  <c r="U354" i="5"/>
  <c r="T354" i="5"/>
  <c r="S354" i="5"/>
  <c r="R354" i="5"/>
  <c r="Q354" i="5"/>
  <c r="O354" i="5"/>
  <c r="K354" i="5"/>
  <c r="J354" i="5"/>
  <c r="L354" i="5" s="1"/>
  <c r="F354" i="5"/>
  <c r="E354" i="5"/>
  <c r="D354" i="5"/>
  <c r="A354" i="5"/>
  <c r="V353" i="5"/>
  <c r="U353" i="5"/>
  <c r="T353" i="5"/>
  <c r="Q353" i="5"/>
  <c r="R353" i="5" s="1"/>
  <c r="S353" i="5" s="1"/>
  <c r="O353" i="5"/>
  <c r="L353" i="5"/>
  <c r="K353" i="5"/>
  <c r="J353" i="5"/>
  <c r="F353" i="5"/>
  <c r="E353" i="5"/>
  <c r="D353" i="5"/>
  <c r="A353" i="5"/>
  <c r="V352" i="5"/>
  <c r="U352" i="5"/>
  <c r="T352" i="5"/>
  <c r="Q352" i="5"/>
  <c r="R352" i="5" s="1"/>
  <c r="S352" i="5" s="1"/>
  <c r="O352" i="5"/>
  <c r="K352" i="5"/>
  <c r="J352" i="5"/>
  <c r="L352" i="5" s="1"/>
  <c r="F352" i="5"/>
  <c r="E352" i="5"/>
  <c r="D352" i="5"/>
  <c r="A352" i="5"/>
  <c r="V351" i="5"/>
  <c r="U351" i="5"/>
  <c r="T351" i="5"/>
  <c r="S351" i="5"/>
  <c r="R351" i="5"/>
  <c r="Q351" i="5"/>
  <c r="O351" i="5"/>
  <c r="K351" i="5"/>
  <c r="J351" i="5"/>
  <c r="L351" i="5" s="1"/>
  <c r="F351" i="5"/>
  <c r="E351" i="5"/>
  <c r="D351" i="5"/>
  <c r="A351" i="5"/>
  <c r="V350" i="5"/>
  <c r="U350" i="5"/>
  <c r="T350" i="5"/>
  <c r="Q350" i="5"/>
  <c r="R350" i="5" s="1"/>
  <c r="S350" i="5" s="1"/>
  <c r="O350" i="5"/>
  <c r="L350" i="5"/>
  <c r="K350" i="5"/>
  <c r="J350" i="5"/>
  <c r="F350" i="5"/>
  <c r="E350" i="5"/>
  <c r="D350" i="5"/>
  <c r="A350" i="5"/>
  <c r="V349" i="5"/>
  <c r="U349" i="5"/>
  <c r="T349" i="5"/>
  <c r="Q349" i="5"/>
  <c r="R349" i="5" s="1"/>
  <c r="S349" i="5" s="1"/>
  <c r="O349" i="5"/>
  <c r="K349" i="5"/>
  <c r="J349" i="5"/>
  <c r="L349" i="5" s="1"/>
  <c r="F349" i="5"/>
  <c r="E349" i="5"/>
  <c r="D349" i="5"/>
  <c r="A349" i="5"/>
  <c r="V348" i="5"/>
  <c r="U348" i="5"/>
  <c r="T348" i="5"/>
  <c r="S348" i="5"/>
  <c r="R348" i="5"/>
  <c r="Q348" i="5"/>
  <c r="O348" i="5"/>
  <c r="K348" i="5"/>
  <c r="J348" i="5"/>
  <c r="L348" i="5" s="1"/>
  <c r="F348" i="5"/>
  <c r="E348" i="5"/>
  <c r="D348" i="5"/>
  <c r="A348" i="5"/>
  <c r="V347" i="5"/>
  <c r="U347" i="5"/>
  <c r="T347" i="5"/>
  <c r="Q347" i="5"/>
  <c r="R347" i="5" s="1"/>
  <c r="S347" i="5" s="1"/>
  <c r="O347" i="5"/>
  <c r="L347" i="5"/>
  <c r="K347" i="5"/>
  <c r="J347" i="5"/>
  <c r="F347" i="5"/>
  <c r="E347" i="5"/>
  <c r="D347" i="5"/>
  <c r="A347" i="5"/>
  <c r="V346" i="5"/>
  <c r="U346" i="5"/>
  <c r="T346" i="5"/>
  <c r="Q346" i="5"/>
  <c r="R346" i="5" s="1"/>
  <c r="S346" i="5" s="1"/>
  <c r="O346" i="5"/>
  <c r="K346" i="5"/>
  <c r="J346" i="5"/>
  <c r="L346" i="5" s="1"/>
  <c r="F346" i="5"/>
  <c r="E346" i="5"/>
  <c r="D346" i="5"/>
  <c r="A346" i="5"/>
  <c r="V345" i="5"/>
  <c r="U345" i="5"/>
  <c r="T345" i="5"/>
  <c r="S345" i="5"/>
  <c r="R345" i="5"/>
  <c r="Q345" i="5"/>
  <c r="O345" i="5"/>
  <c r="K345" i="5"/>
  <c r="J345" i="5"/>
  <c r="L345" i="5" s="1"/>
  <c r="F345" i="5"/>
  <c r="E345" i="5"/>
  <c r="D345" i="5"/>
  <c r="A345" i="5"/>
  <c r="V344" i="5"/>
  <c r="U344" i="5"/>
  <c r="T344" i="5"/>
  <c r="Q344" i="5"/>
  <c r="R344" i="5" s="1"/>
  <c r="S344" i="5" s="1"/>
  <c r="O344" i="5"/>
  <c r="L344" i="5"/>
  <c r="K344" i="5"/>
  <c r="J344" i="5"/>
  <c r="F344" i="5"/>
  <c r="E344" i="5"/>
  <c r="D344" i="5"/>
  <c r="A344" i="5"/>
  <c r="V343" i="5"/>
  <c r="U343" i="5"/>
  <c r="T343" i="5"/>
  <c r="Q343" i="5"/>
  <c r="R343" i="5" s="1"/>
  <c r="S343" i="5" s="1"/>
  <c r="O343" i="5"/>
  <c r="K343" i="5"/>
  <c r="J343" i="5"/>
  <c r="L343" i="5" s="1"/>
  <c r="F343" i="5"/>
  <c r="E343" i="5"/>
  <c r="D343" i="5"/>
  <c r="A343" i="5"/>
  <c r="V342" i="5"/>
  <c r="U342" i="5"/>
  <c r="T342" i="5"/>
  <c r="S342" i="5"/>
  <c r="R342" i="5"/>
  <c r="Q342" i="5"/>
  <c r="O342" i="5"/>
  <c r="K342" i="5"/>
  <c r="J342" i="5"/>
  <c r="L342" i="5" s="1"/>
  <c r="F342" i="5"/>
  <c r="E342" i="5"/>
  <c r="D342" i="5"/>
  <c r="A342" i="5"/>
  <c r="V341" i="5"/>
  <c r="U341" i="5"/>
  <c r="T341" i="5"/>
  <c r="Q341" i="5"/>
  <c r="R341" i="5" s="1"/>
  <c r="S341" i="5" s="1"/>
  <c r="O341" i="5"/>
  <c r="L341" i="5"/>
  <c r="K341" i="5"/>
  <c r="J341" i="5"/>
  <c r="F341" i="5"/>
  <c r="E341" i="5"/>
  <c r="D341" i="5"/>
  <c r="A341" i="5"/>
  <c r="V340" i="5"/>
  <c r="U340" i="5"/>
  <c r="T340" i="5"/>
  <c r="Q340" i="5"/>
  <c r="R340" i="5" s="1"/>
  <c r="S340" i="5" s="1"/>
  <c r="O340" i="5"/>
  <c r="K340" i="5"/>
  <c r="J340" i="5"/>
  <c r="L340" i="5" s="1"/>
  <c r="F340" i="5"/>
  <c r="E340" i="5"/>
  <c r="D340" i="5"/>
  <c r="A340" i="5"/>
  <c r="V339" i="5"/>
  <c r="U339" i="5"/>
  <c r="T339" i="5"/>
  <c r="S339" i="5"/>
  <c r="R339" i="5"/>
  <c r="Q339" i="5"/>
  <c r="O339" i="5"/>
  <c r="K339" i="5"/>
  <c r="J339" i="5"/>
  <c r="L339" i="5" s="1"/>
  <c r="F339" i="5"/>
  <c r="E339" i="5"/>
  <c r="D339" i="5"/>
  <c r="A339" i="5"/>
  <c r="V338" i="5"/>
  <c r="U338" i="5"/>
  <c r="T338" i="5"/>
  <c r="Q338" i="5"/>
  <c r="R338" i="5" s="1"/>
  <c r="S338" i="5" s="1"/>
  <c r="O338" i="5"/>
  <c r="L338" i="5"/>
  <c r="K338" i="5"/>
  <c r="J338" i="5"/>
  <c r="F338" i="5"/>
  <c r="E338" i="5"/>
  <c r="D338" i="5"/>
  <c r="A338" i="5"/>
  <c r="V337" i="5"/>
  <c r="U337" i="5"/>
  <c r="T337" i="5"/>
  <c r="Q337" i="5"/>
  <c r="R337" i="5" s="1"/>
  <c r="S337" i="5" s="1"/>
  <c r="O337" i="5"/>
  <c r="K337" i="5"/>
  <c r="J337" i="5"/>
  <c r="L337" i="5" s="1"/>
  <c r="F337" i="5"/>
  <c r="E337" i="5"/>
  <c r="D337" i="5"/>
  <c r="A337" i="5"/>
  <c r="V336" i="5"/>
  <c r="U336" i="5"/>
  <c r="T336" i="5"/>
  <c r="S336" i="5"/>
  <c r="R336" i="5"/>
  <c r="Q336" i="5"/>
  <c r="O336" i="5"/>
  <c r="K336" i="5"/>
  <c r="J336" i="5"/>
  <c r="L336" i="5" s="1"/>
  <c r="F336" i="5"/>
  <c r="E336" i="5"/>
  <c r="D336" i="5"/>
  <c r="A336" i="5"/>
  <c r="V335" i="5"/>
  <c r="U335" i="5"/>
  <c r="T335" i="5"/>
  <c r="Q335" i="5"/>
  <c r="R335" i="5" s="1"/>
  <c r="S335" i="5" s="1"/>
  <c r="O335" i="5"/>
  <c r="L335" i="5"/>
  <c r="K335" i="5"/>
  <c r="J335" i="5"/>
  <c r="F335" i="5"/>
  <c r="E335" i="5"/>
  <c r="D335" i="5"/>
  <c r="A335" i="5"/>
  <c r="V334" i="5"/>
  <c r="U334" i="5"/>
  <c r="T334" i="5"/>
  <c r="Q334" i="5"/>
  <c r="R334" i="5" s="1"/>
  <c r="S334" i="5" s="1"/>
  <c r="O334" i="5"/>
  <c r="K334" i="5"/>
  <c r="J334" i="5"/>
  <c r="L334" i="5" s="1"/>
  <c r="F334" i="5"/>
  <c r="E334" i="5"/>
  <c r="D334" i="5"/>
  <c r="A334" i="5"/>
  <c r="V333" i="5"/>
  <c r="U333" i="5"/>
  <c r="T333" i="5"/>
  <c r="S333" i="5"/>
  <c r="R333" i="5"/>
  <c r="Q333" i="5"/>
  <c r="O333" i="5"/>
  <c r="K333" i="5"/>
  <c r="J333" i="5"/>
  <c r="L333" i="5" s="1"/>
  <c r="F333" i="5"/>
  <c r="E333" i="5"/>
  <c r="D333" i="5"/>
  <c r="A333" i="5"/>
  <c r="V332" i="5"/>
  <c r="U332" i="5"/>
  <c r="T332" i="5"/>
  <c r="Q332" i="5"/>
  <c r="R332" i="5" s="1"/>
  <c r="S332" i="5" s="1"/>
  <c r="O332" i="5"/>
  <c r="L332" i="5"/>
  <c r="K332" i="5"/>
  <c r="J332" i="5"/>
  <c r="F332" i="5"/>
  <c r="E332" i="5"/>
  <c r="D332" i="5"/>
  <c r="A332" i="5"/>
  <c r="V331" i="5"/>
  <c r="U331" i="5"/>
  <c r="T331" i="5"/>
  <c r="Q331" i="5"/>
  <c r="R331" i="5" s="1"/>
  <c r="S331" i="5" s="1"/>
  <c r="O331" i="5"/>
  <c r="K331" i="5"/>
  <c r="J331" i="5"/>
  <c r="L331" i="5" s="1"/>
  <c r="F331" i="5"/>
  <c r="E331" i="5"/>
  <c r="D331" i="5"/>
  <c r="A331" i="5"/>
  <c r="V330" i="5"/>
  <c r="U330" i="5"/>
  <c r="T330" i="5"/>
  <c r="S330" i="5"/>
  <c r="R330" i="5"/>
  <c r="Q330" i="5"/>
  <c r="O330" i="5"/>
  <c r="K330" i="5"/>
  <c r="J330" i="5"/>
  <c r="L330" i="5" s="1"/>
  <c r="F330" i="5"/>
  <c r="E330" i="5"/>
  <c r="D330" i="5"/>
  <c r="A330" i="5"/>
  <c r="V329" i="5"/>
  <c r="U329" i="5"/>
  <c r="T329" i="5"/>
  <c r="Q329" i="5"/>
  <c r="R329" i="5" s="1"/>
  <c r="S329" i="5" s="1"/>
  <c r="O329" i="5"/>
  <c r="L329" i="5"/>
  <c r="K329" i="5"/>
  <c r="J329" i="5"/>
  <c r="F329" i="5"/>
  <c r="E329" i="5"/>
  <c r="D329" i="5"/>
  <c r="A329" i="5"/>
  <c r="V328" i="5"/>
  <c r="U328" i="5"/>
  <c r="T328" i="5"/>
  <c r="Q328" i="5"/>
  <c r="R328" i="5" s="1"/>
  <c r="S328" i="5" s="1"/>
  <c r="O328" i="5"/>
  <c r="K328" i="5"/>
  <c r="J328" i="5"/>
  <c r="L328" i="5" s="1"/>
  <c r="F328" i="5"/>
  <c r="E328" i="5"/>
  <c r="D328" i="5"/>
  <c r="A328" i="5"/>
  <c r="V327" i="5"/>
  <c r="U327" i="5"/>
  <c r="T327" i="5"/>
  <c r="S327" i="5"/>
  <c r="R327" i="5"/>
  <c r="Q327" i="5"/>
  <c r="O327" i="5"/>
  <c r="K327" i="5"/>
  <c r="J327" i="5"/>
  <c r="L327" i="5" s="1"/>
  <c r="F327" i="5"/>
  <c r="E327" i="5"/>
  <c r="D327" i="5"/>
  <c r="A327" i="5"/>
  <c r="V326" i="5"/>
  <c r="U326" i="5"/>
  <c r="T326" i="5"/>
  <c r="Q326" i="5"/>
  <c r="R326" i="5" s="1"/>
  <c r="S326" i="5" s="1"/>
  <c r="O326" i="5"/>
  <c r="L326" i="5"/>
  <c r="K326" i="5"/>
  <c r="J326" i="5"/>
  <c r="F326" i="5"/>
  <c r="E326" i="5"/>
  <c r="D326" i="5"/>
  <c r="A326" i="5"/>
  <c r="V325" i="5"/>
  <c r="U325" i="5"/>
  <c r="T325" i="5"/>
  <c r="Q325" i="5"/>
  <c r="R325" i="5" s="1"/>
  <c r="S325" i="5" s="1"/>
  <c r="O325" i="5"/>
  <c r="K325" i="5"/>
  <c r="J325" i="5"/>
  <c r="L325" i="5" s="1"/>
  <c r="F325" i="5"/>
  <c r="E325" i="5"/>
  <c r="D325" i="5"/>
  <c r="A325" i="5"/>
  <c r="V324" i="5"/>
  <c r="U324" i="5"/>
  <c r="T324" i="5"/>
  <c r="S324" i="5"/>
  <c r="R324" i="5"/>
  <c r="Q324" i="5"/>
  <c r="O324" i="5"/>
  <c r="K324" i="5"/>
  <c r="J324" i="5"/>
  <c r="L324" i="5" s="1"/>
  <c r="F324" i="5"/>
  <c r="E324" i="5"/>
  <c r="D324" i="5"/>
  <c r="A324" i="5"/>
  <c r="V323" i="5"/>
  <c r="U323" i="5"/>
  <c r="T323" i="5"/>
  <c r="Q323" i="5"/>
  <c r="R323" i="5" s="1"/>
  <c r="S323" i="5" s="1"/>
  <c r="O323" i="5"/>
  <c r="L323" i="5"/>
  <c r="K323" i="5"/>
  <c r="J323" i="5"/>
  <c r="F323" i="5"/>
  <c r="E323" i="5"/>
  <c r="D323" i="5"/>
  <c r="A323" i="5"/>
  <c r="V322" i="5"/>
  <c r="U322" i="5"/>
  <c r="T322" i="5"/>
  <c r="Q322" i="5"/>
  <c r="R322" i="5" s="1"/>
  <c r="S322" i="5" s="1"/>
  <c r="O322" i="5"/>
  <c r="K322" i="5"/>
  <c r="J322" i="5"/>
  <c r="L322" i="5" s="1"/>
  <c r="F322" i="5"/>
  <c r="E322" i="5"/>
  <c r="D322" i="5"/>
  <c r="A322" i="5"/>
  <c r="V321" i="5"/>
  <c r="U321" i="5"/>
  <c r="T321" i="5"/>
  <c r="S321" i="5"/>
  <c r="R321" i="5"/>
  <c r="Q321" i="5"/>
  <c r="O321" i="5"/>
  <c r="K321" i="5"/>
  <c r="J321" i="5"/>
  <c r="L321" i="5" s="1"/>
  <c r="F321" i="5"/>
  <c r="E321" i="5"/>
  <c r="D321" i="5"/>
  <c r="A321" i="5"/>
  <c r="V320" i="5"/>
  <c r="U320" i="5"/>
  <c r="T320" i="5"/>
  <c r="Q320" i="5"/>
  <c r="R320" i="5" s="1"/>
  <c r="S320" i="5" s="1"/>
  <c r="O320" i="5"/>
  <c r="L320" i="5"/>
  <c r="K320" i="5"/>
  <c r="J320" i="5"/>
  <c r="F320" i="5"/>
  <c r="E320" i="5"/>
  <c r="D320" i="5"/>
  <c r="A320" i="5"/>
  <c r="V319" i="5"/>
  <c r="U319" i="5"/>
  <c r="T319" i="5"/>
  <c r="Q319" i="5"/>
  <c r="R319" i="5" s="1"/>
  <c r="S319" i="5" s="1"/>
  <c r="O319" i="5"/>
  <c r="K319" i="5"/>
  <c r="J319" i="5"/>
  <c r="L319" i="5" s="1"/>
  <c r="F319" i="5"/>
  <c r="E319" i="5"/>
  <c r="D319" i="5"/>
  <c r="A319" i="5"/>
  <c r="V318" i="5"/>
  <c r="U318" i="5"/>
  <c r="T318" i="5"/>
  <c r="S318" i="5"/>
  <c r="R318" i="5"/>
  <c r="Q318" i="5"/>
  <c r="O318" i="5"/>
  <c r="K318" i="5"/>
  <c r="J318" i="5"/>
  <c r="L318" i="5" s="1"/>
  <c r="F318" i="5"/>
  <c r="E318" i="5"/>
  <c r="D318" i="5"/>
  <c r="A318" i="5"/>
  <c r="V317" i="5"/>
  <c r="U317" i="5"/>
  <c r="T317" i="5"/>
  <c r="Q317" i="5"/>
  <c r="R317" i="5" s="1"/>
  <c r="S317" i="5" s="1"/>
  <c r="O317" i="5"/>
  <c r="L317" i="5"/>
  <c r="K317" i="5"/>
  <c r="J317" i="5"/>
  <c r="F317" i="5"/>
  <c r="E317" i="5"/>
  <c r="D317" i="5"/>
  <c r="A317" i="5"/>
  <c r="V316" i="5"/>
  <c r="U316" i="5"/>
  <c r="T316" i="5"/>
  <c r="Q316" i="5"/>
  <c r="R316" i="5" s="1"/>
  <c r="S316" i="5" s="1"/>
  <c r="O316" i="5"/>
  <c r="K316" i="5"/>
  <c r="J316" i="5"/>
  <c r="L316" i="5" s="1"/>
  <c r="F316" i="5"/>
  <c r="E316" i="5"/>
  <c r="D316" i="5"/>
  <c r="A316" i="5"/>
  <c r="V315" i="5"/>
  <c r="U315" i="5"/>
  <c r="T315" i="5"/>
  <c r="S315" i="5"/>
  <c r="R315" i="5"/>
  <c r="Q315" i="5"/>
  <c r="O315" i="5"/>
  <c r="K315" i="5"/>
  <c r="J315" i="5"/>
  <c r="L315" i="5" s="1"/>
  <c r="F315" i="5"/>
  <c r="E315" i="5"/>
  <c r="D315" i="5"/>
  <c r="A315" i="5"/>
  <c r="V314" i="5"/>
  <c r="U314" i="5"/>
  <c r="T314" i="5"/>
  <c r="Q314" i="5"/>
  <c r="R314" i="5" s="1"/>
  <c r="S314" i="5" s="1"/>
  <c r="O314" i="5"/>
  <c r="L314" i="5"/>
  <c r="K314" i="5"/>
  <c r="J314" i="5"/>
  <c r="F314" i="5"/>
  <c r="E314" i="5"/>
  <c r="D314" i="5"/>
  <c r="A314" i="5"/>
  <c r="V313" i="5"/>
  <c r="U313" i="5"/>
  <c r="T313" i="5"/>
  <c r="Q313" i="5"/>
  <c r="R313" i="5" s="1"/>
  <c r="S313" i="5" s="1"/>
  <c r="O313" i="5"/>
  <c r="K313" i="5"/>
  <c r="J313" i="5"/>
  <c r="L313" i="5" s="1"/>
  <c r="F313" i="5"/>
  <c r="E313" i="5"/>
  <c r="D313" i="5"/>
  <c r="A313" i="5"/>
  <c r="V312" i="5"/>
  <c r="U312" i="5"/>
  <c r="T312" i="5"/>
  <c r="S312" i="5"/>
  <c r="R312" i="5"/>
  <c r="Q312" i="5"/>
  <c r="O312" i="5"/>
  <c r="K312" i="5"/>
  <c r="J312" i="5"/>
  <c r="L312" i="5" s="1"/>
  <c r="F312" i="5"/>
  <c r="E312" i="5"/>
  <c r="D312" i="5"/>
  <c r="A312" i="5"/>
  <c r="V311" i="5"/>
  <c r="U311" i="5"/>
  <c r="T311" i="5"/>
  <c r="Q311" i="5"/>
  <c r="R311" i="5" s="1"/>
  <c r="S311" i="5" s="1"/>
  <c r="O311" i="5"/>
  <c r="L311" i="5"/>
  <c r="K311" i="5"/>
  <c r="J311" i="5"/>
  <c r="F311" i="5"/>
  <c r="E311" i="5"/>
  <c r="D311" i="5"/>
  <c r="A311" i="5"/>
  <c r="V310" i="5"/>
  <c r="U310" i="5"/>
  <c r="T310" i="5"/>
  <c r="Q310" i="5"/>
  <c r="R310" i="5" s="1"/>
  <c r="S310" i="5" s="1"/>
  <c r="O310" i="5"/>
  <c r="K310" i="5"/>
  <c r="J310" i="5"/>
  <c r="L310" i="5" s="1"/>
  <c r="F310" i="5"/>
  <c r="E310" i="5"/>
  <c r="D310" i="5"/>
  <c r="A310" i="5"/>
  <c r="V309" i="5"/>
  <c r="U309" i="5"/>
  <c r="T309" i="5"/>
  <c r="S309" i="5"/>
  <c r="R309" i="5"/>
  <c r="Q309" i="5"/>
  <c r="O309" i="5"/>
  <c r="K309" i="5"/>
  <c r="J309" i="5"/>
  <c r="L309" i="5" s="1"/>
  <c r="F309" i="5"/>
  <c r="E309" i="5"/>
  <c r="D309" i="5"/>
  <c r="A309" i="5"/>
  <c r="V308" i="5"/>
  <c r="U308" i="5"/>
  <c r="T308" i="5"/>
  <c r="Q308" i="5"/>
  <c r="R308" i="5" s="1"/>
  <c r="S308" i="5" s="1"/>
  <c r="O308" i="5"/>
  <c r="L308" i="5"/>
  <c r="K308" i="5"/>
  <c r="J308" i="5"/>
  <c r="F308" i="5"/>
  <c r="E308" i="5"/>
  <c r="D308" i="5"/>
  <c r="A308" i="5"/>
  <c r="V307" i="5"/>
  <c r="U307" i="5"/>
  <c r="T307" i="5"/>
  <c r="Q307" i="5"/>
  <c r="R307" i="5" s="1"/>
  <c r="S307" i="5" s="1"/>
  <c r="O307" i="5"/>
  <c r="K307" i="5"/>
  <c r="J307" i="5"/>
  <c r="L307" i="5" s="1"/>
  <c r="F307" i="5"/>
  <c r="E307" i="5"/>
  <c r="D307" i="5"/>
  <c r="A307" i="5"/>
  <c r="V306" i="5"/>
  <c r="U306" i="5"/>
  <c r="T306" i="5"/>
  <c r="S306" i="5"/>
  <c r="R306" i="5"/>
  <c r="Q306" i="5"/>
  <c r="O306" i="5"/>
  <c r="K306" i="5"/>
  <c r="J306" i="5"/>
  <c r="L306" i="5" s="1"/>
  <c r="F306" i="5"/>
  <c r="E306" i="5"/>
  <c r="D306" i="5"/>
  <c r="A306" i="5"/>
  <c r="V305" i="5"/>
  <c r="U305" i="5"/>
  <c r="T305" i="5"/>
  <c r="Q305" i="5"/>
  <c r="R305" i="5" s="1"/>
  <c r="S305" i="5" s="1"/>
  <c r="O305" i="5"/>
  <c r="L305" i="5"/>
  <c r="K305" i="5"/>
  <c r="J305" i="5"/>
  <c r="F305" i="5"/>
  <c r="E305" i="5"/>
  <c r="D305" i="5"/>
  <c r="A305" i="5"/>
  <c r="V304" i="5"/>
  <c r="U304" i="5"/>
  <c r="T304" i="5"/>
  <c r="Q304" i="5"/>
  <c r="R304" i="5" s="1"/>
  <c r="S304" i="5" s="1"/>
  <c r="O304" i="5"/>
  <c r="K304" i="5"/>
  <c r="J304" i="5"/>
  <c r="L304" i="5" s="1"/>
  <c r="F304" i="5"/>
  <c r="E304" i="5"/>
  <c r="D304" i="5"/>
  <c r="A304" i="5"/>
  <c r="V303" i="5"/>
  <c r="U303" i="5"/>
  <c r="T303" i="5"/>
  <c r="S303" i="5"/>
  <c r="R303" i="5"/>
  <c r="Q303" i="5"/>
  <c r="O303" i="5"/>
  <c r="K303" i="5"/>
  <c r="J303" i="5"/>
  <c r="L303" i="5" s="1"/>
  <c r="F303" i="5"/>
  <c r="E303" i="5"/>
  <c r="D303" i="5"/>
  <c r="A303" i="5"/>
  <c r="V302" i="5"/>
  <c r="U302" i="5"/>
  <c r="T302" i="5"/>
  <c r="Q302" i="5"/>
  <c r="R302" i="5" s="1"/>
  <c r="S302" i="5" s="1"/>
  <c r="O302" i="5"/>
  <c r="L302" i="5"/>
  <c r="K302" i="5"/>
  <c r="J302" i="5"/>
  <c r="F302" i="5"/>
  <c r="E302" i="5"/>
  <c r="D302" i="5"/>
  <c r="A302" i="5"/>
  <c r="V301" i="5"/>
  <c r="U301" i="5"/>
  <c r="T301" i="5"/>
  <c r="Q301" i="5"/>
  <c r="R301" i="5" s="1"/>
  <c r="S301" i="5" s="1"/>
  <c r="O301" i="5"/>
  <c r="K301" i="5"/>
  <c r="J301" i="5"/>
  <c r="L301" i="5" s="1"/>
  <c r="F301" i="5"/>
  <c r="E301" i="5"/>
  <c r="D301" i="5"/>
  <c r="A301" i="5"/>
  <c r="V300" i="5"/>
  <c r="U300" i="5"/>
  <c r="T300" i="5"/>
  <c r="R300" i="5"/>
  <c r="S300" i="5" s="1"/>
  <c r="Q300" i="5"/>
  <c r="O300" i="5"/>
  <c r="L300" i="5"/>
  <c r="K300" i="5"/>
  <c r="J300" i="5"/>
  <c r="F300" i="5"/>
  <c r="E300" i="5"/>
  <c r="D300" i="5"/>
  <c r="A300" i="5"/>
  <c r="V299" i="5"/>
  <c r="T299" i="5"/>
  <c r="U299" i="5" s="1"/>
  <c r="Q299" i="5"/>
  <c r="R299" i="5" s="1"/>
  <c r="S299" i="5" s="1"/>
  <c r="O299" i="5"/>
  <c r="L299" i="5"/>
  <c r="K299" i="5"/>
  <c r="J299" i="5"/>
  <c r="F299" i="5"/>
  <c r="E299" i="5"/>
  <c r="D299" i="5"/>
  <c r="A299" i="5"/>
  <c r="V298" i="5"/>
  <c r="U298" i="5"/>
  <c r="T298" i="5"/>
  <c r="O298" i="5"/>
  <c r="Q298" i="5" s="1"/>
  <c r="R298" i="5" s="1"/>
  <c r="S298" i="5" s="1"/>
  <c r="K298" i="5"/>
  <c r="J298" i="5"/>
  <c r="L298" i="5" s="1"/>
  <c r="F298" i="5"/>
  <c r="E298" i="5"/>
  <c r="D298" i="5"/>
  <c r="A298" i="5"/>
  <c r="V297" i="5"/>
  <c r="U297" i="5"/>
  <c r="T297" i="5"/>
  <c r="R297" i="5"/>
  <c r="S297" i="5" s="1"/>
  <c r="Q297" i="5"/>
  <c r="O297" i="5"/>
  <c r="L297" i="5"/>
  <c r="K297" i="5"/>
  <c r="J297" i="5"/>
  <c r="F297" i="5"/>
  <c r="E297" i="5"/>
  <c r="D297" i="5"/>
  <c r="A297" i="5"/>
  <c r="V296" i="5"/>
  <c r="T296" i="5"/>
  <c r="U296" i="5" s="1"/>
  <c r="Q296" i="5"/>
  <c r="R296" i="5" s="1"/>
  <c r="S296" i="5" s="1"/>
  <c r="O296" i="5"/>
  <c r="L296" i="5"/>
  <c r="K296" i="5"/>
  <c r="J296" i="5"/>
  <c r="F296" i="5"/>
  <c r="E296" i="5"/>
  <c r="D296" i="5"/>
  <c r="A296" i="5"/>
  <c r="V295" i="5"/>
  <c r="U295" i="5"/>
  <c r="T295" i="5"/>
  <c r="Q295" i="5"/>
  <c r="R295" i="5" s="1"/>
  <c r="S295" i="5" s="1"/>
  <c r="O295" i="5"/>
  <c r="K295" i="5"/>
  <c r="J295" i="5"/>
  <c r="L295" i="5" s="1"/>
  <c r="F295" i="5"/>
  <c r="E295" i="5"/>
  <c r="D295" i="5"/>
  <c r="A295" i="5"/>
  <c r="V294" i="5"/>
  <c r="U294" i="5"/>
  <c r="T294" i="5"/>
  <c r="R294" i="5"/>
  <c r="S294" i="5" s="1"/>
  <c r="Q294" i="5"/>
  <c r="O294" i="5"/>
  <c r="K294" i="5"/>
  <c r="J294" i="5"/>
  <c r="L294" i="5" s="1"/>
  <c r="F294" i="5"/>
  <c r="E294" i="5"/>
  <c r="D294" i="5"/>
  <c r="A294" i="5"/>
  <c r="V293" i="5"/>
  <c r="T293" i="5"/>
  <c r="U293" i="5" s="1"/>
  <c r="Q293" i="5"/>
  <c r="R293" i="5" s="1"/>
  <c r="S293" i="5" s="1"/>
  <c r="O293" i="5"/>
  <c r="L293" i="5"/>
  <c r="K293" i="5"/>
  <c r="J293" i="5"/>
  <c r="F293" i="5"/>
  <c r="E293" i="5"/>
  <c r="D293" i="5"/>
  <c r="A293" i="5"/>
  <c r="V292" i="5"/>
  <c r="U292" i="5"/>
  <c r="T292" i="5"/>
  <c r="Q292" i="5"/>
  <c r="R292" i="5" s="1"/>
  <c r="S292" i="5" s="1"/>
  <c r="O292" i="5"/>
  <c r="K292" i="5"/>
  <c r="J292" i="5"/>
  <c r="L292" i="5" s="1"/>
  <c r="F292" i="5"/>
  <c r="E292" i="5"/>
  <c r="D292" i="5"/>
  <c r="A292" i="5"/>
  <c r="V291" i="5"/>
  <c r="U291" i="5"/>
  <c r="T291" i="5"/>
  <c r="R291" i="5"/>
  <c r="S291" i="5" s="1"/>
  <c r="Q291" i="5"/>
  <c r="O291" i="5"/>
  <c r="L291" i="5"/>
  <c r="K291" i="5"/>
  <c r="J291" i="5"/>
  <c r="F291" i="5"/>
  <c r="E291" i="5"/>
  <c r="D291" i="5"/>
  <c r="A291" i="5"/>
  <c r="V290" i="5"/>
  <c r="T290" i="5"/>
  <c r="U290" i="5" s="1"/>
  <c r="Q290" i="5"/>
  <c r="R290" i="5" s="1"/>
  <c r="S290" i="5" s="1"/>
  <c r="O290" i="5"/>
  <c r="L290" i="5"/>
  <c r="K290" i="5"/>
  <c r="J290" i="5"/>
  <c r="F290" i="5"/>
  <c r="E290" i="5"/>
  <c r="D290" i="5"/>
  <c r="A290" i="5"/>
  <c r="V289" i="5"/>
  <c r="U289" i="5"/>
  <c r="T289" i="5"/>
  <c r="O289" i="5"/>
  <c r="Q289" i="5" s="1"/>
  <c r="R289" i="5" s="1"/>
  <c r="S289" i="5" s="1"/>
  <c r="K289" i="5"/>
  <c r="J289" i="5"/>
  <c r="L289" i="5" s="1"/>
  <c r="F289" i="5"/>
  <c r="E289" i="5"/>
  <c r="D289" i="5"/>
  <c r="A289" i="5"/>
  <c r="V288" i="5"/>
  <c r="U288" i="5"/>
  <c r="T288" i="5"/>
  <c r="R288" i="5"/>
  <c r="S288" i="5" s="1"/>
  <c r="Q288" i="5"/>
  <c r="O288" i="5"/>
  <c r="L288" i="5"/>
  <c r="K288" i="5"/>
  <c r="J288" i="5"/>
  <c r="F288" i="5"/>
  <c r="E288" i="5"/>
  <c r="D288" i="5"/>
  <c r="A288" i="5"/>
  <c r="V287" i="5"/>
  <c r="T287" i="5"/>
  <c r="U287" i="5" s="1"/>
  <c r="Q287" i="5"/>
  <c r="R287" i="5" s="1"/>
  <c r="S287" i="5" s="1"/>
  <c r="O287" i="5"/>
  <c r="L287" i="5"/>
  <c r="K287" i="5"/>
  <c r="J287" i="5"/>
  <c r="F287" i="5"/>
  <c r="E287" i="5"/>
  <c r="D287" i="5"/>
  <c r="A287" i="5"/>
  <c r="V286" i="5"/>
  <c r="U286" i="5"/>
  <c r="T286" i="5"/>
  <c r="Q286" i="5"/>
  <c r="R286" i="5" s="1"/>
  <c r="S286" i="5" s="1"/>
  <c r="O286" i="5"/>
  <c r="K286" i="5"/>
  <c r="J286" i="5"/>
  <c r="L286" i="5" s="1"/>
  <c r="F286" i="5"/>
  <c r="E286" i="5"/>
  <c r="D286" i="5"/>
  <c r="A286" i="5"/>
  <c r="V285" i="5"/>
  <c r="U285" i="5"/>
  <c r="T285" i="5"/>
  <c r="R285" i="5"/>
  <c r="S285" i="5" s="1"/>
  <c r="Q285" i="5"/>
  <c r="O285" i="5"/>
  <c r="K285" i="5"/>
  <c r="J285" i="5"/>
  <c r="L285" i="5" s="1"/>
  <c r="F285" i="5"/>
  <c r="E285" i="5"/>
  <c r="D285" i="5"/>
  <c r="A285" i="5"/>
  <c r="V284" i="5"/>
  <c r="T284" i="5"/>
  <c r="U284" i="5" s="1"/>
  <c r="Q284" i="5"/>
  <c r="R284" i="5" s="1"/>
  <c r="S284" i="5" s="1"/>
  <c r="O284" i="5"/>
  <c r="L284" i="5"/>
  <c r="K284" i="5"/>
  <c r="J284" i="5"/>
  <c r="F284" i="5"/>
  <c r="E284" i="5"/>
  <c r="D284" i="5"/>
  <c r="A284" i="5"/>
  <c r="V283" i="5"/>
  <c r="U283" i="5"/>
  <c r="T283" i="5"/>
  <c r="S283" i="5"/>
  <c r="Q283" i="5"/>
  <c r="R283" i="5" s="1"/>
  <c r="O283" i="5"/>
  <c r="K283" i="5"/>
  <c r="J283" i="5"/>
  <c r="L283" i="5" s="1"/>
  <c r="F283" i="5"/>
  <c r="E283" i="5"/>
  <c r="D283" i="5"/>
  <c r="A283" i="5"/>
  <c r="V282" i="5"/>
  <c r="U282" i="5"/>
  <c r="T282" i="5"/>
  <c r="S282" i="5"/>
  <c r="R282" i="5"/>
  <c r="Q282" i="5"/>
  <c r="O282" i="5"/>
  <c r="L282" i="5"/>
  <c r="K282" i="5"/>
  <c r="J282" i="5"/>
  <c r="F282" i="5"/>
  <c r="E282" i="5"/>
  <c r="D282" i="5"/>
  <c r="A282" i="5"/>
  <c r="V281" i="5"/>
  <c r="U281" i="5"/>
  <c r="T281" i="5"/>
  <c r="Q281" i="5"/>
  <c r="R281" i="5" s="1"/>
  <c r="S281" i="5" s="1"/>
  <c r="O281" i="5"/>
  <c r="L281" i="5"/>
  <c r="K281" i="5"/>
  <c r="J281" i="5"/>
  <c r="F281" i="5"/>
  <c r="E281" i="5"/>
  <c r="D281" i="5"/>
  <c r="A281" i="5"/>
  <c r="V280" i="5"/>
  <c r="U280" i="5"/>
  <c r="T280" i="5"/>
  <c r="O280" i="5"/>
  <c r="Q280" i="5" s="1"/>
  <c r="R280" i="5" s="1"/>
  <c r="S280" i="5" s="1"/>
  <c r="K280" i="5"/>
  <c r="J280" i="5"/>
  <c r="L280" i="5" s="1"/>
  <c r="F280" i="5"/>
  <c r="E280" i="5"/>
  <c r="D280" i="5"/>
  <c r="A280" i="5"/>
  <c r="V279" i="5"/>
  <c r="U279" i="5"/>
  <c r="T279" i="5"/>
  <c r="R279" i="5"/>
  <c r="S279" i="5" s="1"/>
  <c r="Q279" i="5"/>
  <c r="O279" i="5"/>
  <c r="L279" i="5"/>
  <c r="K279" i="5"/>
  <c r="J279" i="5"/>
  <c r="F279" i="5"/>
  <c r="E279" i="5"/>
  <c r="D279" i="5"/>
  <c r="A279" i="5"/>
  <c r="V278" i="5"/>
  <c r="T278" i="5"/>
  <c r="U278" i="5" s="1"/>
  <c r="Q278" i="5"/>
  <c r="R278" i="5" s="1"/>
  <c r="S278" i="5" s="1"/>
  <c r="O278" i="5"/>
  <c r="L278" i="5"/>
  <c r="K278" i="5"/>
  <c r="J278" i="5"/>
  <c r="F278" i="5"/>
  <c r="E278" i="5"/>
  <c r="D278" i="5"/>
  <c r="A278" i="5"/>
  <c r="V277" i="5"/>
  <c r="U277" i="5"/>
  <c r="T277" i="5"/>
  <c r="Q277" i="5"/>
  <c r="R277" i="5" s="1"/>
  <c r="S277" i="5" s="1"/>
  <c r="O277" i="5"/>
  <c r="K277" i="5"/>
  <c r="J277" i="5"/>
  <c r="L277" i="5" s="1"/>
  <c r="F277" i="5"/>
  <c r="E277" i="5"/>
  <c r="D277" i="5"/>
  <c r="A277" i="5"/>
  <c r="V276" i="5"/>
  <c r="U276" i="5"/>
  <c r="T276" i="5"/>
  <c r="R276" i="5"/>
  <c r="S276" i="5" s="1"/>
  <c r="Q276" i="5"/>
  <c r="O276" i="5"/>
  <c r="K276" i="5"/>
  <c r="J276" i="5"/>
  <c r="L276" i="5" s="1"/>
  <c r="F276" i="5"/>
  <c r="E276" i="5"/>
  <c r="D276" i="5"/>
  <c r="A276" i="5"/>
  <c r="V275" i="5"/>
  <c r="T275" i="5"/>
  <c r="U275" i="5" s="1"/>
  <c r="Q275" i="5"/>
  <c r="R275" i="5" s="1"/>
  <c r="S275" i="5" s="1"/>
  <c r="O275" i="5"/>
  <c r="L275" i="5"/>
  <c r="K275" i="5"/>
  <c r="J275" i="5"/>
  <c r="F275" i="5"/>
  <c r="E275" i="5"/>
  <c r="D275" i="5"/>
  <c r="A275" i="5"/>
  <c r="V274" i="5"/>
  <c r="U274" i="5"/>
  <c r="T274" i="5"/>
  <c r="S274" i="5"/>
  <c r="Q274" i="5"/>
  <c r="R274" i="5" s="1"/>
  <c r="O274" i="5"/>
  <c r="K274" i="5"/>
  <c r="J274" i="5"/>
  <c r="L274" i="5" s="1"/>
  <c r="F274" i="5"/>
  <c r="E274" i="5"/>
  <c r="D274" i="5"/>
  <c r="A274" i="5"/>
  <c r="V273" i="5"/>
  <c r="U273" i="5"/>
  <c r="T273" i="5"/>
  <c r="S273" i="5"/>
  <c r="R273" i="5"/>
  <c r="Q273" i="5"/>
  <c r="O273" i="5"/>
  <c r="L273" i="5"/>
  <c r="K273" i="5"/>
  <c r="J273" i="5"/>
  <c r="F273" i="5"/>
  <c r="E273" i="5"/>
  <c r="D273" i="5"/>
  <c r="A273" i="5"/>
  <c r="V272" i="5"/>
  <c r="U272" i="5"/>
  <c r="T272" i="5"/>
  <c r="Q272" i="5"/>
  <c r="R272" i="5" s="1"/>
  <c r="S272" i="5" s="1"/>
  <c r="O272" i="5"/>
  <c r="L272" i="5"/>
  <c r="K272" i="5"/>
  <c r="J272" i="5"/>
  <c r="F272" i="5"/>
  <c r="E272" i="5"/>
  <c r="D272" i="5"/>
  <c r="A272" i="5"/>
  <c r="V271" i="5"/>
  <c r="U271" i="5"/>
  <c r="T271" i="5"/>
  <c r="O271" i="5"/>
  <c r="Q271" i="5" s="1"/>
  <c r="R271" i="5" s="1"/>
  <c r="S271" i="5" s="1"/>
  <c r="L271" i="5"/>
  <c r="K271" i="5"/>
  <c r="J271" i="5"/>
  <c r="F271" i="5"/>
  <c r="E271" i="5"/>
  <c r="D271" i="5"/>
  <c r="A271" i="5"/>
  <c r="V270" i="5"/>
  <c r="U270" i="5"/>
  <c r="T270" i="5"/>
  <c r="Q270" i="5"/>
  <c r="R270" i="5" s="1"/>
  <c r="S270" i="5" s="1"/>
  <c r="O270" i="5"/>
  <c r="L270" i="5"/>
  <c r="K270" i="5"/>
  <c r="J270" i="5"/>
  <c r="F270" i="5"/>
  <c r="E270" i="5"/>
  <c r="D270" i="5"/>
  <c r="A270" i="5"/>
  <c r="V269" i="5"/>
  <c r="T269" i="5"/>
  <c r="U269" i="5" s="1"/>
  <c r="S269" i="5"/>
  <c r="Q269" i="5"/>
  <c r="R269" i="5" s="1"/>
  <c r="O269" i="5"/>
  <c r="K269" i="5"/>
  <c r="J269" i="5"/>
  <c r="L269" i="5" s="1"/>
  <c r="F269" i="5"/>
  <c r="E269" i="5"/>
  <c r="D269" i="5"/>
  <c r="A269" i="5"/>
  <c r="V268" i="5"/>
  <c r="U268" i="5"/>
  <c r="T268" i="5"/>
  <c r="S268" i="5"/>
  <c r="Q268" i="5"/>
  <c r="R268" i="5" s="1"/>
  <c r="O268" i="5"/>
  <c r="K268" i="5"/>
  <c r="J268" i="5"/>
  <c r="L268" i="5" s="1"/>
  <c r="F268" i="5"/>
  <c r="E268" i="5"/>
  <c r="D268" i="5"/>
  <c r="A268" i="5"/>
  <c r="V267" i="5"/>
  <c r="U267" i="5"/>
  <c r="T267" i="5"/>
  <c r="Q267" i="5"/>
  <c r="R267" i="5" s="1"/>
  <c r="S267" i="5" s="1"/>
  <c r="O267" i="5"/>
  <c r="L267" i="5"/>
  <c r="K267" i="5"/>
  <c r="J267" i="5"/>
  <c r="F267" i="5"/>
  <c r="E267" i="5"/>
  <c r="D267" i="5"/>
  <c r="A267" i="5"/>
  <c r="V266" i="5"/>
  <c r="U266" i="5"/>
  <c r="T266" i="5"/>
  <c r="Q266" i="5"/>
  <c r="R266" i="5" s="1"/>
  <c r="S266" i="5" s="1"/>
  <c r="O266" i="5"/>
  <c r="L266" i="5"/>
  <c r="K266" i="5"/>
  <c r="J266" i="5"/>
  <c r="F266" i="5"/>
  <c r="E266" i="5"/>
  <c r="D266" i="5"/>
  <c r="A266" i="5"/>
  <c r="V265" i="5"/>
  <c r="U265" i="5"/>
  <c r="T265" i="5"/>
  <c r="Q265" i="5"/>
  <c r="R265" i="5" s="1"/>
  <c r="S265" i="5" s="1"/>
  <c r="O265" i="5"/>
  <c r="L265" i="5"/>
  <c r="K265" i="5"/>
  <c r="J265" i="5"/>
  <c r="F265" i="5"/>
  <c r="E265" i="5"/>
  <c r="D265" i="5"/>
  <c r="A265" i="5"/>
  <c r="V264" i="5"/>
  <c r="U264" i="5"/>
  <c r="T264" i="5"/>
  <c r="S264" i="5"/>
  <c r="R264" i="5"/>
  <c r="Q264" i="5"/>
  <c r="O264" i="5"/>
  <c r="K264" i="5"/>
  <c r="J264" i="5"/>
  <c r="L264" i="5" s="1"/>
  <c r="F264" i="5"/>
  <c r="E264" i="5"/>
  <c r="D264" i="5"/>
  <c r="A264" i="5"/>
  <c r="V263" i="5"/>
  <c r="U263" i="5"/>
  <c r="T263" i="5"/>
  <c r="S263" i="5"/>
  <c r="Q263" i="5"/>
  <c r="R263" i="5" s="1"/>
  <c r="O263" i="5"/>
  <c r="L263" i="5"/>
  <c r="K263" i="5"/>
  <c r="J263" i="5"/>
  <c r="F263" i="5"/>
  <c r="E263" i="5"/>
  <c r="D263" i="5"/>
  <c r="A263" i="5"/>
  <c r="V262" i="5"/>
  <c r="U262" i="5"/>
  <c r="T262" i="5"/>
  <c r="O262" i="5"/>
  <c r="Q262" i="5" s="1"/>
  <c r="R262" i="5" s="1"/>
  <c r="S262" i="5" s="1"/>
  <c r="L262" i="5"/>
  <c r="K262" i="5"/>
  <c r="J262" i="5"/>
  <c r="F262" i="5"/>
  <c r="E262" i="5"/>
  <c r="D262" i="5"/>
  <c r="A262" i="5"/>
  <c r="V261" i="5"/>
  <c r="U261" i="5"/>
  <c r="T261" i="5"/>
  <c r="Q261" i="5"/>
  <c r="R261" i="5" s="1"/>
  <c r="S261" i="5" s="1"/>
  <c r="O261" i="5"/>
  <c r="L261" i="5"/>
  <c r="K261" i="5"/>
  <c r="J261" i="5"/>
  <c r="F261" i="5"/>
  <c r="E261" i="5"/>
  <c r="D261" i="5"/>
  <c r="A261" i="5"/>
  <c r="V260" i="5"/>
  <c r="T260" i="5"/>
  <c r="U260" i="5" s="1"/>
  <c r="S260" i="5"/>
  <c r="Q260" i="5"/>
  <c r="R260" i="5" s="1"/>
  <c r="O260" i="5"/>
  <c r="K260" i="5"/>
  <c r="J260" i="5"/>
  <c r="L260" i="5" s="1"/>
  <c r="F260" i="5"/>
  <c r="E260" i="5"/>
  <c r="D260" i="5"/>
  <c r="A260" i="5"/>
  <c r="V259" i="5"/>
  <c r="U259" i="5"/>
  <c r="T259" i="5"/>
  <c r="S259" i="5"/>
  <c r="Q259" i="5"/>
  <c r="R259" i="5" s="1"/>
  <c r="O259" i="5"/>
  <c r="K259" i="5"/>
  <c r="J259" i="5"/>
  <c r="L259" i="5" s="1"/>
  <c r="F259" i="5"/>
  <c r="E259" i="5"/>
  <c r="D259" i="5"/>
  <c r="A259" i="5"/>
  <c r="V258" i="5"/>
  <c r="U258" i="5"/>
  <c r="T258" i="5"/>
  <c r="O258" i="5"/>
  <c r="Q258" i="5" s="1"/>
  <c r="R258" i="5" s="1"/>
  <c r="S258" i="5" s="1"/>
  <c r="L258" i="5"/>
  <c r="K258" i="5"/>
  <c r="J258" i="5"/>
  <c r="F258" i="5"/>
  <c r="E258" i="5"/>
  <c r="D258" i="5"/>
  <c r="A258" i="5"/>
  <c r="V257" i="5"/>
  <c r="U257" i="5"/>
  <c r="T257" i="5"/>
  <c r="Q257" i="5"/>
  <c r="R257" i="5" s="1"/>
  <c r="S257" i="5" s="1"/>
  <c r="O257" i="5"/>
  <c r="L257" i="5"/>
  <c r="K257" i="5"/>
  <c r="J257" i="5"/>
  <c r="F257" i="5"/>
  <c r="E257" i="5"/>
  <c r="D257" i="5"/>
  <c r="A257" i="5"/>
  <c r="V256" i="5"/>
  <c r="T256" i="5"/>
  <c r="U256" i="5" s="1"/>
  <c r="S256" i="5"/>
  <c r="Q256" i="5"/>
  <c r="R256" i="5" s="1"/>
  <c r="O256" i="5"/>
  <c r="K256" i="5"/>
  <c r="J256" i="5"/>
  <c r="L256" i="5" s="1"/>
  <c r="F256" i="5"/>
  <c r="E256" i="5"/>
  <c r="D256" i="5"/>
  <c r="A256" i="5"/>
  <c r="V255" i="5"/>
  <c r="U255" i="5"/>
  <c r="T255" i="5"/>
  <c r="O255" i="5"/>
  <c r="Q255" i="5" s="1"/>
  <c r="R255" i="5" s="1"/>
  <c r="S255" i="5" s="1"/>
  <c r="L255" i="5"/>
  <c r="K255" i="5"/>
  <c r="J255" i="5"/>
  <c r="F255" i="5"/>
  <c r="E255" i="5"/>
  <c r="D255" i="5"/>
  <c r="A255" i="5"/>
  <c r="V254" i="5"/>
  <c r="U254" i="5"/>
  <c r="T254" i="5"/>
  <c r="Q254" i="5"/>
  <c r="R254" i="5" s="1"/>
  <c r="S254" i="5" s="1"/>
  <c r="O254" i="5"/>
  <c r="L254" i="5"/>
  <c r="K254" i="5"/>
  <c r="J254" i="5"/>
  <c r="F254" i="5"/>
  <c r="E254" i="5"/>
  <c r="D254" i="5"/>
  <c r="A254" i="5"/>
  <c r="V253" i="5"/>
  <c r="T253" i="5"/>
  <c r="U253" i="5" s="1"/>
  <c r="Q253" i="5"/>
  <c r="R253" i="5" s="1"/>
  <c r="S253" i="5" s="1"/>
  <c r="O253" i="5"/>
  <c r="L253" i="5"/>
  <c r="K253" i="5"/>
  <c r="J253" i="5"/>
  <c r="F253" i="5"/>
  <c r="E253" i="5"/>
  <c r="D253" i="5"/>
  <c r="A253" i="5"/>
  <c r="V252" i="5"/>
  <c r="U252" i="5"/>
  <c r="T252" i="5"/>
  <c r="S252" i="5"/>
  <c r="R252" i="5"/>
  <c r="Q252" i="5"/>
  <c r="O252" i="5"/>
  <c r="K252" i="5"/>
  <c r="J252" i="5"/>
  <c r="L252" i="5" s="1"/>
  <c r="F252" i="5"/>
  <c r="E252" i="5"/>
  <c r="D252" i="5"/>
  <c r="A252" i="5"/>
  <c r="V251" i="5"/>
  <c r="U251" i="5"/>
  <c r="T251" i="5"/>
  <c r="Q251" i="5"/>
  <c r="R251" i="5" s="1"/>
  <c r="S251" i="5" s="1"/>
  <c r="O251" i="5"/>
  <c r="L251" i="5"/>
  <c r="K251" i="5"/>
  <c r="J251" i="5"/>
  <c r="F251" i="5"/>
  <c r="E251" i="5"/>
  <c r="D251" i="5"/>
  <c r="A251" i="5"/>
  <c r="V250" i="5"/>
  <c r="U250" i="5"/>
  <c r="T250" i="5"/>
  <c r="O250" i="5"/>
  <c r="Q250" i="5" s="1"/>
  <c r="R250" i="5" s="1"/>
  <c r="S250" i="5" s="1"/>
  <c r="L250" i="5"/>
  <c r="K250" i="5"/>
  <c r="J250" i="5"/>
  <c r="F250" i="5"/>
  <c r="E250" i="5"/>
  <c r="D250" i="5"/>
  <c r="A250" i="5"/>
  <c r="V249" i="5"/>
  <c r="U249" i="5"/>
  <c r="T249" i="5"/>
  <c r="R249" i="5"/>
  <c r="S249" i="5" s="1"/>
  <c r="Q249" i="5"/>
  <c r="O249" i="5"/>
  <c r="K249" i="5"/>
  <c r="J249" i="5"/>
  <c r="L249" i="5" s="1"/>
  <c r="F249" i="5"/>
  <c r="E249" i="5"/>
  <c r="D249" i="5"/>
  <c r="A249" i="5"/>
  <c r="V248" i="5"/>
  <c r="T248" i="5"/>
  <c r="U248" i="5" s="1"/>
  <c r="S248" i="5"/>
  <c r="R248" i="5"/>
  <c r="Q248" i="5"/>
  <c r="O248" i="5"/>
  <c r="L248" i="5"/>
  <c r="K248" i="5"/>
  <c r="J248" i="5"/>
  <c r="F248" i="5"/>
  <c r="E248" i="5"/>
  <c r="D248" i="5"/>
  <c r="A248" i="5"/>
  <c r="V247" i="5"/>
  <c r="U247" i="5"/>
  <c r="T247" i="5"/>
  <c r="O247" i="5"/>
  <c r="Q247" i="5" s="1"/>
  <c r="R247" i="5" s="1"/>
  <c r="S247" i="5" s="1"/>
  <c r="L247" i="5"/>
  <c r="K247" i="5"/>
  <c r="J247" i="5"/>
  <c r="F247" i="5"/>
  <c r="E247" i="5"/>
  <c r="D247" i="5"/>
  <c r="A247" i="5"/>
  <c r="V246" i="5"/>
  <c r="U246" i="5"/>
  <c r="T246" i="5"/>
  <c r="Q246" i="5"/>
  <c r="R246" i="5" s="1"/>
  <c r="S246" i="5" s="1"/>
  <c r="O246" i="5"/>
  <c r="L246" i="5"/>
  <c r="K246" i="5"/>
  <c r="J246" i="5"/>
  <c r="F246" i="5"/>
  <c r="E246" i="5"/>
  <c r="D246" i="5"/>
  <c r="A246" i="5"/>
  <c r="V245" i="5"/>
  <c r="T245" i="5"/>
  <c r="U245" i="5" s="1"/>
  <c r="S245" i="5"/>
  <c r="R245" i="5"/>
  <c r="Q245" i="5"/>
  <c r="O245" i="5"/>
  <c r="K245" i="5"/>
  <c r="J245" i="5"/>
  <c r="L245" i="5" s="1"/>
  <c r="F245" i="5"/>
  <c r="E245" i="5"/>
  <c r="D245" i="5"/>
  <c r="A245" i="5"/>
  <c r="V244" i="5"/>
  <c r="U244" i="5"/>
  <c r="T244" i="5"/>
  <c r="O244" i="5"/>
  <c r="Q244" i="5" s="1"/>
  <c r="R244" i="5" s="1"/>
  <c r="S244" i="5" s="1"/>
  <c r="L244" i="5"/>
  <c r="K244" i="5"/>
  <c r="J244" i="5"/>
  <c r="F244" i="5"/>
  <c r="E244" i="5"/>
  <c r="D244" i="5"/>
  <c r="A244" i="5"/>
  <c r="V243" i="5"/>
  <c r="U243" i="5"/>
  <c r="T243" i="5"/>
  <c r="O243" i="5"/>
  <c r="Q243" i="5" s="1"/>
  <c r="R243" i="5" s="1"/>
  <c r="S243" i="5" s="1"/>
  <c r="L243" i="5"/>
  <c r="K243" i="5"/>
  <c r="J243" i="5"/>
  <c r="F243" i="5"/>
  <c r="E243" i="5"/>
  <c r="D243" i="5"/>
  <c r="A243" i="5"/>
  <c r="V242" i="5"/>
  <c r="T242" i="5"/>
  <c r="U242" i="5" s="1"/>
  <c r="S242" i="5"/>
  <c r="R242" i="5"/>
  <c r="Q242" i="5"/>
  <c r="O242" i="5"/>
  <c r="K242" i="5"/>
  <c r="J242" i="5"/>
  <c r="L242" i="5" s="1"/>
  <c r="F242" i="5"/>
  <c r="E242" i="5"/>
  <c r="D242" i="5"/>
  <c r="A242" i="5"/>
  <c r="V241" i="5"/>
  <c r="T241" i="5"/>
  <c r="U241" i="5" s="1"/>
  <c r="S241" i="5"/>
  <c r="Q241" i="5"/>
  <c r="R241" i="5" s="1"/>
  <c r="O241" i="5"/>
  <c r="K241" i="5"/>
  <c r="J241" i="5"/>
  <c r="L241" i="5" s="1"/>
  <c r="F241" i="5"/>
  <c r="E241" i="5"/>
  <c r="D241" i="5"/>
  <c r="A241" i="5"/>
  <c r="V240" i="5"/>
  <c r="U240" i="5"/>
  <c r="T240" i="5"/>
  <c r="O240" i="5"/>
  <c r="Q240" i="5" s="1"/>
  <c r="R240" i="5" s="1"/>
  <c r="S240" i="5" s="1"/>
  <c r="L240" i="5"/>
  <c r="K240" i="5"/>
  <c r="J240" i="5"/>
  <c r="F240" i="5"/>
  <c r="E240" i="5"/>
  <c r="D240" i="5"/>
  <c r="A240" i="5"/>
  <c r="V239" i="5"/>
  <c r="U239" i="5"/>
  <c r="T239" i="5"/>
  <c r="R239" i="5"/>
  <c r="S239" i="5" s="1"/>
  <c r="Q239" i="5"/>
  <c r="O239" i="5"/>
  <c r="L239" i="5"/>
  <c r="K239" i="5"/>
  <c r="J239" i="5"/>
  <c r="F239" i="5"/>
  <c r="E239" i="5"/>
  <c r="D239" i="5"/>
  <c r="A239" i="5"/>
  <c r="V238" i="5"/>
  <c r="T238" i="5"/>
  <c r="U238" i="5" s="1"/>
  <c r="S238" i="5"/>
  <c r="Q238" i="5"/>
  <c r="R238" i="5" s="1"/>
  <c r="O238" i="5"/>
  <c r="K238" i="5"/>
  <c r="J238" i="5"/>
  <c r="L238" i="5" s="1"/>
  <c r="F238" i="5"/>
  <c r="E238" i="5"/>
  <c r="D238" i="5"/>
  <c r="A238" i="5"/>
  <c r="V237" i="5"/>
  <c r="U237" i="5"/>
  <c r="T237" i="5"/>
  <c r="S237" i="5"/>
  <c r="O237" i="5"/>
  <c r="Q237" i="5" s="1"/>
  <c r="R237" i="5" s="1"/>
  <c r="L237" i="5"/>
  <c r="K237" i="5"/>
  <c r="J237" i="5"/>
  <c r="F237" i="5"/>
  <c r="E237" i="5"/>
  <c r="D237" i="5"/>
  <c r="A237" i="5"/>
  <c r="V236" i="5"/>
  <c r="U236" i="5"/>
  <c r="T236" i="5"/>
  <c r="Q236" i="5"/>
  <c r="R236" i="5" s="1"/>
  <c r="S236" i="5" s="1"/>
  <c r="O236" i="5"/>
  <c r="L236" i="5"/>
  <c r="K236" i="5"/>
  <c r="J236" i="5"/>
  <c r="F236" i="5"/>
  <c r="E236" i="5"/>
  <c r="D236" i="5"/>
  <c r="A236" i="5"/>
  <c r="V235" i="5"/>
  <c r="T235" i="5"/>
  <c r="U235" i="5" s="1"/>
  <c r="Q235" i="5"/>
  <c r="R235" i="5" s="1"/>
  <c r="S235" i="5" s="1"/>
  <c r="O235" i="5"/>
  <c r="L235" i="5"/>
  <c r="K235" i="5"/>
  <c r="J235" i="5"/>
  <c r="F235" i="5"/>
  <c r="E235" i="5"/>
  <c r="D235" i="5"/>
  <c r="A235" i="5"/>
  <c r="V234" i="5"/>
  <c r="U234" i="5"/>
  <c r="T234" i="5"/>
  <c r="S234" i="5"/>
  <c r="R234" i="5"/>
  <c r="Q234" i="5"/>
  <c r="O234" i="5"/>
  <c r="K234" i="5"/>
  <c r="J234" i="5"/>
  <c r="L234" i="5" s="1"/>
  <c r="F234" i="5"/>
  <c r="E234" i="5"/>
  <c r="D234" i="5"/>
  <c r="A234" i="5"/>
  <c r="V233" i="5"/>
  <c r="T233" i="5"/>
  <c r="U233" i="5" s="1"/>
  <c r="Q233" i="5"/>
  <c r="R233" i="5" s="1"/>
  <c r="S233" i="5" s="1"/>
  <c r="O233" i="5"/>
  <c r="L233" i="5"/>
  <c r="K233" i="5"/>
  <c r="J233" i="5"/>
  <c r="F233" i="5"/>
  <c r="E233" i="5"/>
  <c r="D233" i="5"/>
  <c r="A233" i="5"/>
  <c r="V232" i="5"/>
  <c r="U232" i="5"/>
  <c r="T232" i="5"/>
  <c r="Q232" i="5"/>
  <c r="R232" i="5" s="1"/>
  <c r="S232" i="5" s="1"/>
  <c r="O232" i="5"/>
  <c r="L232" i="5"/>
  <c r="K232" i="5"/>
  <c r="J232" i="5"/>
  <c r="F232" i="5"/>
  <c r="E232" i="5"/>
  <c r="D232" i="5"/>
  <c r="A232" i="5"/>
  <c r="V231" i="5"/>
  <c r="U231" i="5"/>
  <c r="T231" i="5"/>
  <c r="O231" i="5"/>
  <c r="Q231" i="5" s="1"/>
  <c r="R231" i="5" s="1"/>
  <c r="S231" i="5" s="1"/>
  <c r="K231" i="5"/>
  <c r="J231" i="5"/>
  <c r="L231" i="5" s="1"/>
  <c r="F231" i="5"/>
  <c r="E231" i="5"/>
  <c r="D231" i="5"/>
  <c r="A231" i="5"/>
  <c r="V230" i="5"/>
  <c r="U230" i="5"/>
  <c r="T230" i="5"/>
  <c r="S230" i="5"/>
  <c r="R230" i="5"/>
  <c r="Q230" i="5"/>
  <c r="O230" i="5"/>
  <c r="L230" i="5"/>
  <c r="K230" i="5"/>
  <c r="J230" i="5"/>
  <c r="F230" i="5"/>
  <c r="E230" i="5"/>
  <c r="D230" i="5"/>
  <c r="A230" i="5"/>
  <c r="V229" i="5"/>
  <c r="U229" i="5"/>
  <c r="T229" i="5"/>
  <c r="O229" i="5"/>
  <c r="Q229" i="5" s="1"/>
  <c r="R229" i="5" s="1"/>
  <c r="S229" i="5" s="1"/>
  <c r="K229" i="5"/>
  <c r="J229" i="5"/>
  <c r="L229" i="5" s="1"/>
  <c r="F229" i="5"/>
  <c r="E229" i="5"/>
  <c r="D229" i="5"/>
  <c r="A229" i="5"/>
  <c r="V228" i="5"/>
  <c r="U228" i="5"/>
  <c r="T228" i="5"/>
  <c r="Q228" i="5"/>
  <c r="R228" i="5" s="1"/>
  <c r="S228" i="5" s="1"/>
  <c r="O228" i="5"/>
  <c r="L228" i="5"/>
  <c r="K228" i="5"/>
  <c r="J228" i="5"/>
  <c r="F228" i="5"/>
  <c r="E228" i="5"/>
  <c r="D228" i="5"/>
  <c r="A228" i="5"/>
  <c r="V227" i="5"/>
  <c r="T227" i="5"/>
  <c r="U227" i="5" s="1"/>
  <c r="R227" i="5"/>
  <c r="S227" i="5" s="1"/>
  <c r="Q227" i="5"/>
  <c r="O227" i="5"/>
  <c r="K227" i="5"/>
  <c r="J227" i="5"/>
  <c r="L227" i="5" s="1"/>
  <c r="F227" i="5"/>
  <c r="E227" i="5"/>
  <c r="D227" i="5"/>
  <c r="A227" i="5"/>
  <c r="V226" i="5"/>
  <c r="U226" i="5"/>
  <c r="T226" i="5"/>
  <c r="S226" i="5"/>
  <c r="O226" i="5"/>
  <c r="Q226" i="5" s="1"/>
  <c r="R226" i="5" s="1"/>
  <c r="L226" i="5"/>
  <c r="K226" i="5"/>
  <c r="J226" i="5"/>
  <c r="F226" i="5"/>
  <c r="E226" i="5"/>
  <c r="D226" i="5"/>
  <c r="A226" i="5"/>
  <c r="V225" i="5"/>
  <c r="U225" i="5"/>
  <c r="T225" i="5"/>
  <c r="Q225" i="5"/>
  <c r="R225" i="5" s="1"/>
  <c r="S225" i="5" s="1"/>
  <c r="O225" i="5"/>
  <c r="L225" i="5"/>
  <c r="K225" i="5"/>
  <c r="J225" i="5"/>
  <c r="F225" i="5"/>
  <c r="E225" i="5"/>
  <c r="D225" i="5"/>
  <c r="A225" i="5"/>
  <c r="V224" i="5"/>
  <c r="T224" i="5"/>
  <c r="U224" i="5" s="1"/>
  <c r="R224" i="5"/>
  <c r="S224" i="5" s="1"/>
  <c r="Q224" i="5"/>
  <c r="O224" i="5"/>
  <c r="K224" i="5"/>
  <c r="J224" i="5"/>
  <c r="L224" i="5" s="1"/>
  <c r="F224" i="5"/>
  <c r="E224" i="5"/>
  <c r="D224" i="5"/>
  <c r="A224" i="5"/>
  <c r="V223" i="5"/>
  <c r="U223" i="5"/>
  <c r="T223" i="5"/>
  <c r="S223" i="5"/>
  <c r="Q223" i="5"/>
  <c r="R223" i="5" s="1"/>
  <c r="O223" i="5"/>
  <c r="K223" i="5"/>
  <c r="J223" i="5"/>
  <c r="L223" i="5" s="1"/>
  <c r="F223" i="5"/>
  <c r="E223" i="5"/>
  <c r="D223" i="5"/>
  <c r="A223" i="5"/>
  <c r="V222" i="5"/>
  <c r="U222" i="5"/>
  <c r="T222" i="5"/>
  <c r="S222" i="5"/>
  <c r="O222" i="5"/>
  <c r="Q222" i="5" s="1"/>
  <c r="R222" i="5" s="1"/>
  <c r="L222" i="5"/>
  <c r="K222" i="5"/>
  <c r="J222" i="5"/>
  <c r="F222" i="5"/>
  <c r="E222" i="5"/>
  <c r="D222" i="5"/>
  <c r="A222" i="5"/>
  <c r="V221" i="5"/>
  <c r="U221" i="5"/>
  <c r="T221" i="5"/>
  <c r="R221" i="5"/>
  <c r="S221" i="5" s="1"/>
  <c r="Q221" i="5"/>
  <c r="O221" i="5"/>
  <c r="L221" i="5"/>
  <c r="K221" i="5"/>
  <c r="J221" i="5"/>
  <c r="F221" i="5"/>
  <c r="E221" i="5"/>
  <c r="D221" i="5"/>
  <c r="A221" i="5"/>
  <c r="V220" i="5"/>
  <c r="T220" i="5"/>
  <c r="U220" i="5" s="1"/>
  <c r="O220" i="5"/>
  <c r="Q220" i="5" s="1"/>
  <c r="R220" i="5" s="1"/>
  <c r="S220" i="5" s="1"/>
  <c r="K220" i="5"/>
  <c r="J220" i="5"/>
  <c r="L220" i="5" s="1"/>
  <c r="F220" i="5"/>
  <c r="E220" i="5"/>
  <c r="D220" i="5"/>
  <c r="A220" i="5"/>
  <c r="V219" i="5"/>
  <c r="U219" i="5"/>
  <c r="T219" i="5"/>
  <c r="O219" i="5"/>
  <c r="Q219" i="5" s="1"/>
  <c r="R219" i="5" s="1"/>
  <c r="S219" i="5" s="1"/>
  <c r="L219" i="5"/>
  <c r="K219" i="5"/>
  <c r="J219" i="5"/>
  <c r="F219" i="5"/>
  <c r="E219" i="5"/>
  <c r="D219" i="5"/>
  <c r="A219" i="5"/>
  <c r="V218" i="5"/>
  <c r="T218" i="5"/>
  <c r="U218" i="5" s="1"/>
  <c r="Q218" i="5"/>
  <c r="R218" i="5" s="1"/>
  <c r="S218" i="5" s="1"/>
  <c r="O218" i="5"/>
  <c r="L218" i="5"/>
  <c r="K218" i="5"/>
  <c r="J218" i="5"/>
  <c r="F218" i="5"/>
  <c r="E218" i="5"/>
  <c r="D218" i="5"/>
  <c r="A218" i="5"/>
  <c r="V217" i="5"/>
  <c r="T217" i="5"/>
  <c r="U217" i="5" s="1"/>
  <c r="O217" i="5"/>
  <c r="Q217" i="5" s="1"/>
  <c r="R217" i="5" s="1"/>
  <c r="S217" i="5" s="1"/>
  <c r="L217" i="5"/>
  <c r="K217" i="5"/>
  <c r="J217" i="5"/>
  <c r="F217" i="5"/>
  <c r="E217" i="5"/>
  <c r="D217" i="5"/>
  <c r="A217" i="5"/>
  <c r="V216" i="5"/>
  <c r="U216" i="5"/>
  <c r="T216" i="5"/>
  <c r="R216" i="5"/>
  <c r="S216" i="5" s="1"/>
  <c r="Q216" i="5"/>
  <c r="O216" i="5"/>
  <c r="K216" i="5"/>
  <c r="J216" i="5"/>
  <c r="L216" i="5" s="1"/>
  <c r="F216" i="5"/>
  <c r="E216" i="5"/>
  <c r="D216" i="5"/>
  <c r="A216" i="5"/>
  <c r="V215" i="5"/>
  <c r="U215" i="5"/>
  <c r="T215" i="5"/>
  <c r="S215" i="5"/>
  <c r="Q215" i="5"/>
  <c r="R215" i="5" s="1"/>
  <c r="O215" i="5"/>
  <c r="K215" i="5"/>
  <c r="J215" i="5"/>
  <c r="L215" i="5" s="1"/>
  <c r="F215" i="5"/>
  <c r="E215" i="5"/>
  <c r="D215" i="5"/>
  <c r="A215" i="5"/>
  <c r="V214" i="5"/>
  <c r="U214" i="5"/>
  <c r="T214" i="5"/>
  <c r="Q214" i="5"/>
  <c r="R214" i="5" s="1"/>
  <c r="S214" i="5" s="1"/>
  <c r="O214" i="5"/>
  <c r="L214" i="5"/>
  <c r="K214" i="5"/>
  <c r="J214" i="5"/>
  <c r="F214" i="5"/>
  <c r="E214" i="5"/>
  <c r="D214" i="5"/>
  <c r="A214" i="5"/>
  <c r="V213" i="5"/>
  <c r="U213" i="5"/>
  <c r="T213" i="5"/>
  <c r="O213" i="5"/>
  <c r="Q213" i="5" s="1"/>
  <c r="R213" i="5" s="1"/>
  <c r="S213" i="5" s="1"/>
  <c r="K213" i="5"/>
  <c r="J213" i="5"/>
  <c r="L213" i="5" s="1"/>
  <c r="F213" i="5"/>
  <c r="E213" i="5"/>
  <c r="D213" i="5"/>
  <c r="A213" i="5"/>
  <c r="V212" i="5"/>
  <c r="U212" i="5"/>
  <c r="T212" i="5"/>
  <c r="S212" i="5"/>
  <c r="R212" i="5"/>
  <c r="Q212" i="5"/>
  <c r="O212" i="5"/>
  <c r="L212" i="5"/>
  <c r="K212" i="5"/>
  <c r="J212" i="5"/>
  <c r="F212" i="5"/>
  <c r="E212" i="5"/>
  <c r="D212" i="5"/>
  <c r="A212" i="5"/>
  <c r="V211" i="5"/>
  <c r="U211" i="5"/>
  <c r="T211" i="5"/>
  <c r="O211" i="5"/>
  <c r="Q211" i="5" s="1"/>
  <c r="R211" i="5" s="1"/>
  <c r="S211" i="5" s="1"/>
  <c r="K211" i="5"/>
  <c r="J211" i="5"/>
  <c r="L211" i="5" s="1"/>
  <c r="F211" i="5"/>
  <c r="E211" i="5"/>
  <c r="D211" i="5"/>
  <c r="A211" i="5"/>
  <c r="V210" i="5"/>
  <c r="U210" i="5"/>
  <c r="T210" i="5"/>
  <c r="Q210" i="5"/>
  <c r="R210" i="5" s="1"/>
  <c r="S210" i="5" s="1"/>
  <c r="O210" i="5"/>
  <c r="L210" i="5"/>
  <c r="K210" i="5"/>
  <c r="J210" i="5"/>
  <c r="F210" i="5"/>
  <c r="E210" i="5"/>
  <c r="D210" i="5"/>
  <c r="A210" i="5"/>
  <c r="V209" i="5"/>
  <c r="T209" i="5"/>
  <c r="U209" i="5" s="1"/>
  <c r="R209" i="5"/>
  <c r="S209" i="5" s="1"/>
  <c r="Q209" i="5"/>
  <c r="O209" i="5"/>
  <c r="K209" i="5"/>
  <c r="J209" i="5"/>
  <c r="L209" i="5" s="1"/>
  <c r="F209" i="5"/>
  <c r="E209" i="5"/>
  <c r="D209" i="5"/>
  <c r="A209" i="5"/>
  <c r="V208" i="5"/>
  <c r="U208" i="5"/>
  <c r="T208" i="5"/>
  <c r="S208" i="5"/>
  <c r="O208" i="5"/>
  <c r="Q208" i="5" s="1"/>
  <c r="R208" i="5" s="1"/>
  <c r="L208" i="5"/>
  <c r="K208" i="5"/>
  <c r="J208" i="5"/>
  <c r="F208" i="5"/>
  <c r="E208" i="5"/>
  <c r="D208" i="5"/>
  <c r="A208" i="5"/>
  <c r="V207" i="5"/>
  <c r="U207" i="5"/>
  <c r="T207" i="5"/>
  <c r="Q207" i="5"/>
  <c r="R207" i="5" s="1"/>
  <c r="S207" i="5" s="1"/>
  <c r="O207" i="5"/>
  <c r="L207" i="5"/>
  <c r="K207" i="5"/>
  <c r="J207" i="5"/>
  <c r="F207" i="5"/>
  <c r="E207" i="5"/>
  <c r="D207" i="5"/>
  <c r="A207" i="5"/>
  <c r="V206" i="5"/>
  <c r="T206" i="5"/>
  <c r="U206" i="5" s="1"/>
  <c r="R206" i="5"/>
  <c r="S206" i="5" s="1"/>
  <c r="Q206" i="5"/>
  <c r="O206" i="5"/>
  <c r="K206" i="5"/>
  <c r="J206" i="5"/>
  <c r="L206" i="5" s="1"/>
  <c r="F206" i="5"/>
  <c r="E206" i="5"/>
  <c r="D206" i="5"/>
  <c r="A206" i="5"/>
  <c r="V205" i="5"/>
  <c r="U205" i="5"/>
  <c r="T205" i="5"/>
  <c r="S205" i="5"/>
  <c r="Q205" i="5"/>
  <c r="R205" i="5" s="1"/>
  <c r="O205" i="5"/>
  <c r="K205" i="5"/>
  <c r="J205" i="5"/>
  <c r="L205" i="5" s="1"/>
  <c r="F205" i="5"/>
  <c r="E205" i="5"/>
  <c r="D205" i="5"/>
  <c r="A205" i="5"/>
  <c r="V204" i="5"/>
  <c r="U204" i="5"/>
  <c r="T204" i="5"/>
  <c r="S204" i="5"/>
  <c r="O204" i="5"/>
  <c r="Q204" i="5" s="1"/>
  <c r="R204" i="5" s="1"/>
  <c r="L204" i="5"/>
  <c r="K204" i="5"/>
  <c r="J204" i="5"/>
  <c r="F204" i="5"/>
  <c r="E204" i="5"/>
  <c r="D204" i="5"/>
  <c r="A204" i="5"/>
  <c r="V203" i="5"/>
  <c r="U203" i="5"/>
  <c r="T203" i="5"/>
  <c r="R203" i="5"/>
  <c r="S203" i="5" s="1"/>
  <c r="Q203" i="5"/>
  <c r="O203" i="5"/>
  <c r="L203" i="5"/>
  <c r="K203" i="5"/>
  <c r="J203" i="5"/>
  <c r="F203" i="5"/>
  <c r="E203" i="5"/>
  <c r="D203" i="5"/>
  <c r="A203" i="5"/>
  <c r="V202" i="5"/>
  <c r="T202" i="5"/>
  <c r="U202" i="5" s="1"/>
  <c r="O202" i="5"/>
  <c r="Q202" i="5" s="1"/>
  <c r="R202" i="5" s="1"/>
  <c r="S202" i="5" s="1"/>
  <c r="K202" i="5"/>
  <c r="J202" i="5"/>
  <c r="L202" i="5" s="1"/>
  <c r="F202" i="5"/>
  <c r="E202" i="5"/>
  <c r="D202" i="5"/>
  <c r="A202" i="5"/>
  <c r="V201" i="5"/>
  <c r="U201" i="5"/>
  <c r="T201" i="5"/>
  <c r="O201" i="5"/>
  <c r="Q201" i="5" s="1"/>
  <c r="R201" i="5" s="1"/>
  <c r="S201" i="5" s="1"/>
  <c r="L201" i="5"/>
  <c r="K201" i="5"/>
  <c r="J201" i="5"/>
  <c r="F201" i="5"/>
  <c r="E201" i="5"/>
  <c r="D201" i="5"/>
  <c r="A201" i="5"/>
  <c r="V200" i="5"/>
  <c r="T200" i="5"/>
  <c r="U200" i="5" s="1"/>
  <c r="Q200" i="5"/>
  <c r="R200" i="5" s="1"/>
  <c r="S200" i="5" s="1"/>
  <c r="O200" i="5"/>
  <c r="L200" i="5"/>
  <c r="K200" i="5"/>
  <c r="J200" i="5"/>
  <c r="F200" i="5"/>
  <c r="E200" i="5"/>
  <c r="D200" i="5"/>
  <c r="A200" i="5"/>
  <c r="V199" i="5"/>
  <c r="T199" i="5"/>
  <c r="U199" i="5" s="1"/>
  <c r="O199" i="5"/>
  <c r="Q199" i="5" s="1"/>
  <c r="R199" i="5" s="1"/>
  <c r="S199" i="5" s="1"/>
  <c r="L199" i="5"/>
  <c r="K199" i="5"/>
  <c r="J199" i="5"/>
  <c r="F199" i="5"/>
  <c r="E199" i="5"/>
  <c r="D199" i="5"/>
  <c r="A199" i="5"/>
  <c r="V198" i="5"/>
  <c r="U198" i="5"/>
  <c r="T198" i="5"/>
  <c r="Q198" i="5"/>
  <c r="R198" i="5" s="1"/>
  <c r="S198" i="5" s="1"/>
  <c r="O198" i="5"/>
  <c r="K198" i="5"/>
  <c r="J198" i="5"/>
  <c r="L198" i="5" s="1"/>
  <c r="F198" i="5"/>
  <c r="E198" i="5"/>
  <c r="D198" i="5"/>
  <c r="A198" i="5"/>
  <c r="V197" i="5"/>
  <c r="U197" i="5"/>
  <c r="T197" i="5"/>
  <c r="Q197" i="5"/>
  <c r="R197" i="5" s="1"/>
  <c r="S197" i="5" s="1"/>
  <c r="O197" i="5"/>
  <c r="K197" i="5"/>
  <c r="J197" i="5"/>
  <c r="L197" i="5" s="1"/>
  <c r="F197" i="5"/>
  <c r="E197" i="5"/>
  <c r="D197" i="5"/>
  <c r="A197" i="5"/>
  <c r="V196" i="5"/>
  <c r="U196" i="5"/>
  <c r="T196" i="5"/>
  <c r="Q196" i="5"/>
  <c r="R196" i="5" s="1"/>
  <c r="S196" i="5" s="1"/>
  <c r="O196" i="5"/>
  <c r="L196" i="5"/>
  <c r="K196" i="5"/>
  <c r="J196" i="5"/>
  <c r="F196" i="5"/>
  <c r="E196" i="5"/>
  <c r="D196" i="5"/>
  <c r="A196" i="5"/>
  <c r="V195" i="5"/>
  <c r="U195" i="5"/>
  <c r="T195" i="5"/>
  <c r="O195" i="5"/>
  <c r="Q195" i="5" s="1"/>
  <c r="R195" i="5" s="1"/>
  <c r="S195" i="5" s="1"/>
  <c r="K195" i="5"/>
  <c r="J195" i="5"/>
  <c r="L195" i="5" s="1"/>
  <c r="F195" i="5"/>
  <c r="E195" i="5"/>
  <c r="D195" i="5"/>
  <c r="A195" i="5"/>
  <c r="V194" i="5"/>
  <c r="T194" i="5"/>
  <c r="U194" i="5" s="1"/>
  <c r="S194" i="5"/>
  <c r="R194" i="5"/>
  <c r="Q194" i="5"/>
  <c r="O194" i="5"/>
  <c r="L194" i="5"/>
  <c r="K194" i="5"/>
  <c r="J194" i="5"/>
  <c r="F194" i="5"/>
  <c r="E194" i="5"/>
  <c r="D194" i="5"/>
  <c r="A194" i="5"/>
  <c r="V193" i="5"/>
  <c r="U193" i="5"/>
  <c r="T193" i="5"/>
  <c r="O193" i="5"/>
  <c r="Q193" i="5" s="1"/>
  <c r="R193" i="5" s="1"/>
  <c r="S193" i="5" s="1"/>
  <c r="K193" i="5"/>
  <c r="J193" i="5"/>
  <c r="L193" i="5" s="1"/>
  <c r="F193" i="5"/>
  <c r="E193" i="5"/>
  <c r="D193" i="5"/>
  <c r="A193" i="5"/>
  <c r="V192" i="5"/>
  <c r="U192" i="5"/>
  <c r="T192" i="5"/>
  <c r="Q192" i="5"/>
  <c r="R192" i="5" s="1"/>
  <c r="S192" i="5" s="1"/>
  <c r="O192" i="5"/>
  <c r="L192" i="5"/>
  <c r="K192" i="5"/>
  <c r="J192" i="5"/>
  <c r="F192" i="5"/>
  <c r="E192" i="5"/>
  <c r="D192" i="5"/>
  <c r="A192" i="5"/>
  <c r="V191" i="5"/>
  <c r="T191" i="5"/>
  <c r="U191" i="5" s="1"/>
  <c r="R191" i="5"/>
  <c r="S191" i="5" s="1"/>
  <c r="Q191" i="5"/>
  <c r="O191" i="5"/>
  <c r="K191" i="5"/>
  <c r="J191" i="5"/>
  <c r="L191" i="5" s="1"/>
  <c r="F191" i="5"/>
  <c r="E191" i="5"/>
  <c r="D191" i="5"/>
  <c r="A191" i="5"/>
  <c r="V190" i="5"/>
  <c r="U190" i="5"/>
  <c r="T190" i="5"/>
  <c r="S190" i="5"/>
  <c r="O190" i="5"/>
  <c r="Q190" i="5" s="1"/>
  <c r="R190" i="5" s="1"/>
  <c r="L190" i="5"/>
  <c r="K190" i="5"/>
  <c r="J190" i="5"/>
  <c r="F190" i="5"/>
  <c r="E190" i="5"/>
  <c r="D190" i="5"/>
  <c r="A190" i="5"/>
  <c r="V189" i="5"/>
  <c r="U189" i="5"/>
  <c r="T189" i="5"/>
  <c r="Q189" i="5"/>
  <c r="R189" i="5" s="1"/>
  <c r="S189" i="5" s="1"/>
  <c r="O189" i="5"/>
  <c r="L189" i="5"/>
  <c r="K189" i="5"/>
  <c r="J189" i="5"/>
  <c r="F189" i="5"/>
  <c r="E189" i="5"/>
  <c r="D189" i="5"/>
  <c r="A189" i="5"/>
  <c r="V188" i="5"/>
  <c r="T188" i="5"/>
  <c r="U188" i="5" s="1"/>
  <c r="R188" i="5"/>
  <c r="S188" i="5" s="1"/>
  <c r="Q188" i="5"/>
  <c r="O188" i="5"/>
  <c r="K188" i="5"/>
  <c r="J188" i="5"/>
  <c r="L188" i="5" s="1"/>
  <c r="F188" i="5"/>
  <c r="E188" i="5"/>
  <c r="D188" i="5"/>
  <c r="A188" i="5"/>
  <c r="V187" i="5"/>
  <c r="U187" i="5"/>
  <c r="T187" i="5"/>
  <c r="S187" i="5"/>
  <c r="Q187" i="5"/>
  <c r="R187" i="5" s="1"/>
  <c r="O187" i="5"/>
  <c r="K187" i="5"/>
  <c r="J187" i="5"/>
  <c r="L187" i="5" s="1"/>
  <c r="F187" i="5"/>
  <c r="E187" i="5"/>
  <c r="D187" i="5"/>
  <c r="A187" i="5"/>
  <c r="V186" i="5"/>
  <c r="U186" i="5"/>
  <c r="T186" i="5"/>
  <c r="S186" i="5"/>
  <c r="O186" i="5"/>
  <c r="Q186" i="5" s="1"/>
  <c r="R186" i="5" s="1"/>
  <c r="L186" i="5"/>
  <c r="K186" i="5"/>
  <c r="J186" i="5"/>
  <c r="F186" i="5"/>
  <c r="E186" i="5"/>
  <c r="D186" i="5"/>
  <c r="A186" i="5"/>
  <c r="V185" i="5"/>
  <c r="U185" i="5"/>
  <c r="T185" i="5"/>
  <c r="R185" i="5"/>
  <c r="S185" i="5" s="1"/>
  <c r="Q185" i="5"/>
  <c r="O185" i="5"/>
  <c r="L185" i="5"/>
  <c r="K185" i="5"/>
  <c r="J185" i="5"/>
  <c r="F185" i="5"/>
  <c r="E185" i="5"/>
  <c r="D185" i="5"/>
  <c r="A185" i="5"/>
  <c r="V184" i="5"/>
  <c r="T184" i="5"/>
  <c r="U184" i="5" s="1"/>
  <c r="O184" i="5"/>
  <c r="Q184" i="5" s="1"/>
  <c r="R184" i="5" s="1"/>
  <c r="S184" i="5" s="1"/>
  <c r="K184" i="5"/>
  <c r="J184" i="5"/>
  <c r="L184" i="5" s="1"/>
  <c r="F184" i="5"/>
  <c r="E184" i="5"/>
  <c r="D184" i="5"/>
  <c r="A184" i="5"/>
  <c r="V183" i="5"/>
  <c r="U183" i="5"/>
  <c r="T183" i="5"/>
  <c r="O183" i="5"/>
  <c r="Q183" i="5" s="1"/>
  <c r="R183" i="5" s="1"/>
  <c r="S183" i="5" s="1"/>
  <c r="L183" i="5"/>
  <c r="K183" i="5"/>
  <c r="J183" i="5"/>
  <c r="F183" i="5"/>
  <c r="E183" i="5"/>
  <c r="D183" i="5"/>
  <c r="A183" i="5"/>
  <c r="V182" i="5"/>
  <c r="T182" i="5"/>
  <c r="U182" i="5" s="1"/>
  <c r="Q182" i="5"/>
  <c r="R182" i="5" s="1"/>
  <c r="S182" i="5" s="1"/>
  <c r="O182" i="5"/>
  <c r="L182" i="5"/>
  <c r="K182" i="5"/>
  <c r="J182" i="5"/>
  <c r="F182" i="5"/>
  <c r="E182" i="5"/>
  <c r="D182" i="5"/>
  <c r="A182" i="5"/>
  <c r="V181" i="5"/>
  <c r="T181" i="5"/>
  <c r="U181" i="5" s="1"/>
  <c r="O181" i="5"/>
  <c r="Q181" i="5" s="1"/>
  <c r="R181" i="5" s="1"/>
  <c r="S181" i="5" s="1"/>
  <c r="L181" i="5"/>
  <c r="K181" i="5"/>
  <c r="J181" i="5"/>
  <c r="F181" i="5"/>
  <c r="E181" i="5"/>
  <c r="D181" i="5"/>
  <c r="A181" i="5"/>
  <c r="V180" i="5"/>
  <c r="U180" i="5"/>
  <c r="T180" i="5"/>
  <c r="Q180" i="5"/>
  <c r="R180" i="5" s="1"/>
  <c r="S180" i="5" s="1"/>
  <c r="O180" i="5"/>
  <c r="K180" i="5"/>
  <c r="J180" i="5"/>
  <c r="L180" i="5" s="1"/>
  <c r="F180" i="5"/>
  <c r="E180" i="5"/>
  <c r="D180" i="5"/>
  <c r="A180" i="5"/>
  <c r="V179" i="5"/>
  <c r="U179" i="5"/>
  <c r="T179" i="5"/>
  <c r="Q179" i="5"/>
  <c r="R179" i="5" s="1"/>
  <c r="S179" i="5" s="1"/>
  <c r="O179" i="5"/>
  <c r="K179" i="5"/>
  <c r="J179" i="5"/>
  <c r="L179" i="5" s="1"/>
  <c r="F179" i="5"/>
  <c r="E179" i="5"/>
  <c r="D179" i="5"/>
  <c r="A179" i="5"/>
  <c r="V178" i="5"/>
  <c r="U178" i="5"/>
  <c r="T178" i="5"/>
  <c r="Q178" i="5"/>
  <c r="R178" i="5" s="1"/>
  <c r="S178" i="5" s="1"/>
  <c r="O178" i="5"/>
  <c r="L178" i="5"/>
  <c r="K178" i="5"/>
  <c r="J178" i="5"/>
  <c r="F178" i="5"/>
  <c r="E178" i="5"/>
  <c r="D178" i="5"/>
  <c r="A178" i="5"/>
  <c r="V177" i="5"/>
  <c r="U177" i="5"/>
  <c r="T177" i="5"/>
  <c r="O177" i="5"/>
  <c r="Q177" i="5" s="1"/>
  <c r="R177" i="5" s="1"/>
  <c r="S177" i="5" s="1"/>
  <c r="K177" i="5"/>
  <c r="J177" i="5"/>
  <c r="L177" i="5" s="1"/>
  <c r="F177" i="5"/>
  <c r="E177" i="5"/>
  <c r="D177" i="5"/>
  <c r="A177" i="5"/>
  <c r="V176" i="5"/>
  <c r="T176" i="5"/>
  <c r="U176" i="5" s="1"/>
  <c r="S176" i="5"/>
  <c r="R176" i="5"/>
  <c r="Q176" i="5"/>
  <c r="O176" i="5"/>
  <c r="K176" i="5"/>
  <c r="J176" i="5"/>
  <c r="L176" i="5" s="1"/>
  <c r="F176" i="5"/>
  <c r="E176" i="5"/>
  <c r="D176" i="5"/>
  <c r="A176" i="5"/>
  <c r="V175" i="5"/>
  <c r="U175" i="5"/>
  <c r="T175" i="5"/>
  <c r="O175" i="5"/>
  <c r="Q175" i="5" s="1"/>
  <c r="R175" i="5" s="1"/>
  <c r="S175" i="5" s="1"/>
  <c r="K175" i="5"/>
  <c r="J175" i="5"/>
  <c r="L175" i="5" s="1"/>
  <c r="F175" i="5"/>
  <c r="E175" i="5"/>
  <c r="D175" i="5"/>
  <c r="A175" i="5"/>
  <c r="V174" i="5"/>
  <c r="U174" i="5"/>
  <c r="T174" i="5"/>
  <c r="Q174" i="5"/>
  <c r="R174" i="5" s="1"/>
  <c r="S174" i="5" s="1"/>
  <c r="O174" i="5"/>
  <c r="L174" i="5"/>
  <c r="K174" i="5"/>
  <c r="J174" i="5"/>
  <c r="F174" i="5"/>
  <c r="E174" i="5"/>
  <c r="D174" i="5"/>
  <c r="A174" i="5"/>
  <c r="V173" i="5"/>
  <c r="T173" i="5"/>
  <c r="U173" i="5" s="1"/>
  <c r="R173" i="5"/>
  <c r="S173" i="5" s="1"/>
  <c r="Q173" i="5"/>
  <c r="O173" i="5"/>
  <c r="K173" i="5"/>
  <c r="J173" i="5"/>
  <c r="L173" i="5" s="1"/>
  <c r="F173" i="5"/>
  <c r="E173" i="5"/>
  <c r="D173" i="5"/>
  <c r="A173" i="5"/>
  <c r="V172" i="5"/>
  <c r="U172" i="5"/>
  <c r="T172" i="5"/>
  <c r="S172" i="5"/>
  <c r="O172" i="5"/>
  <c r="Q172" i="5" s="1"/>
  <c r="R172" i="5" s="1"/>
  <c r="K172" i="5"/>
  <c r="J172" i="5"/>
  <c r="L172" i="5" s="1"/>
  <c r="F172" i="5"/>
  <c r="E172" i="5"/>
  <c r="D172" i="5"/>
  <c r="A172" i="5"/>
  <c r="V171" i="5"/>
  <c r="U171" i="5"/>
  <c r="T171" i="5"/>
  <c r="Q171" i="5"/>
  <c r="R171" i="5" s="1"/>
  <c r="S171" i="5" s="1"/>
  <c r="O171" i="5"/>
  <c r="L171" i="5"/>
  <c r="K171" i="5"/>
  <c r="J171" i="5"/>
  <c r="F171" i="5"/>
  <c r="E171" i="5"/>
  <c r="D171" i="5"/>
  <c r="A171" i="5"/>
  <c r="V170" i="5"/>
  <c r="T170" i="5"/>
  <c r="U170" i="5" s="1"/>
  <c r="R170" i="5"/>
  <c r="S170" i="5" s="1"/>
  <c r="Q170" i="5"/>
  <c r="O170" i="5"/>
  <c r="K170" i="5"/>
  <c r="J170" i="5"/>
  <c r="L170" i="5" s="1"/>
  <c r="F170" i="5"/>
  <c r="E170" i="5"/>
  <c r="D170" i="5"/>
  <c r="A170" i="5"/>
  <c r="V169" i="5"/>
  <c r="U169" i="5"/>
  <c r="T169" i="5"/>
  <c r="S169" i="5"/>
  <c r="Q169" i="5"/>
  <c r="R169" i="5" s="1"/>
  <c r="O169" i="5"/>
  <c r="K169" i="5"/>
  <c r="J169" i="5"/>
  <c r="L169" i="5" s="1"/>
  <c r="F169" i="5"/>
  <c r="E169" i="5"/>
  <c r="D169" i="5"/>
  <c r="A169" i="5"/>
  <c r="V168" i="5"/>
  <c r="U168" i="5"/>
  <c r="T168" i="5"/>
  <c r="S168" i="5"/>
  <c r="O168" i="5"/>
  <c r="Q168" i="5" s="1"/>
  <c r="R168" i="5" s="1"/>
  <c r="K168" i="5"/>
  <c r="J168" i="5"/>
  <c r="L168" i="5" s="1"/>
  <c r="F168" i="5"/>
  <c r="E168" i="5"/>
  <c r="D168" i="5"/>
  <c r="A168" i="5"/>
  <c r="V167" i="5"/>
  <c r="U167" i="5"/>
  <c r="T167" i="5"/>
  <c r="R167" i="5"/>
  <c r="S167" i="5" s="1"/>
  <c r="Q167" i="5"/>
  <c r="O167" i="5"/>
  <c r="L167" i="5"/>
  <c r="K167" i="5"/>
  <c r="J167" i="5"/>
  <c r="F167" i="5"/>
  <c r="E167" i="5"/>
  <c r="D167" i="5"/>
  <c r="A167" i="5"/>
  <c r="V166" i="5"/>
  <c r="T166" i="5"/>
  <c r="U166" i="5" s="1"/>
  <c r="O166" i="5"/>
  <c r="Q166" i="5" s="1"/>
  <c r="R166" i="5" s="1"/>
  <c r="S166" i="5" s="1"/>
  <c r="K166" i="5"/>
  <c r="J166" i="5"/>
  <c r="L166" i="5" s="1"/>
  <c r="F166" i="5"/>
  <c r="E166" i="5"/>
  <c r="D166" i="5"/>
  <c r="A166" i="5"/>
  <c r="V165" i="5"/>
  <c r="U165" i="5"/>
  <c r="T165" i="5"/>
  <c r="O165" i="5"/>
  <c r="Q165" i="5" s="1"/>
  <c r="R165" i="5" s="1"/>
  <c r="S165" i="5" s="1"/>
  <c r="L165" i="5"/>
  <c r="K165" i="5"/>
  <c r="J165" i="5"/>
  <c r="F165" i="5"/>
  <c r="E165" i="5"/>
  <c r="D165" i="5"/>
  <c r="A165" i="5"/>
  <c r="V164" i="5"/>
  <c r="T164" i="5"/>
  <c r="U164" i="5" s="1"/>
  <c r="Q164" i="5"/>
  <c r="R164" i="5" s="1"/>
  <c r="S164" i="5" s="1"/>
  <c r="O164" i="5"/>
  <c r="L164" i="5"/>
  <c r="K164" i="5"/>
  <c r="J164" i="5"/>
  <c r="F164" i="5"/>
  <c r="E164" i="5"/>
  <c r="D164" i="5"/>
  <c r="A164" i="5"/>
  <c r="V163" i="5"/>
  <c r="T163" i="5"/>
  <c r="U163" i="5" s="1"/>
  <c r="O163" i="5"/>
  <c r="Q163" i="5" s="1"/>
  <c r="R163" i="5" s="1"/>
  <c r="S163" i="5" s="1"/>
  <c r="L163" i="5"/>
  <c r="K163" i="5"/>
  <c r="J163" i="5"/>
  <c r="F163" i="5"/>
  <c r="E163" i="5"/>
  <c r="D163" i="5"/>
  <c r="A163" i="5"/>
  <c r="V162" i="5"/>
  <c r="U162" i="5"/>
  <c r="T162" i="5"/>
  <c r="Q162" i="5"/>
  <c r="R162" i="5" s="1"/>
  <c r="S162" i="5" s="1"/>
  <c r="O162" i="5"/>
  <c r="K162" i="5"/>
  <c r="J162" i="5"/>
  <c r="L162" i="5" s="1"/>
  <c r="F162" i="5"/>
  <c r="E162" i="5"/>
  <c r="D162" i="5"/>
  <c r="A162" i="5"/>
  <c r="V161" i="5"/>
  <c r="U161" i="5"/>
  <c r="T161" i="5"/>
  <c r="Q161" i="5"/>
  <c r="R161" i="5" s="1"/>
  <c r="S161" i="5" s="1"/>
  <c r="O161" i="5"/>
  <c r="K161" i="5"/>
  <c r="J161" i="5"/>
  <c r="L161" i="5" s="1"/>
  <c r="F161" i="5"/>
  <c r="E161" i="5"/>
  <c r="D161" i="5"/>
  <c r="A161" i="5"/>
  <c r="V160" i="5"/>
  <c r="U160" i="5"/>
  <c r="T160" i="5"/>
  <c r="Q160" i="5"/>
  <c r="R160" i="5" s="1"/>
  <c r="S160" i="5" s="1"/>
  <c r="O160" i="5"/>
  <c r="L160" i="5"/>
  <c r="K160" i="5"/>
  <c r="J160" i="5"/>
  <c r="F160" i="5"/>
  <c r="E160" i="5"/>
  <c r="D160" i="5"/>
  <c r="A160" i="5"/>
  <c r="V159" i="5"/>
  <c r="U159" i="5"/>
  <c r="T159" i="5"/>
  <c r="O159" i="5"/>
  <c r="Q159" i="5" s="1"/>
  <c r="R159" i="5" s="1"/>
  <c r="S159" i="5" s="1"/>
  <c r="K159" i="5"/>
  <c r="J159" i="5"/>
  <c r="L159" i="5" s="1"/>
  <c r="F159" i="5"/>
  <c r="E159" i="5"/>
  <c r="D159" i="5"/>
  <c r="A159" i="5"/>
  <c r="V158" i="5"/>
  <c r="T158" i="5"/>
  <c r="U158" i="5" s="1"/>
  <c r="S158" i="5"/>
  <c r="R158" i="5"/>
  <c r="Q158" i="5"/>
  <c r="O158" i="5"/>
  <c r="K158" i="5"/>
  <c r="J158" i="5"/>
  <c r="L158" i="5" s="1"/>
  <c r="F158" i="5"/>
  <c r="E158" i="5"/>
  <c r="D158" i="5"/>
  <c r="A158" i="5"/>
  <c r="V157" i="5"/>
  <c r="U157" i="5"/>
  <c r="T157" i="5"/>
  <c r="O157" i="5"/>
  <c r="Q157" i="5" s="1"/>
  <c r="R157" i="5" s="1"/>
  <c r="S157" i="5" s="1"/>
  <c r="K157" i="5"/>
  <c r="J157" i="5"/>
  <c r="L157" i="5" s="1"/>
  <c r="F157" i="5"/>
  <c r="E157" i="5"/>
  <c r="D157" i="5"/>
  <c r="A157" i="5"/>
  <c r="V156" i="5"/>
  <c r="U156" i="5"/>
  <c r="T156" i="5"/>
  <c r="Q156" i="5"/>
  <c r="R156" i="5" s="1"/>
  <c r="S156" i="5" s="1"/>
  <c r="O156" i="5"/>
  <c r="L156" i="5"/>
  <c r="K156" i="5"/>
  <c r="J156" i="5"/>
  <c r="F156" i="5"/>
  <c r="E156" i="5"/>
  <c r="D156" i="5"/>
  <c r="A156" i="5"/>
  <c r="V155" i="5"/>
  <c r="T155" i="5"/>
  <c r="U155" i="5" s="1"/>
  <c r="R155" i="5"/>
  <c r="S155" i="5" s="1"/>
  <c r="Q155" i="5"/>
  <c r="O155" i="5"/>
  <c r="K155" i="5"/>
  <c r="J155" i="5"/>
  <c r="L155" i="5" s="1"/>
  <c r="F155" i="5"/>
  <c r="E155" i="5"/>
  <c r="D155" i="5"/>
  <c r="A155" i="5"/>
  <c r="V154" i="5"/>
  <c r="U154" i="5"/>
  <c r="T154" i="5"/>
  <c r="S154" i="5"/>
  <c r="O154" i="5"/>
  <c r="Q154" i="5" s="1"/>
  <c r="R154" i="5" s="1"/>
  <c r="K154" i="5"/>
  <c r="J154" i="5"/>
  <c r="L154" i="5" s="1"/>
  <c r="F154" i="5"/>
  <c r="E154" i="5"/>
  <c r="D154" i="5"/>
  <c r="A154" i="5"/>
  <c r="V153" i="5"/>
  <c r="U153" i="5"/>
  <c r="T153" i="5"/>
  <c r="Q153" i="5"/>
  <c r="R153" i="5" s="1"/>
  <c r="S153" i="5" s="1"/>
  <c r="O153" i="5"/>
  <c r="L153" i="5"/>
  <c r="K153" i="5"/>
  <c r="J153" i="5"/>
  <c r="F153" i="5"/>
  <c r="E153" i="5"/>
  <c r="D153" i="5"/>
  <c r="A153" i="5"/>
  <c r="V152" i="5"/>
  <c r="T152" i="5"/>
  <c r="U152" i="5" s="1"/>
  <c r="R152" i="5"/>
  <c r="S152" i="5" s="1"/>
  <c r="Q152" i="5"/>
  <c r="O152" i="5"/>
  <c r="K152" i="5"/>
  <c r="J152" i="5"/>
  <c r="L152" i="5" s="1"/>
  <c r="F152" i="5"/>
  <c r="E152" i="5"/>
  <c r="D152" i="5"/>
  <c r="A152" i="5"/>
  <c r="V151" i="5"/>
  <c r="U151" i="5"/>
  <c r="T151" i="5"/>
  <c r="S151" i="5"/>
  <c r="Q151" i="5"/>
  <c r="R151" i="5" s="1"/>
  <c r="O151" i="5"/>
  <c r="K151" i="5"/>
  <c r="J151" i="5"/>
  <c r="L151" i="5" s="1"/>
  <c r="F151" i="5"/>
  <c r="E151" i="5"/>
  <c r="D151" i="5"/>
  <c r="A151" i="5"/>
  <c r="V150" i="5"/>
  <c r="U150" i="5"/>
  <c r="T150" i="5"/>
  <c r="O150" i="5"/>
  <c r="Q150" i="5" s="1"/>
  <c r="R150" i="5" s="1"/>
  <c r="S150" i="5" s="1"/>
  <c r="L150" i="5"/>
  <c r="K150" i="5"/>
  <c r="J150" i="5"/>
  <c r="F150" i="5"/>
  <c r="E150" i="5"/>
  <c r="D150" i="5"/>
  <c r="A150" i="5"/>
  <c r="V149" i="5"/>
  <c r="U149" i="5"/>
  <c r="T149" i="5"/>
  <c r="Q149" i="5"/>
  <c r="R149" i="5" s="1"/>
  <c r="S149" i="5" s="1"/>
  <c r="O149" i="5"/>
  <c r="K149" i="5"/>
  <c r="J149" i="5"/>
  <c r="L149" i="5" s="1"/>
  <c r="F149" i="5"/>
  <c r="E149" i="5"/>
  <c r="D149" i="5"/>
  <c r="A149" i="5"/>
  <c r="V148" i="5"/>
  <c r="T148" i="5"/>
  <c r="U148" i="5" s="1"/>
  <c r="S148" i="5"/>
  <c r="Q148" i="5"/>
  <c r="R148" i="5" s="1"/>
  <c r="O148" i="5"/>
  <c r="K148" i="5"/>
  <c r="J148" i="5"/>
  <c r="L148" i="5" s="1"/>
  <c r="F148" i="5"/>
  <c r="E148" i="5"/>
  <c r="D148" i="5"/>
  <c r="A148" i="5"/>
  <c r="V147" i="5"/>
  <c r="U147" i="5"/>
  <c r="T147" i="5"/>
  <c r="S147" i="5"/>
  <c r="R147" i="5"/>
  <c r="O147" i="5"/>
  <c r="Q147" i="5" s="1"/>
  <c r="L147" i="5"/>
  <c r="K147" i="5"/>
  <c r="J147" i="5"/>
  <c r="F147" i="5"/>
  <c r="E147" i="5"/>
  <c r="D147" i="5"/>
  <c r="A147" i="5"/>
  <c r="V146" i="5"/>
  <c r="T146" i="5"/>
  <c r="U146" i="5" s="1"/>
  <c r="R146" i="5"/>
  <c r="S146" i="5" s="1"/>
  <c r="Q146" i="5"/>
  <c r="O146" i="5"/>
  <c r="L146" i="5"/>
  <c r="K146" i="5"/>
  <c r="J146" i="5"/>
  <c r="F146" i="5"/>
  <c r="E146" i="5"/>
  <c r="D146" i="5"/>
  <c r="A146" i="5"/>
  <c r="V145" i="5"/>
  <c r="T145" i="5"/>
  <c r="U145" i="5" s="1"/>
  <c r="O145" i="5"/>
  <c r="Q145" i="5" s="1"/>
  <c r="R145" i="5" s="1"/>
  <c r="S145" i="5" s="1"/>
  <c r="K145" i="5"/>
  <c r="J145" i="5"/>
  <c r="L145" i="5" s="1"/>
  <c r="F145" i="5"/>
  <c r="E145" i="5"/>
  <c r="D145" i="5"/>
  <c r="A145" i="5"/>
  <c r="V144" i="5"/>
  <c r="U144" i="5"/>
  <c r="T144" i="5"/>
  <c r="R144" i="5"/>
  <c r="S144" i="5" s="1"/>
  <c r="Q144" i="5"/>
  <c r="O144" i="5"/>
  <c r="L144" i="5"/>
  <c r="K144" i="5"/>
  <c r="J144" i="5"/>
  <c r="F144" i="5"/>
  <c r="E144" i="5"/>
  <c r="D144" i="5"/>
  <c r="A144" i="5"/>
  <c r="V143" i="5"/>
  <c r="T143" i="5"/>
  <c r="U143" i="5" s="1"/>
  <c r="O143" i="5"/>
  <c r="Q143" i="5" s="1"/>
  <c r="R143" i="5" s="1"/>
  <c r="S143" i="5" s="1"/>
  <c r="K143" i="5"/>
  <c r="J143" i="5"/>
  <c r="L143" i="5" s="1"/>
  <c r="F143" i="5"/>
  <c r="E143" i="5"/>
  <c r="D143" i="5"/>
  <c r="A143" i="5"/>
  <c r="V142" i="5"/>
  <c r="U142" i="5"/>
  <c r="T142" i="5"/>
  <c r="R142" i="5"/>
  <c r="S142" i="5" s="1"/>
  <c r="Q142" i="5"/>
  <c r="O142" i="5"/>
  <c r="L142" i="5"/>
  <c r="K142" i="5"/>
  <c r="J142" i="5"/>
  <c r="F142" i="5"/>
  <c r="E142" i="5"/>
  <c r="D142" i="5"/>
  <c r="A142" i="5"/>
  <c r="V141" i="5"/>
  <c r="T141" i="5"/>
  <c r="U141" i="5" s="1"/>
  <c r="Q141" i="5"/>
  <c r="R141" i="5" s="1"/>
  <c r="S141" i="5" s="1"/>
  <c r="O141" i="5"/>
  <c r="K141" i="5"/>
  <c r="J141" i="5"/>
  <c r="L141" i="5" s="1"/>
  <c r="F141" i="5"/>
  <c r="E141" i="5"/>
  <c r="D141" i="5"/>
  <c r="A141" i="5"/>
  <c r="V140" i="5"/>
  <c r="U140" i="5"/>
  <c r="T140" i="5"/>
  <c r="O140" i="5"/>
  <c r="Q140" i="5" s="1"/>
  <c r="R140" i="5" s="1"/>
  <c r="S140" i="5" s="1"/>
  <c r="L140" i="5"/>
  <c r="K140" i="5"/>
  <c r="J140" i="5"/>
  <c r="F140" i="5"/>
  <c r="E140" i="5"/>
  <c r="D140" i="5"/>
  <c r="A140" i="5"/>
  <c r="V139" i="5"/>
  <c r="U139" i="5"/>
  <c r="T139" i="5"/>
  <c r="Q139" i="5"/>
  <c r="R139" i="5" s="1"/>
  <c r="S139" i="5" s="1"/>
  <c r="O139" i="5"/>
  <c r="K139" i="5"/>
  <c r="J139" i="5"/>
  <c r="L139" i="5" s="1"/>
  <c r="F139" i="5"/>
  <c r="E139" i="5"/>
  <c r="D139" i="5"/>
  <c r="A139" i="5"/>
  <c r="V138" i="5"/>
  <c r="T138" i="5"/>
  <c r="U138" i="5" s="1"/>
  <c r="S138" i="5"/>
  <c r="R138" i="5"/>
  <c r="Q138" i="5"/>
  <c r="O138" i="5"/>
  <c r="K138" i="5"/>
  <c r="J138" i="5"/>
  <c r="L138" i="5" s="1"/>
  <c r="F138" i="5"/>
  <c r="E138" i="5"/>
  <c r="D138" i="5"/>
  <c r="A138" i="5"/>
  <c r="V137" i="5"/>
  <c r="U137" i="5"/>
  <c r="T137" i="5"/>
  <c r="Q137" i="5"/>
  <c r="R137" i="5" s="1"/>
  <c r="S137" i="5" s="1"/>
  <c r="O137" i="5"/>
  <c r="K137" i="5"/>
  <c r="J137" i="5"/>
  <c r="L137" i="5" s="1"/>
  <c r="F137" i="5"/>
  <c r="E137" i="5"/>
  <c r="D137" i="5"/>
  <c r="A137" i="5"/>
  <c r="V136" i="5"/>
  <c r="U136" i="5"/>
  <c r="T136" i="5"/>
  <c r="O136" i="5"/>
  <c r="Q136" i="5" s="1"/>
  <c r="R136" i="5" s="1"/>
  <c r="S136" i="5" s="1"/>
  <c r="K136" i="5"/>
  <c r="J136" i="5"/>
  <c r="L136" i="5" s="1"/>
  <c r="F136" i="5"/>
  <c r="E136" i="5"/>
  <c r="D136" i="5"/>
  <c r="A136" i="5"/>
  <c r="V135" i="5"/>
  <c r="U135" i="5"/>
  <c r="T135" i="5"/>
  <c r="R135" i="5"/>
  <c r="S135" i="5" s="1"/>
  <c r="Q135" i="5"/>
  <c r="O135" i="5"/>
  <c r="L135" i="5"/>
  <c r="K135" i="5"/>
  <c r="J135" i="5"/>
  <c r="F135" i="5"/>
  <c r="E135" i="5"/>
  <c r="D135" i="5"/>
  <c r="A135" i="5"/>
  <c r="V134" i="5"/>
  <c r="T134" i="5"/>
  <c r="U134" i="5" s="1"/>
  <c r="O134" i="5"/>
  <c r="Q134" i="5" s="1"/>
  <c r="R134" i="5" s="1"/>
  <c r="S134" i="5" s="1"/>
  <c r="K134" i="5"/>
  <c r="J134" i="5"/>
  <c r="L134" i="5" s="1"/>
  <c r="F134" i="5"/>
  <c r="E134" i="5"/>
  <c r="D134" i="5"/>
  <c r="A134" i="5"/>
  <c r="V133" i="5"/>
  <c r="U133" i="5"/>
  <c r="T133" i="5"/>
  <c r="O133" i="5"/>
  <c r="Q133" i="5" s="1"/>
  <c r="R133" i="5" s="1"/>
  <c r="S133" i="5" s="1"/>
  <c r="L133" i="5"/>
  <c r="K133" i="5"/>
  <c r="J133" i="5"/>
  <c r="F133" i="5"/>
  <c r="E133" i="5"/>
  <c r="D133" i="5"/>
  <c r="A133" i="5"/>
  <c r="V132" i="5"/>
  <c r="T132" i="5"/>
  <c r="U132" i="5" s="1"/>
  <c r="Q132" i="5"/>
  <c r="R132" i="5" s="1"/>
  <c r="S132" i="5" s="1"/>
  <c r="O132" i="5"/>
  <c r="K132" i="5"/>
  <c r="J132" i="5"/>
  <c r="L132" i="5" s="1"/>
  <c r="F132" i="5"/>
  <c r="E132" i="5"/>
  <c r="D132" i="5"/>
  <c r="A132" i="5"/>
  <c r="V131" i="5"/>
  <c r="T131" i="5"/>
  <c r="U131" i="5" s="1"/>
  <c r="S131" i="5"/>
  <c r="Q131" i="5"/>
  <c r="R131" i="5" s="1"/>
  <c r="O131" i="5"/>
  <c r="L131" i="5"/>
  <c r="K131" i="5"/>
  <c r="J131" i="5"/>
  <c r="F131" i="5"/>
  <c r="E131" i="5"/>
  <c r="D131" i="5"/>
  <c r="A131" i="5"/>
  <c r="V130" i="5"/>
  <c r="U130" i="5"/>
  <c r="T130" i="5"/>
  <c r="Q130" i="5"/>
  <c r="R130" i="5" s="1"/>
  <c r="S130" i="5" s="1"/>
  <c r="O130" i="5"/>
  <c r="K130" i="5"/>
  <c r="J130" i="5"/>
  <c r="L130" i="5" s="1"/>
  <c r="F130" i="5"/>
  <c r="E130" i="5"/>
  <c r="D130" i="5"/>
  <c r="A130" i="5"/>
  <c r="V129" i="5"/>
  <c r="U129" i="5"/>
  <c r="T129" i="5"/>
  <c r="Q129" i="5"/>
  <c r="R129" i="5" s="1"/>
  <c r="S129" i="5" s="1"/>
  <c r="O129" i="5"/>
  <c r="K129" i="5"/>
  <c r="J129" i="5"/>
  <c r="L129" i="5" s="1"/>
  <c r="F129" i="5"/>
  <c r="E129" i="5"/>
  <c r="D129" i="5"/>
  <c r="A129" i="5"/>
  <c r="V128" i="5"/>
  <c r="U128" i="5"/>
  <c r="T128" i="5"/>
  <c r="Q128" i="5"/>
  <c r="R128" i="5" s="1"/>
  <c r="S128" i="5" s="1"/>
  <c r="O128" i="5"/>
  <c r="K128" i="5"/>
  <c r="J128" i="5"/>
  <c r="L128" i="5" s="1"/>
  <c r="F128" i="5"/>
  <c r="E128" i="5"/>
  <c r="D128" i="5"/>
  <c r="A128" i="5"/>
  <c r="V127" i="5"/>
  <c r="U127" i="5"/>
  <c r="T127" i="5"/>
  <c r="O127" i="5"/>
  <c r="Q127" i="5" s="1"/>
  <c r="R127" i="5" s="1"/>
  <c r="S127" i="5" s="1"/>
  <c r="K127" i="5"/>
  <c r="J127" i="5"/>
  <c r="L127" i="5" s="1"/>
  <c r="F127" i="5"/>
  <c r="E127" i="5"/>
  <c r="D127" i="5"/>
  <c r="A127" i="5"/>
  <c r="V126" i="5"/>
  <c r="U126" i="5"/>
  <c r="T126" i="5"/>
  <c r="R126" i="5"/>
  <c r="S126" i="5" s="1"/>
  <c r="Q126" i="5"/>
  <c r="O126" i="5"/>
  <c r="L126" i="5"/>
  <c r="K126" i="5"/>
  <c r="J126" i="5"/>
  <c r="F126" i="5"/>
  <c r="E126" i="5"/>
  <c r="D126" i="5"/>
  <c r="A126" i="5"/>
  <c r="V125" i="5"/>
  <c r="T125" i="5"/>
  <c r="U125" i="5" s="1"/>
  <c r="O125" i="5"/>
  <c r="Q125" i="5" s="1"/>
  <c r="R125" i="5" s="1"/>
  <c r="S125" i="5" s="1"/>
  <c r="K125" i="5"/>
  <c r="J125" i="5"/>
  <c r="L125" i="5" s="1"/>
  <c r="F125" i="5"/>
  <c r="E125" i="5"/>
  <c r="D125" i="5"/>
  <c r="A125" i="5"/>
  <c r="V124" i="5"/>
  <c r="U124" i="5"/>
  <c r="T124" i="5"/>
  <c r="R124" i="5"/>
  <c r="S124" i="5" s="1"/>
  <c r="Q124" i="5"/>
  <c r="O124" i="5"/>
  <c r="L124" i="5"/>
  <c r="K124" i="5"/>
  <c r="J124" i="5"/>
  <c r="F124" i="5"/>
  <c r="E124" i="5"/>
  <c r="D124" i="5"/>
  <c r="A124" i="5"/>
  <c r="V123" i="5"/>
  <c r="T123" i="5"/>
  <c r="U123" i="5" s="1"/>
  <c r="Q123" i="5"/>
  <c r="R123" i="5" s="1"/>
  <c r="S123" i="5" s="1"/>
  <c r="O123" i="5"/>
  <c r="K123" i="5"/>
  <c r="J123" i="5"/>
  <c r="L123" i="5" s="1"/>
  <c r="F123" i="5"/>
  <c r="E123" i="5"/>
  <c r="D123" i="5"/>
  <c r="A123" i="5"/>
  <c r="V122" i="5"/>
  <c r="U122" i="5"/>
  <c r="T122" i="5"/>
  <c r="O122" i="5"/>
  <c r="Q122" i="5" s="1"/>
  <c r="R122" i="5" s="1"/>
  <c r="S122" i="5" s="1"/>
  <c r="K122" i="5"/>
  <c r="J122" i="5"/>
  <c r="L122" i="5" s="1"/>
  <c r="F122" i="5"/>
  <c r="E122" i="5"/>
  <c r="D122" i="5"/>
  <c r="A122" i="5"/>
  <c r="V121" i="5"/>
  <c r="U121" i="5"/>
  <c r="T121" i="5"/>
  <c r="R121" i="5"/>
  <c r="S121" i="5" s="1"/>
  <c r="Q121" i="5"/>
  <c r="O121" i="5"/>
  <c r="L121" i="5"/>
  <c r="K121" i="5"/>
  <c r="J121" i="5"/>
  <c r="F121" i="5"/>
  <c r="E121" i="5"/>
  <c r="D121" i="5"/>
  <c r="A121" i="5"/>
  <c r="V120" i="5"/>
  <c r="T120" i="5"/>
  <c r="U120" i="5" s="1"/>
  <c r="Q120" i="5"/>
  <c r="R120" i="5" s="1"/>
  <c r="S120" i="5" s="1"/>
  <c r="O120" i="5"/>
  <c r="K120" i="5"/>
  <c r="J120" i="5"/>
  <c r="L120" i="5" s="1"/>
  <c r="F120" i="5"/>
  <c r="E120" i="5"/>
  <c r="D120" i="5"/>
  <c r="A120" i="5"/>
  <c r="V119" i="5"/>
  <c r="U119" i="5"/>
  <c r="T119" i="5"/>
  <c r="O119" i="5"/>
  <c r="Q119" i="5" s="1"/>
  <c r="R119" i="5" s="1"/>
  <c r="S119" i="5" s="1"/>
  <c r="K119" i="5"/>
  <c r="J119" i="5"/>
  <c r="L119" i="5" s="1"/>
  <c r="F119" i="5"/>
  <c r="E119" i="5"/>
  <c r="D119" i="5"/>
  <c r="A119" i="5"/>
  <c r="V118" i="5"/>
  <c r="U118" i="5"/>
  <c r="T118" i="5"/>
  <c r="R118" i="5"/>
  <c r="S118" i="5" s="1"/>
  <c r="Q118" i="5"/>
  <c r="O118" i="5"/>
  <c r="L118" i="5"/>
  <c r="K118" i="5"/>
  <c r="J118" i="5"/>
  <c r="F118" i="5"/>
  <c r="E118" i="5"/>
  <c r="D118" i="5"/>
  <c r="A118" i="5"/>
  <c r="V117" i="5"/>
  <c r="T117" i="5"/>
  <c r="U117" i="5" s="1"/>
  <c r="Q117" i="5"/>
  <c r="R117" i="5" s="1"/>
  <c r="S117" i="5" s="1"/>
  <c r="O117" i="5"/>
  <c r="K117" i="5"/>
  <c r="J117" i="5"/>
  <c r="L117" i="5" s="1"/>
  <c r="F117" i="5"/>
  <c r="E117" i="5"/>
  <c r="D117" i="5"/>
  <c r="A117" i="5"/>
  <c r="V116" i="5"/>
  <c r="U116" i="5"/>
  <c r="T116" i="5"/>
  <c r="O116" i="5"/>
  <c r="Q116" i="5" s="1"/>
  <c r="R116" i="5" s="1"/>
  <c r="S116" i="5" s="1"/>
  <c r="K116" i="5"/>
  <c r="J116" i="5"/>
  <c r="L116" i="5" s="1"/>
  <c r="F116" i="5"/>
  <c r="E116" i="5"/>
  <c r="D116" i="5"/>
  <c r="A116" i="5"/>
  <c r="V115" i="5"/>
  <c r="U115" i="5"/>
  <c r="T115" i="5"/>
  <c r="R115" i="5"/>
  <c r="S115" i="5" s="1"/>
  <c r="Q115" i="5"/>
  <c r="O115" i="5"/>
  <c r="L115" i="5"/>
  <c r="K115" i="5"/>
  <c r="J115" i="5"/>
  <c r="F115" i="5"/>
  <c r="E115" i="5"/>
  <c r="D115" i="5"/>
  <c r="A115" i="5"/>
  <c r="V114" i="5"/>
  <c r="T114" i="5"/>
  <c r="U114" i="5" s="1"/>
  <c r="Q114" i="5"/>
  <c r="R114" i="5" s="1"/>
  <c r="S114" i="5" s="1"/>
  <c r="O114" i="5"/>
  <c r="K114" i="5"/>
  <c r="J114" i="5"/>
  <c r="L114" i="5" s="1"/>
  <c r="F114" i="5"/>
  <c r="E114" i="5"/>
  <c r="D114" i="5"/>
  <c r="A114" i="5"/>
  <c r="V113" i="5"/>
  <c r="U113" i="5"/>
  <c r="T113" i="5"/>
  <c r="O113" i="5"/>
  <c r="Q113" i="5" s="1"/>
  <c r="R113" i="5" s="1"/>
  <c r="S113" i="5" s="1"/>
  <c r="K113" i="5"/>
  <c r="J113" i="5"/>
  <c r="L113" i="5" s="1"/>
  <c r="F113" i="5"/>
  <c r="E113" i="5"/>
  <c r="D113" i="5"/>
  <c r="A113" i="5"/>
  <c r="V112" i="5"/>
  <c r="U112" i="5"/>
  <c r="T112" i="5"/>
  <c r="R112" i="5"/>
  <c r="S112" i="5" s="1"/>
  <c r="Q112" i="5"/>
  <c r="O112" i="5"/>
  <c r="L112" i="5"/>
  <c r="K112" i="5"/>
  <c r="J112" i="5"/>
  <c r="F112" i="5"/>
  <c r="E112" i="5"/>
  <c r="D112" i="5"/>
  <c r="A112" i="5"/>
  <c r="V111" i="5"/>
  <c r="T111" i="5"/>
  <c r="U111" i="5" s="1"/>
  <c r="Q111" i="5"/>
  <c r="R111" i="5" s="1"/>
  <c r="S111" i="5" s="1"/>
  <c r="O111" i="5"/>
  <c r="K111" i="5"/>
  <c r="J111" i="5"/>
  <c r="L111" i="5" s="1"/>
  <c r="F111" i="5"/>
  <c r="E111" i="5"/>
  <c r="D111" i="5"/>
  <c r="A111" i="5"/>
  <c r="V110" i="5"/>
  <c r="U110" i="5"/>
  <c r="T110" i="5"/>
  <c r="O110" i="5"/>
  <c r="Q110" i="5" s="1"/>
  <c r="R110" i="5" s="1"/>
  <c r="S110" i="5" s="1"/>
  <c r="K110" i="5"/>
  <c r="J110" i="5"/>
  <c r="L110" i="5" s="1"/>
  <c r="F110" i="5"/>
  <c r="E110" i="5"/>
  <c r="D110" i="5"/>
  <c r="A110" i="5"/>
  <c r="V109" i="5"/>
  <c r="U109" i="5"/>
  <c r="T109" i="5"/>
  <c r="R109" i="5"/>
  <c r="S109" i="5" s="1"/>
  <c r="Q109" i="5"/>
  <c r="O109" i="5"/>
  <c r="L109" i="5"/>
  <c r="K109" i="5"/>
  <c r="J109" i="5"/>
  <c r="F109" i="5"/>
  <c r="E109" i="5"/>
  <c r="D109" i="5"/>
  <c r="A109" i="5"/>
  <c r="V108" i="5"/>
  <c r="T108" i="5"/>
  <c r="U108" i="5" s="1"/>
  <c r="Q108" i="5"/>
  <c r="R108" i="5" s="1"/>
  <c r="S108" i="5" s="1"/>
  <c r="O108" i="5"/>
  <c r="K108" i="5"/>
  <c r="J108" i="5"/>
  <c r="L108" i="5" s="1"/>
  <c r="F108" i="5"/>
  <c r="E108" i="5"/>
  <c r="D108" i="5"/>
  <c r="A108" i="5"/>
  <c r="V107" i="5"/>
  <c r="U107" i="5"/>
  <c r="T107" i="5"/>
  <c r="O107" i="5"/>
  <c r="Q107" i="5" s="1"/>
  <c r="R107" i="5" s="1"/>
  <c r="S107" i="5" s="1"/>
  <c r="K107" i="5"/>
  <c r="J107" i="5"/>
  <c r="L107" i="5" s="1"/>
  <c r="F107" i="5"/>
  <c r="E107" i="5"/>
  <c r="D107" i="5"/>
  <c r="A107" i="5"/>
  <c r="V106" i="5"/>
  <c r="U106" i="5"/>
  <c r="T106" i="5"/>
  <c r="R106" i="5"/>
  <c r="S106" i="5" s="1"/>
  <c r="Q106" i="5"/>
  <c r="O106" i="5"/>
  <c r="L106" i="5"/>
  <c r="K106" i="5"/>
  <c r="J106" i="5"/>
  <c r="F106" i="5"/>
  <c r="E106" i="5"/>
  <c r="D106" i="5"/>
  <c r="A106" i="5"/>
  <c r="V105" i="5"/>
  <c r="T105" i="5"/>
  <c r="U105" i="5" s="1"/>
  <c r="Q105" i="5"/>
  <c r="R105" i="5" s="1"/>
  <c r="S105" i="5" s="1"/>
  <c r="O105" i="5"/>
  <c r="K105" i="5"/>
  <c r="J105" i="5"/>
  <c r="L105" i="5" s="1"/>
  <c r="F105" i="5"/>
  <c r="E105" i="5"/>
  <c r="D105" i="5"/>
  <c r="A105" i="5"/>
  <c r="V104" i="5"/>
  <c r="U104" i="5"/>
  <c r="T104" i="5"/>
  <c r="O104" i="5"/>
  <c r="Q104" i="5" s="1"/>
  <c r="R104" i="5" s="1"/>
  <c r="S104" i="5" s="1"/>
  <c r="K104" i="5"/>
  <c r="J104" i="5"/>
  <c r="L104" i="5" s="1"/>
  <c r="F104" i="5"/>
  <c r="E104" i="5"/>
  <c r="D104" i="5"/>
  <c r="A104" i="5"/>
  <c r="V103" i="5"/>
  <c r="U103" i="5"/>
  <c r="T103" i="5"/>
  <c r="R103" i="5"/>
  <c r="S103" i="5" s="1"/>
  <c r="Q103" i="5"/>
  <c r="O103" i="5"/>
  <c r="L103" i="5"/>
  <c r="K103" i="5"/>
  <c r="J103" i="5"/>
  <c r="F103" i="5"/>
  <c r="E103" i="5"/>
  <c r="D103" i="5"/>
  <c r="A103" i="5"/>
  <c r="V102" i="5"/>
  <c r="T102" i="5"/>
  <c r="U102" i="5" s="1"/>
  <c r="Q102" i="5"/>
  <c r="R102" i="5" s="1"/>
  <c r="S102" i="5" s="1"/>
  <c r="O102" i="5"/>
  <c r="K102" i="5"/>
  <c r="J102" i="5"/>
  <c r="L102" i="5" s="1"/>
  <c r="F102" i="5"/>
  <c r="E102" i="5"/>
  <c r="D102" i="5"/>
  <c r="A102" i="5"/>
  <c r="V101" i="5"/>
  <c r="U101" i="5"/>
  <c r="T101" i="5"/>
  <c r="O101" i="5"/>
  <c r="Q101" i="5" s="1"/>
  <c r="R101" i="5" s="1"/>
  <c r="S101" i="5" s="1"/>
  <c r="K101" i="5"/>
  <c r="J101" i="5"/>
  <c r="L101" i="5" s="1"/>
  <c r="F101" i="5"/>
  <c r="E101" i="5"/>
  <c r="D101" i="5"/>
  <c r="A101" i="5"/>
  <c r="V100" i="5"/>
  <c r="U100" i="5"/>
  <c r="T100" i="5"/>
  <c r="R100" i="5"/>
  <c r="S100" i="5" s="1"/>
  <c r="Q100" i="5"/>
  <c r="O100" i="5"/>
  <c r="L100" i="5"/>
  <c r="K100" i="5"/>
  <c r="J100" i="5"/>
  <c r="F100" i="5"/>
  <c r="E100" i="5"/>
  <c r="D100" i="5"/>
  <c r="A100" i="5"/>
  <c r="V99" i="5"/>
  <c r="T99" i="5"/>
  <c r="U99" i="5" s="1"/>
  <c r="Q99" i="5"/>
  <c r="R99" i="5" s="1"/>
  <c r="S99" i="5" s="1"/>
  <c r="O99" i="5"/>
  <c r="K99" i="5"/>
  <c r="J99" i="5"/>
  <c r="L99" i="5" s="1"/>
  <c r="F99" i="5"/>
  <c r="E99" i="5"/>
  <c r="D99" i="5"/>
  <c r="A99" i="5"/>
  <c r="V98" i="5"/>
  <c r="U98" i="5"/>
  <c r="T98" i="5"/>
  <c r="O98" i="5"/>
  <c r="Q98" i="5" s="1"/>
  <c r="R98" i="5" s="1"/>
  <c r="S98" i="5" s="1"/>
  <c r="K98" i="5"/>
  <c r="J98" i="5"/>
  <c r="L98" i="5" s="1"/>
  <c r="F98" i="5"/>
  <c r="E98" i="5"/>
  <c r="D98" i="5"/>
  <c r="A98" i="5"/>
  <c r="V97" i="5"/>
  <c r="U97" i="5"/>
  <c r="T97" i="5"/>
  <c r="R97" i="5"/>
  <c r="S97" i="5" s="1"/>
  <c r="Q97" i="5"/>
  <c r="O97" i="5"/>
  <c r="L97" i="5"/>
  <c r="K97" i="5"/>
  <c r="J97" i="5"/>
  <c r="F97" i="5"/>
  <c r="E97" i="5"/>
  <c r="D97" i="5"/>
  <c r="A97" i="5"/>
  <c r="V96" i="5"/>
  <c r="T96" i="5"/>
  <c r="U96" i="5" s="1"/>
  <c r="Q96" i="5"/>
  <c r="R96" i="5" s="1"/>
  <c r="S96" i="5" s="1"/>
  <c r="O96" i="5"/>
  <c r="K96" i="5"/>
  <c r="J96" i="5"/>
  <c r="L96" i="5" s="1"/>
  <c r="F96" i="5"/>
  <c r="E96" i="5"/>
  <c r="D96" i="5"/>
  <c r="A96" i="5"/>
  <c r="V95" i="5"/>
  <c r="U95" i="5"/>
  <c r="T95" i="5"/>
  <c r="O95" i="5"/>
  <c r="Q95" i="5" s="1"/>
  <c r="R95" i="5" s="1"/>
  <c r="S95" i="5" s="1"/>
  <c r="K95" i="5"/>
  <c r="J95" i="5"/>
  <c r="L95" i="5" s="1"/>
  <c r="F95" i="5"/>
  <c r="E95" i="5"/>
  <c r="D95" i="5"/>
  <c r="A95" i="5"/>
  <c r="V94" i="5"/>
  <c r="U94" i="5"/>
  <c r="T94" i="5"/>
  <c r="R94" i="5"/>
  <c r="S94" i="5" s="1"/>
  <c r="Q94" i="5"/>
  <c r="O94" i="5"/>
  <c r="L94" i="5"/>
  <c r="K94" i="5"/>
  <c r="J94" i="5"/>
  <c r="F94" i="5"/>
  <c r="E94" i="5"/>
  <c r="D94" i="5"/>
  <c r="A94" i="5"/>
  <c r="V93" i="5"/>
  <c r="T93" i="5"/>
  <c r="U93" i="5" s="1"/>
  <c r="Q93" i="5"/>
  <c r="R93" i="5" s="1"/>
  <c r="S93" i="5" s="1"/>
  <c r="O93" i="5"/>
  <c r="K93" i="5"/>
  <c r="J93" i="5"/>
  <c r="L93" i="5" s="1"/>
  <c r="F93" i="5"/>
  <c r="E93" i="5"/>
  <c r="D93" i="5"/>
  <c r="A93" i="5"/>
  <c r="V92" i="5"/>
  <c r="U92" i="5"/>
  <c r="T92" i="5"/>
  <c r="O92" i="5"/>
  <c r="Q92" i="5" s="1"/>
  <c r="R92" i="5" s="1"/>
  <c r="S92" i="5" s="1"/>
  <c r="K92" i="5"/>
  <c r="J92" i="5"/>
  <c r="L92" i="5" s="1"/>
  <c r="F92" i="5"/>
  <c r="E92" i="5"/>
  <c r="D92" i="5"/>
  <c r="A92" i="5"/>
  <c r="V91" i="5"/>
  <c r="U91" i="5"/>
  <c r="T91" i="5"/>
  <c r="R91" i="5"/>
  <c r="S91" i="5" s="1"/>
  <c r="Q91" i="5"/>
  <c r="O91" i="5"/>
  <c r="L91" i="5"/>
  <c r="K91" i="5"/>
  <c r="J91" i="5"/>
  <c r="F91" i="5"/>
  <c r="E91" i="5"/>
  <c r="D91" i="5"/>
  <c r="A91" i="5"/>
  <c r="V90" i="5"/>
  <c r="T90" i="5"/>
  <c r="U90" i="5" s="1"/>
  <c r="Q90" i="5"/>
  <c r="R90" i="5" s="1"/>
  <c r="S90" i="5" s="1"/>
  <c r="O90" i="5"/>
  <c r="K90" i="5"/>
  <c r="J90" i="5"/>
  <c r="L90" i="5" s="1"/>
  <c r="F90" i="5"/>
  <c r="E90" i="5"/>
  <c r="D90" i="5"/>
  <c r="A90" i="5"/>
  <c r="V89" i="5"/>
  <c r="U89" i="5"/>
  <c r="T89" i="5"/>
  <c r="O89" i="5"/>
  <c r="Q89" i="5" s="1"/>
  <c r="R89" i="5" s="1"/>
  <c r="S89" i="5" s="1"/>
  <c r="K89" i="5"/>
  <c r="J89" i="5"/>
  <c r="L89" i="5" s="1"/>
  <c r="F89" i="5"/>
  <c r="E89" i="5"/>
  <c r="D89" i="5"/>
  <c r="A89" i="5"/>
  <c r="V88" i="5"/>
  <c r="U88" i="5"/>
  <c r="T88" i="5"/>
  <c r="R88" i="5"/>
  <c r="S88" i="5" s="1"/>
  <c r="Q88" i="5"/>
  <c r="O88" i="5"/>
  <c r="L88" i="5"/>
  <c r="K88" i="5"/>
  <c r="J88" i="5"/>
  <c r="F88" i="5"/>
  <c r="E88" i="5"/>
  <c r="D88" i="5"/>
  <c r="A88" i="5"/>
  <c r="V87" i="5"/>
  <c r="T87" i="5"/>
  <c r="U87" i="5" s="1"/>
  <c r="Q87" i="5"/>
  <c r="R87" i="5" s="1"/>
  <c r="S87" i="5" s="1"/>
  <c r="O87" i="5"/>
  <c r="K87" i="5"/>
  <c r="J87" i="5"/>
  <c r="L87" i="5" s="1"/>
  <c r="F87" i="5"/>
  <c r="E87" i="5"/>
  <c r="D87" i="5"/>
  <c r="A87" i="5"/>
  <c r="V86" i="5"/>
  <c r="U86" i="5"/>
  <c r="T86" i="5"/>
  <c r="O86" i="5"/>
  <c r="Q86" i="5" s="1"/>
  <c r="R86" i="5" s="1"/>
  <c r="S86" i="5" s="1"/>
  <c r="K86" i="5"/>
  <c r="J86" i="5"/>
  <c r="L86" i="5" s="1"/>
  <c r="F86" i="5"/>
  <c r="E86" i="5"/>
  <c r="D86" i="5"/>
  <c r="A86" i="5"/>
  <c r="V85" i="5"/>
  <c r="U85" i="5"/>
  <c r="T85" i="5"/>
  <c r="R85" i="5"/>
  <c r="S85" i="5" s="1"/>
  <c r="Q85" i="5"/>
  <c r="O85" i="5"/>
  <c r="L85" i="5"/>
  <c r="K85" i="5"/>
  <c r="J85" i="5"/>
  <c r="F85" i="5"/>
  <c r="E85" i="5"/>
  <c r="D85" i="5"/>
  <c r="A85" i="5"/>
  <c r="V84" i="5"/>
  <c r="T84" i="5"/>
  <c r="U84" i="5" s="1"/>
  <c r="Q84" i="5"/>
  <c r="R84" i="5" s="1"/>
  <c r="S84" i="5" s="1"/>
  <c r="O84" i="5"/>
  <c r="K84" i="5"/>
  <c r="J84" i="5"/>
  <c r="L84" i="5" s="1"/>
  <c r="F84" i="5"/>
  <c r="E84" i="5"/>
  <c r="D84" i="5"/>
  <c r="A84" i="5"/>
  <c r="V83" i="5"/>
  <c r="U83" i="5"/>
  <c r="T83" i="5"/>
  <c r="O83" i="5"/>
  <c r="Q83" i="5" s="1"/>
  <c r="R83" i="5" s="1"/>
  <c r="S83" i="5" s="1"/>
  <c r="K83" i="5"/>
  <c r="J83" i="5"/>
  <c r="L83" i="5" s="1"/>
  <c r="F83" i="5"/>
  <c r="E83" i="5"/>
  <c r="D83" i="5"/>
  <c r="A83" i="5"/>
  <c r="V82" i="5"/>
  <c r="U82" i="5"/>
  <c r="T82" i="5"/>
  <c r="R82" i="5"/>
  <c r="S82" i="5" s="1"/>
  <c r="Q82" i="5"/>
  <c r="O82" i="5"/>
  <c r="L82" i="5"/>
  <c r="K82" i="5"/>
  <c r="J82" i="5"/>
  <c r="F82" i="5"/>
  <c r="E82" i="5"/>
  <c r="D82" i="5"/>
  <c r="A82" i="5"/>
  <c r="V81" i="5"/>
  <c r="T81" i="5"/>
  <c r="U81" i="5" s="1"/>
  <c r="Q81" i="5"/>
  <c r="R81" i="5" s="1"/>
  <c r="S81" i="5" s="1"/>
  <c r="O81" i="5"/>
  <c r="K81" i="5"/>
  <c r="J81" i="5"/>
  <c r="L81" i="5" s="1"/>
  <c r="F81" i="5"/>
  <c r="E81" i="5"/>
  <c r="D81" i="5"/>
  <c r="A81" i="5"/>
  <c r="V80" i="5"/>
  <c r="U80" i="5"/>
  <c r="T80" i="5"/>
  <c r="O80" i="5"/>
  <c r="Q80" i="5" s="1"/>
  <c r="R80" i="5" s="1"/>
  <c r="S80" i="5" s="1"/>
  <c r="K80" i="5"/>
  <c r="J80" i="5"/>
  <c r="L80" i="5" s="1"/>
  <c r="F80" i="5"/>
  <c r="E80" i="5"/>
  <c r="D80" i="5"/>
  <c r="A80" i="5"/>
  <c r="V79" i="5"/>
  <c r="U79" i="5"/>
  <c r="T79" i="5"/>
  <c r="R79" i="5"/>
  <c r="S79" i="5" s="1"/>
  <c r="Q79" i="5"/>
  <c r="O79" i="5"/>
  <c r="L79" i="5"/>
  <c r="K79" i="5"/>
  <c r="J79" i="5"/>
  <c r="F79" i="5"/>
  <c r="E79" i="5"/>
  <c r="D79" i="5"/>
  <c r="A79" i="5"/>
  <c r="V78" i="5"/>
  <c r="T78" i="5"/>
  <c r="U78" i="5" s="1"/>
  <c r="Q78" i="5"/>
  <c r="R78" i="5" s="1"/>
  <c r="S78" i="5" s="1"/>
  <c r="O78" i="5"/>
  <c r="K78" i="5"/>
  <c r="J78" i="5"/>
  <c r="L78" i="5" s="1"/>
  <c r="F78" i="5"/>
  <c r="E78" i="5"/>
  <c r="D78" i="5"/>
  <c r="A78" i="5"/>
  <c r="V77" i="5"/>
  <c r="U77" i="5"/>
  <c r="T77" i="5"/>
  <c r="O77" i="5"/>
  <c r="Q77" i="5" s="1"/>
  <c r="R77" i="5" s="1"/>
  <c r="S77" i="5" s="1"/>
  <c r="K77" i="5"/>
  <c r="J77" i="5"/>
  <c r="L77" i="5" s="1"/>
  <c r="F77" i="5"/>
  <c r="E77" i="5"/>
  <c r="D77" i="5"/>
  <c r="A77" i="5"/>
  <c r="V76" i="5"/>
  <c r="U76" i="5"/>
  <c r="T76" i="5"/>
  <c r="R76" i="5"/>
  <c r="S76" i="5" s="1"/>
  <c r="Q76" i="5"/>
  <c r="O76" i="5"/>
  <c r="L76" i="5"/>
  <c r="K76" i="5"/>
  <c r="J76" i="5"/>
  <c r="F76" i="5"/>
  <c r="E76" i="5"/>
  <c r="D76" i="5"/>
  <c r="A76" i="5"/>
  <c r="V75" i="5"/>
  <c r="T75" i="5"/>
  <c r="U75" i="5" s="1"/>
  <c r="Q75" i="5"/>
  <c r="R75" i="5" s="1"/>
  <c r="S75" i="5" s="1"/>
  <c r="O75" i="5"/>
  <c r="K75" i="5"/>
  <c r="J75" i="5"/>
  <c r="L75" i="5" s="1"/>
  <c r="F75" i="5"/>
  <c r="E75" i="5"/>
  <c r="D75" i="5"/>
  <c r="A75" i="5"/>
  <c r="V74" i="5"/>
  <c r="U74" i="5"/>
  <c r="T74" i="5"/>
  <c r="O74" i="5"/>
  <c r="Q74" i="5" s="1"/>
  <c r="R74" i="5" s="1"/>
  <c r="S74" i="5" s="1"/>
  <c r="K74" i="5"/>
  <c r="J74" i="5"/>
  <c r="L74" i="5" s="1"/>
  <c r="F74" i="5"/>
  <c r="E74" i="5"/>
  <c r="D74" i="5"/>
  <c r="A74" i="5"/>
  <c r="V73" i="5"/>
  <c r="U73" i="5"/>
  <c r="T73" i="5"/>
  <c r="R73" i="5"/>
  <c r="S73" i="5" s="1"/>
  <c r="Q73" i="5"/>
  <c r="O73" i="5"/>
  <c r="L73" i="5"/>
  <c r="K73" i="5"/>
  <c r="J73" i="5"/>
  <c r="F73" i="5"/>
  <c r="E73" i="5"/>
  <c r="D73" i="5"/>
  <c r="A73" i="5"/>
  <c r="V72" i="5"/>
  <c r="T72" i="5"/>
  <c r="U72" i="5" s="1"/>
  <c r="Q72" i="5"/>
  <c r="R72" i="5" s="1"/>
  <c r="S72" i="5" s="1"/>
  <c r="O72" i="5"/>
  <c r="K72" i="5"/>
  <c r="J72" i="5"/>
  <c r="L72" i="5" s="1"/>
  <c r="F72" i="5"/>
  <c r="E72" i="5"/>
  <c r="D72" i="5"/>
  <c r="A72" i="5"/>
  <c r="V71" i="5"/>
  <c r="U71" i="5"/>
  <c r="T71" i="5"/>
  <c r="O71" i="5"/>
  <c r="Q71" i="5" s="1"/>
  <c r="R71" i="5" s="1"/>
  <c r="S71" i="5" s="1"/>
  <c r="K71" i="5"/>
  <c r="J71" i="5"/>
  <c r="L71" i="5" s="1"/>
  <c r="F71" i="5"/>
  <c r="E71" i="5"/>
  <c r="D71" i="5"/>
  <c r="A71" i="5"/>
  <c r="V70" i="5"/>
  <c r="U70" i="5"/>
  <c r="T70" i="5"/>
  <c r="R70" i="5"/>
  <c r="S70" i="5" s="1"/>
  <c r="Q70" i="5"/>
  <c r="O70" i="5"/>
  <c r="L70" i="5"/>
  <c r="K70" i="5"/>
  <c r="J70" i="5"/>
  <c r="F70" i="5"/>
  <c r="E70" i="5"/>
  <c r="D70" i="5"/>
  <c r="A70" i="5"/>
  <c r="V69" i="5"/>
  <c r="T69" i="5"/>
  <c r="U69" i="5" s="1"/>
  <c r="Q69" i="5"/>
  <c r="R69" i="5" s="1"/>
  <c r="S69" i="5" s="1"/>
  <c r="O69" i="5"/>
  <c r="K69" i="5"/>
  <c r="J69" i="5"/>
  <c r="L69" i="5" s="1"/>
  <c r="F69" i="5"/>
  <c r="E69" i="5"/>
  <c r="D69" i="5"/>
  <c r="A69" i="5"/>
  <c r="V68" i="5"/>
  <c r="U68" i="5"/>
  <c r="T68" i="5"/>
  <c r="O68" i="5"/>
  <c r="Q68" i="5" s="1"/>
  <c r="R68" i="5" s="1"/>
  <c r="S68" i="5" s="1"/>
  <c r="K68" i="5"/>
  <c r="J68" i="5"/>
  <c r="L68" i="5" s="1"/>
  <c r="F68" i="5"/>
  <c r="E68" i="5"/>
  <c r="D68" i="5"/>
  <c r="A68" i="5"/>
  <c r="V67" i="5"/>
  <c r="U67" i="5"/>
  <c r="T67" i="5"/>
  <c r="R67" i="5"/>
  <c r="S67" i="5" s="1"/>
  <c r="Q67" i="5"/>
  <c r="O67" i="5"/>
  <c r="L67" i="5"/>
  <c r="K67" i="5"/>
  <c r="J67" i="5"/>
  <c r="F67" i="5"/>
  <c r="E67" i="5"/>
  <c r="D67" i="5"/>
  <c r="A67" i="5"/>
  <c r="V66" i="5"/>
  <c r="T66" i="5"/>
  <c r="U66" i="5" s="1"/>
  <c r="Q66" i="5"/>
  <c r="R66" i="5" s="1"/>
  <c r="S66" i="5" s="1"/>
  <c r="O66" i="5"/>
  <c r="K66" i="5"/>
  <c r="J66" i="5"/>
  <c r="L66" i="5" s="1"/>
  <c r="F66" i="5"/>
  <c r="E66" i="5"/>
  <c r="D66" i="5"/>
  <c r="A66" i="5"/>
  <c r="V65" i="5"/>
  <c r="U65" i="5"/>
  <c r="T65" i="5"/>
  <c r="O65" i="5"/>
  <c r="Q65" i="5" s="1"/>
  <c r="R65" i="5" s="1"/>
  <c r="S65" i="5" s="1"/>
  <c r="K65" i="5"/>
  <c r="J65" i="5"/>
  <c r="L65" i="5" s="1"/>
  <c r="F65" i="5"/>
  <c r="E65" i="5"/>
  <c r="D65" i="5"/>
  <c r="A65" i="5"/>
  <c r="V64" i="5"/>
  <c r="U64" i="5"/>
  <c r="T64" i="5"/>
  <c r="R64" i="5"/>
  <c r="S64" i="5" s="1"/>
  <c r="Q64" i="5"/>
  <c r="O64" i="5"/>
  <c r="L64" i="5"/>
  <c r="K64" i="5"/>
  <c r="J64" i="5"/>
  <c r="F64" i="5"/>
  <c r="E64" i="5"/>
  <c r="D64" i="5"/>
  <c r="A64" i="5"/>
  <c r="V63" i="5"/>
  <c r="T63" i="5"/>
  <c r="U63" i="5" s="1"/>
  <c r="Q63" i="5"/>
  <c r="R63" i="5" s="1"/>
  <c r="S63" i="5" s="1"/>
  <c r="O63" i="5"/>
  <c r="K63" i="5"/>
  <c r="J63" i="5"/>
  <c r="L63" i="5" s="1"/>
  <c r="F63" i="5"/>
  <c r="E63" i="5"/>
  <c r="D63" i="5"/>
  <c r="A63" i="5"/>
  <c r="V62" i="5"/>
  <c r="U62" i="5"/>
  <c r="T62" i="5"/>
  <c r="O62" i="5"/>
  <c r="Q62" i="5" s="1"/>
  <c r="R62" i="5" s="1"/>
  <c r="S62" i="5" s="1"/>
  <c r="K62" i="5"/>
  <c r="J62" i="5"/>
  <c r="L62" i="5" s="1"/>
  <c r="F62" i="5"/>
  <c r="E62" i="5"/>
  <c r="D62" i="5"/>
  <c r="A62" i="5"/>
  <c r="V61" i="5"/>
  <c r="U61" i="5"/>
  <c r="T61" i="5"/>
  <c r="R61" i="5"/>
  <c r="S61" i="5" s="1"/>
  <c r="Q61" i="5"/>
  <c r="O61" i="5"/>
  <c r="L61" i="5"/>
  <c r="K61" i="5"/>
  <c r="J61" i="5"/>
  <c r="F61" i="5"/>
  <c r="E61" i="5"/>
  <c r="D61" i="5"/>
  <c r="A61" i="5"/>
  <c r="V60" i="5"/>
  <c r="T60" i="5"/>
  <c r="U60" i="5" s="1"/>
  <c r="Q60" i="5"/>
  <c r="R60" i="5" s="1"/>
  <c r="S60" i="5" s="1"/>
  <c r="O60" i="5"/>
  <c r="K60" i="5"/>
  <c r="J60" i="5"/>
  <c r="L60" i="5" s="1"/>
  <c r="F60" i="5"/>
  <c r="E60" i="5"/>
  <c r="D60" i="5"/>
  <c r="A60" i="5"/>
  <c r="V59" i="5"/>
  <c r="U59" i="5"/>
  <c r="T59" i="5"/>
  <c r="O59" i="5"/>
  <c r="Q59" i="5" s="1"/>
  <c r="R59" i="5" s="1"/>
  <c r="S59" i="5" s="1"/>
  <c r="K59" i="5"/>
  <c r="J59" i="5"/>
  <c r="L59" i="5" s="1"/>
  <c r="F59" i="5"/>
  <c r="E59" i="5"/>
  <c r="D59" i="5"/>
  <c r="A59" i="5"/>
  <c r="V58" i="5"/>
  <c r="U58" i="5"/>
  <c r="T58" i="5"/>
  <c r="R58" i="5"/>
  <c r="S58" i="5" s="1"/>
  <c r="Q58" i="5"/>
  <c r="O58" i="5"/>
  <c r="L58" i="5"/>
  <c r="K58" i="5"/>
  <c r="J58" i="5"/>
  <c r="F58" i="5"/>
  <c r="E58" i="5"/>
  <c r="D58" i="5"/>
  <c r="A58" i="5"/>
  <c r="V57" i="5"/>
  <c r="T57" i="5"/>
  <c r="U57" i="5" s="1"/>
  <c r="Q57" i="5"/>
  <c r="R57" i="5" s="1"/>
  <c r="S57" i="5" s="1"/>
  <c r="O57" i="5"/>
  <c r="K57" i="5"/>
  <c r="J57" i="5"/>
  <c r="L57" i="5" s="1"/>
  <c r="F57" i="5"/>
  <c r="E57" i="5"/>
  <c r="D57" i="5"/>
  <c r="A57" i="5"/>
  <c r="V56" i="5"/>
  <c r="U56" i="5"/>
  <c r="T56" i="5"/>
  <c r="O56" i="5"/>
  <c r="Q56" i="5" s="1"/>
  <c r="R56" i="5" s="1"/>
  <c r="S56" i="5" s="1"/>
  <c r="K56" i="5"/>
  <c r="J56" i="5"/>
  <c r="L56" i="5" s="1"/>
  <c r="F56" i="5"/>
  <c r="E56" i="5"/>
  <c r="D56" i="5"/>
  <c r="A56" i="5"/>
  <c r="V55" i="5"/>
  <c r="U55" i="5"/>
  <c r="T55" i="5"/>
  <c r="R55" i="5"/>
  <c r="S55" i="5" s="1"/>
  <c r="Q55" i="5"/>
  <c r="O55" i="5"/>
  <c r="L55" i="5"/>
  <c r="K55" i="5"/>
  <c r="J55" i="5"/>
  <c r="F55" i="5"/>
  <c r="E55" i="5"/>
  <c r="D55" i="5"/>
  <c r="A55" i="5"/>
  <c r="V54" i="5"/>
  <c r="T54" i="5"/>
  <c r="U54" i="5" s="1"/>
  <c r="Q54" i="5"/>
  <c r="R54" i="5" s="1"/>
  <c r="S54" i="5" s="1"/>
  <c r="O54" i="5"/>
  <c r="K54" i="5"/>
  <c r="J54" i="5"/>
  <c r="L54" i="5" s="1"/>
  <c r="F54" i="5"/>
  <c r="E54" i="5"/>
  <c r="D54" i="5"/>
  <c r="A54" i="5"/>
  <c r="V53" i="5"/>
  <c r="U53" i="5"/>
  <c r="T53" i="5"/>
  <c r="O53" i="5"/>
  <c r="Q53" i="5" s="1"/>
  <c r="R53" i="5" s="1"/>
  <c r="S53" i="5" s="1"/>
  <c r="K53" i="5"/>
  <c r="J53" i="5"/>
  <c r="L53" i="5" s="1"/>
  <c r="F53" i="5"/>
  <c r="E53" i="5"/>
  <c r="D53" i="5"/>
  <c r="A53" i="5"/>
  <c r="V52" i="5"/>
  <c r="U52" i="5"/>
  <c r="T52" i="5"/>
  <c r="R52" i="5"/>
  <c r="S52" i="5" s="1"/>
  <c r="Q52" i="5"/>
  <c r="O52" i="5"/>
  <c r="L52" i="5"/>
  <c r="K52" i="5"/>
  <c r="J52" i="5"/>
  <c r="F52" i="5"/>
  <c r="E52" i="5"/>
  <c r="D52" i="5"/>
  <c r="A52" i="5"/>
  <c r="V51" i="5"/>
  <c r="T51" i="5"/>
  <c r="U51" i="5" s="1"/>
  <c r="Q51" i="5"/>
  <c r="R51" i="5" s="1"/>
  <c r="S51" i="5" s="1"/>
  <c r="O51" i="5"/>
  <c r="K51" i="5"/>
  <c r="J51" i="5"/>
  <c r="L51" i="5" s="1"/>
  <c r="F51" i="5"/>
  <c r="E51" i="5"/>
  <c r="D51" i="5"/>
  <c r="A51" i="5"/>
  <c r="V50" i="5"/>
  <c r="U50" i="5"/>
  <c r="T50" i="5"/>
  <c r="O50" i="5"/>
  <c r="Q50" i="5" s="1"/>
  <c r="R50" i="5" s="1"/>
  <c r="S50" i="5" s="1"/>
  <c r="K50" i="5"/>
  <c r="J50" i="5"/>
  <c r="L50" i="5" s="1"/>
  <c r="F50" i="5"/>
  <c r="E50" i="5"/>
  <c r="D50" i="5"/>
  <c r="A50" i="5"/>
  <c r="V49" i="5"/>
  <c r="U49" i="5"/>
  <c r="T49" i="5"/>
  <c r="R49" i="5"/>
  <c r="S49" i="5" s="1"/>
  <c r="Q49" i="5"/>
  <c r="O49" i="5"/>
  <c r="L49" i="5"/>
  <c r="K49" i="5"/>
  <c r="J49" i="5"/>
  <c r="F49" i="5"/>
  <c r="E49" i="5"/>
  <c r="D49" i="5"/>
  <c r="A49" i="5"/>
  <c r="V48" i="5"/>
  <c r="T48" i="5"/>
  <c r="U48" i="5" s="1"/>
  <c r="Q48" i="5"/>
  <c r="R48" i="5" s="1"/>
  <c r="S48" i="5" s="1"/>
  <c r="O48" i="5"/>
  <c r="K48" i="5"/>
  <c r="J48" i="5"/>
  <c r="L48" i="5" s="1"/>
  <c r="F48" i="5"/>
  <c r="E48" i="5"/>
  <c r="D48" i="5"/>
  <c r="A48" i="5"/>
  <c r="V47" i="5"/>
  <c r="U47" i="5"/>
  <c r="T47" i="5"/>
  <c r="O47" i="5"/>
  <c r="Q47" i="5" s="1"/>
  <c r="R47" i="5" s="1"/>
  <c r="S47" i="5" s="1"/>
  <c r="K47" i="5"/>
  <c r="J47" i="5"/>
  <c r="L47" i="5" s="1"/>
  <c r="F47" i="5"/>
  <c r="E47" i="5"/>
  <c r="D47" i="5"/>
  <c r="A47" i="5"/>
  <c r="V46" i="5"/>
  <c r="U46" i="5"/>
  <c r="T46" i="5"/>
  <c r="R46" i="5"/>
  <c r="S46" i="5" s="1"/>
  <c r="Q46" i="5"/>
  <c r="O46" i="5"/>
  <c r="L46" i="5"/>
  <c r="K46" i="5"/>
  <c r="J46" i="5"/>
  <c r="F46" i="5"/>
  <c r="E46" i="5"/>
  <c r="D46" i="5"/>
  <c r="A46" i="5"/>
  <c r="V45" i="5"/>
  <c r="T45" i="5"/>
  <c r="U45" i="5" s="1"/>
  <c r="Q45" i="5"/>
  <c r="R45" i="5" s="1"/>
  <c r="S45" i="5" s="1"/>
  <c r="O45" i="5"/>
  <c r="K45" i="5"/>
  <c r="J45" i="5"/>
  <c r="L45" i="5" s="1"/>
  <c r="F45" i="5"/>
  <c r="E45" i="5"/>
  <c r="D45" i="5"/>
  <c r="A45" i="5"/>
  <c r="V44" i="5"/>
  <c r="U44" i="5"/>
  <c r="T44" i="5"/>
  <c r="O44" i="5"/>
  <c r="Q44" i="5" s="1"/>
  <c r="R44" i="5" s="1"/>
  <c r="S44" i="5" s="1"/>
  <c r="K44" i="5"/>
  <c r="J44" i="5"/>
  <c r="L44" i="5" s="1"/>
  <c r="F44" i="5"/>
  <c r="E44" i="5"/>
  <c r="D44" i="5"/>
  <c r="A44" i="5"/>
  <c r="V43" i="5"/>
  <c r="U43" i="5"/>
  <c r="T43" i="5"/>
  <c r="R43" i="5"/>
  <c r="S43" i="5" s="1"/>
  <c r="Q43" i="5"/>
  <c r="O43" i="5"/>
  <c r="L43" i="5"/>
  <c r="K43" i="5"/>
  <c r="J43" i="5"/>
  <c r="F43" i="5"/>
  <c r="E43" i="5"/>
  <c r="D43" i="5"/>
  <c r="A43" i="5"/>
  <c r="V42" i="5"/>
  <c r="T42" i="5"/>
  <c r="U42" i="5" s="1"/>
  <c r="Q42" i="5"/>
  <c r="R42" i="5" s="1"/>
  <c r="S42" i="5" s="1"/>
  <c r="O42" i="5"/>
  <c r="K42" i="5"/>
  <c r="J42" i="5"/>
  <c r="L42" i="5" s="1"/>
  <c r="F42" i="5"/>
  <c r="E42" i="5"/>
  <c r="D42" i="5"/>
  <c r="A42" i="5"/>
  <c r="V41" i="5"/>
  <c r="U41" i="5"/>
  <c r="T41" i="5"/>
  <c r="O41" i="5"/>
  <c r="Q41" i="5" s="1"/>
  <c r="R41" i="5" s="1"/>
  <c r="S41" i="5" s="1"/>
  <c r="K41" i="5"/>
  <c r="J41" i="5"/>
  <c r="L41" i="5" s="1"/>
  <c r="F41" i="5"/>
  <c r="E41" i="5"/>
  <c r="D41" i="5"/>
  <c r="A41" i="5"/>
  <c r="V40" i="5"/>
  <c r="U40" i="5"/>
  <c r="T40" i="5"/>
  <c r="R40" i="5"/>
  <c r="S40" i="5" s="1"/>
  <c r="Q40" i="5"/>
  <c r="O40" i="5"/>
  <c r="L40" i="5"/>
  <c r="K40" i="5"/>
  <c r="J40" i="5"/>
  <c r="F40" i="5"/>
  <c r="E40" i="5"/>
  <c r="D40" i="5"/>
  <c r="A40" i="5"/>
  <c r="V39" i="5"/>
  <c r="T39" i="5"/>
  <c r="U39" i="5" s="1"/>
  <c r="Q39" i="5"/>
  <c r="R39" i="5" s="1"/>
  <c r="S39" i="5" s="1"/>
  <c r="O39" i="5"/>
  <c r="K39" i="5"/>
  <c r="J39" i="5"/>
  <c r="L39" i="5" s="1"/>
  <c r="F39" i="5"/>
  <c r="E39" i="5"/>
  <c r="D39" i="5"/>
  <c r="A39" i="5"/>
  <c r="V38" i="5"/>
  <c r="U38" i="5"/>
  <c r="T38" i="5"/>
  <c r="O38" i="5"/>
  <c r="Q38" i="5" s="1"/>
  <c r="R38" i="5" s="1"/>
  <c r="S38" i="5" s="1"/>
  <c r="K38" i="5"/>
  <c r="J38" i="5"/>
  <c r="L38" i="5" s="1"/>
  <c r="F38" i="5"/>
  <c r="E38" i="5"/>
  <c r="D38" i="5"/>
  <c r="A38" i="5"/>
  <c r="V37" i="5"/>
  <c r="U37" i="5"/>
  <c r="T37" i="5"/>
  <c r="R37" i="5"/>
  <c r="S37" i="5" s="1"/>
  <c r="Q37" i="5"/>
  <c r="O37" i="5"/>
  <c r="L37" i="5"/>
  <c r="K37" i="5"/>
  <c r="J37" i="5"/>
  <c r="F37" i="5"/>
  <c r="E37" i="5"/>
  <c r="D37" i="5"/>
  <c r="A37" i="5"/>
  <c r="V36" i="5"/>
  <c r="T36" i="5"/>
  <c r="U36" i="5" s="1"/>
  <c r="Q36" i="5"/>
  <c r="R36" i="5" s="1"/>
  <c r="S36" i="5" s="1"/>
  <c r="O36" i="5"/>
  <c r="K36" i="5"/>
  <c r="J36" i="5"/>
  <c r="L36" i="5" s="1"/>
  <c r="F36" i="5"/>
  <c r="E36" i="5"/>
  <c r="D36" i="5"/>
  <c r="A36" i="5"/>
  <c r="V35" i="5"/>
  <c r="U35" i="5"/>
  <c r="T35" i="5"/>
  <c r="O35" i="5"/>
  <c r="Q35" i="5" s="1"/>
  <c r="R35" i="5" s="1"/>
  <c r="S35" i="5" s="1"/>
  <c r="K35" i="5"/>
  <c r="J35" i="5"/>
  <c r="L35" i="5" s="1"/>
  <c r="F35" i="5"/>
  <c r="E35" i="5"/>
  <c r="D35" i="5"/>
  <c r="A35" i="5"/>
  <c r="V34" i="5"/>
  <c r="U34" i="5"/>
  <c r="T34" i="5"/>
  <c r="R34" i="5"/>
  <c r="S34" i="5" s="1"/>
  <c r="Q34" i="5"/>
  <c r="O34" i="5"/>
  <c r="L34" i="5"/>
  <c r="K34" i="5"/>
  <c r="J34" i="5"/>
  <c r="F34" i="5"/>
  <c r="E34" i="5"/>
  <c r="D34" i="5"/>
  <c r="A34" i="5"/>
  <c r="V33" i="5"/>
  <c r="T33" i="5"/>
  <c r="U33" i="5" s="1"/>
  <c r="Q33" i="5"/>
  <c r="R33" i="5" s="1"/>
  <c r="S33" i="5" s="1"/>
  <c r="O33" i="5"/>
  <c r="K33" i="5"/>
  <c r="J33" i="5"/>
  <c r="L33" i="5" s="1"/>
  <c r="F33" i="5"/>
  <c r="E33" i="5"/>
  <c r="D33" i="5"/>
  <c r="A33" i="5"/>
  <c r="V32" i="5"/>
  <c r="U32" i="5"/>
  <c r="T32" i="5"/>
  <c r="O32" i="5"/>
  <c r="Q32" i="5" s="1"/>
  <c r="R32" i="5" s="1"/>
  <c r="S32" i="5" s="1"/>
  <c r="K32" i="5"/>
  <c r="J32" i="5"/>
  <c r="L32" i="5" s="1"/>
  <c r="F32" i="5"/>
  <c r="E32" i="5"/>
  <c r="D32" i="5"/>
  <c r="A32" i="5"/>
  <c r="V31" i="5"/>
  <c r="U31" i="5"/>
  <c r="T31" i="5"/>
  <c r="R31" i="5"/>
  <c r="S31" i="5" s="1"/>
  <c r="Q31" i="5"/>
  <c r="O31" i="5"/>
  <c r="L31" i="5"/>
  <c r="K31" i="5"/>
  <c r="J31" i="5"/>
  <c r="F31" i="5"/>
  <c r="E31" i="5"/>
  <c r="D31" i="5"/>
  <c r="A31" i="5"/>
  <c r="V30" i="5"/>
  <c r="T30" i="5"/>
  <c r="U30" i="5" s="1"/>
  <c r="Q30" i="5"/>
  <c r="R30" i="5" s="1"/>
  <c r="S30" i="5" s="1"/>
  <c r="O30" i="5"/>
  <c r="K30" i="5"/>
  <c r="J30" i="5"/>
  <c r="L30" i="5" s="1"/>
  <c r="F30" i="5"/>
  <c r="E30" i="5"/>
  <c r="D30" i="5"/>
  <c r="A30" i="5"/>
  <c r="V29" i="5"/>
  <c r="U29" i="5"/>
  <c r="T29" i="5"/>
  <c r="O29" i="5"/>
  <c r="Q29" i="5" s="1"/>
  <c r="R29" i="5" s="1"/>
  <c r="S29" i="5" s="1"/>
  <c r="K29" i="5"/>
  <c r="J29" i="5"/>
  <c r="L29" i="5" s="1"/>
  <c r="F29" i="5"/>
  <c r="E29" i="5"/>
  <c r="D29" i="5"/>
  <c r="A29" i="5"/>
  <c r="V28" i="5"/>
  <c r="U28" i="5"/>
  <c r="T28" i="5"/>
  <c r="R28" i="5"/>
  <c r="S28" i="5" s="1"/>
  <c r="Q28" i="5"/>
  <c r="O28" i="5"/>
  <c r="L28" i="5"/>
  <c r="K28" i="5"/>
  <c r="J28" i="5"/>
  <c r="F28" i="5"/>
  <c r="E28" i="5"/>
  <c r="D28" i="5"/>
  <c r="A28" i="5"/>
  <c r="V27" i="5"/>
  <c r="T27" i="5"/>
  <c r="U27" i="5" s="1"/>
  <c r="Q27" i="5"/>
  <c r="R27" i="5" s="1"/>
  <c r="S27" i="5" s="1"/>
  <c r="O27" i="5"/>
  <c r="K27" i="5"/>
  <c r="J27" i="5"/>
  <c r="L27" i="5" s="1"/>
  <c r="F27" i="5"/>
  <c r="E27" i="5"/>
  <c r="D27" i="5"/>
  <c r="A27" i="5"/>
  <c r="V26" i="5"/>
  <c r="U26" i="5"/>
  <c r="T26" i="5"/>
  <c r="O26" i="5"/>
  <c r="Q26" i="5" s="1"/>
  <c r="R26" i="5" s="1"/>
  <c r="S26" i="5" s="1"/>
  <c r="K26" i="5"/>
  <c r="J26" i="5"/>
  <c r="L26" i="5" s="1"/>
  <c r="F26" i="5"/>
  <c r="E26" i="5"/>
  <c r="D26" i="5"/>
  <c r="A26" i="5"/>
  <c r="V25" i="5"/>
  <c r="U25" i="5"/>
  <c r="T25" i="5"/>
  <c r="R25" i="5"/>
  <c r="S25" i="5" s="1"/>
  <c r="Q25" i="5"/>
  <c r="O25" i="5"/>
  <c r="L25" i="5"/>
  <c r="K25" i="5"/>
  <c r="J25" i="5"/>
  <c r="F25" i="5"/>
  <c r="E25" i="5"/>
  <c r="D25" i="5"/>
  <c r="A25" i="5"/>
  <c r="V24" i="5"/>
  <c r="T24" i="5"/>
  <c r="U24" i="5" s="1"/>
  <c r="Q24" i="5"/>
  <c r="R24" i="5" s="1"/>
  <c r="S24" i="5" s="1"/>
  <c r="O24" i="5"/>
  <c r="K24" i="5"/>
  <c r="J24" i="5"/>
  <c r="L24" i="5" s="1"/>
  <c r="F24" i="5"/>
  <c r="E24" i="5"/>
  <c r="D24" i="5"/>
  <c r="A24" i="5"/>
  <c r="V23" i="5"/>
  <c r="U23" i="5"/>
  <c r="T23" i="5"/>
  <c r="O23" i="5"/>
  <c r="Q23" i="5" s="1"/>
  <c r="R23" i="5" s="1"/>
  <c r="S23" i="5" s="1"/>
  <c r="K23" i="5"/>
  <c r="J23" i="5"/>
  <c r="L23" i="5" s="1"/>
  <c r="F23" i="5"/>
  <c r="E23" i="5"/>
  <c r="D23" i="5"/>
  <c r="A23" i="5"/>
  <c r="V22" i="5"/>
  <c r="U22" i="5"/>
  <c r="T22" i="5"/>
  <c r="R22" i="5"/>
  <c r="S22" i="5" s="1"/>
  <c r="Q22" i="5"/>
  <c r="O22" i="5"/>
  <c r="L22" i="5"/>
  <c r="K22" i="5"/>
  <c r="J22" i="5"/>
  <c r="F22" i="5"/>
  <c r="E22" i="5"/>
  <c r="D22" i="5"/>
  <c r="A22" i="5"/>
  <c r="V21" i="5"/>
  <c r="T21" i="5"/>
  <c r="U21" i="5" s="1"/>
  <c r="Q21" i="5"/>
  <c r="R21" i="5" s="1"/>
  <c r="S21" i="5" s="1"/>
  <c r="O21" i="5"/>
  <c r="K21" i="5"/>
  <c r="J21" i="5"/>
  <c r="L21" i="5" s="1"/>
  <c r="F21" i="5"/>
  <c r="E21" i="5"/>
  <c r="D21" i="5"/>
  <c r="A21" i="5"/>
  <c r="V20" i="5"/>
  <c r="U20" i="5"/>
  <c r="T20" i="5"/>
  <c r="O20" i="5"/>
  <c r="Q20" i="5" s="1"/>
  <c r="R20" i="5" s="1"/>
  <c r="S20" i="5" s="1"/>
  <c r="K20" i="5"/>
  <c r="J20" i="5"/>
  <c r="L20" i="5" s="1"/>
  <c r="F20" i="5"/>
  <c r="E20" i="5"/>
  <c r="D20" i="5"/>
  <c r="A20" i="5"/>
  <c r="V19" i="5"/>
  <c r="U19" i="5"/>
  <c r="T19" i="5"/>
  <c r="R19" i="5"/>
  <c r="S19" i="5" s="1"/>
  <c r="Q19" i="5"/>
  <c r="O19" i="5"/>
  <c r="L19" i="5"/>
  <c r="K19" i="5"/>
  <c r="J19" i="5"/>
  <c r="F19" i="5"/>
  <c r="E19" i="5"/>
  <c r="D19" i="5"/>
  <c r="A19" i="5"/>
  <c r="V18" i="5"/>
  <c r="T18" i="5"/>
  <c r="U18" i="5" s="1"/>
  <c r="Q18" i="5"/>
  <c r="R18" i="5" s="1"/>
  <c r="S18" i="5" s="1"/>
  <c r="O18" i="5"/>
  <c r="K18" i="5"/>
  <c r="J18" i="5"/>
  <c r="L18" i="5" s="1"/>
  <c r="F18" i="5"/>
  <c r="E18" i="5"/>
  <c r="D18" i="5"/>
  <c r="A18" i="5"/>
  <c r="V17" i="5"/>
  <c r="U17" i="5"/>
  <c r="T17" i="5"/>
  <c r="O17" i="5"/>
  <c r="Q17" i="5" s="1"/>
  <c r="R17" i="5" s="1"/>
  <c r="S17" i="5" s="1"/>
  <c r="K17" i="5"/>
  <c r="J17" i="5"/>
  <c r="L17" i="5" s="1"/>
  <c r="F17" i="5"/>
  <c r="E17" i="5"/>
  <c r="D17" i="5"/>
  <c r="A17" i="5"/>
  <c r="V16" i="5"/>
  <c r="U16" i="5"/>
  <c r="T16" i="5"/>
  <c r="R16" i="5"/>
  <c r="S16" i="5" s="1"/>
  <c r="Q16" i="5"/>
  <c r="O16" i="5"/>
  <c r="L16" i="5"/>
  <c r="K16" i="5"/>
  <c r="J16" i="5"/>
  <c r="F16" i="5"/>
  <c r="E16" i="5"/>
  <c r="D16" i="5"/>
  <c r="A16" i="5"/>
  <c r="V15" i="5"/>
  <c r="T15" i="5"/>
  <c r="U15" i="5" s="1"/>
  <c r="I122" i="7" s="1"/>
  <c r="Q15" i="5"/>
  <c r="E122" i="7" s="1"/>
  <c r="O15" i="5"/>
  <c r="K15" i="5"/>
  <c r="J15" i="5"/>
  <c r="L15" i="5" s="1"/>
  <c r="F15" i="5"/>
  <c r="E15" i="5"/>
  <c r="D15" i="5"/>
  <c r="A15" i="5"/>
  <c r="V14" i="5"/>
  <c r="U14" i="5"/>
  <c r="T14" i="5"/>
  <c r="O14" i="5"/>
  <c r="Q14" i="5" s="1"/>
  <c r="R14" i="5" s="1"/>
  <c r="S14" i="5" s="1"/>
  <c r="K14" i="5"/>
  <c r="J14" i="5"/>
  <c r="L14" i="5" s="1"/>
  <c r="F14" i="5"/>
  <c r="E14" i="5"/>
  <c r="D14" i="5"/>
  <c r="A14" i="5"/>
  <c r="V13" i="5"/>
  <c r="U13" i="5"/>
  <c r="I120" i="7" s="1"/>
  <c r="T13" i="5"/>
  <c r="R13" i="5"/>
  <c r="S13" i="5" s="1"/>
  <c r="Q13" i="5"/>
  <c r="E120" i="7" s="1"/>
  <c r="G120" i="7" s="1"/>
  <c r="E140" i="7" s="1"/>
  <c r="O13" i="5"/>
  <c r="L13" i="5"/>
  <c r="K13" i="5"/>
  <c r="J13" i="5"/>
  <c r="F13" i="5"/>
  <c r="E13" i="5"/>
  <c r="D13" i="5"/>
  <c r="A13" i="5"/>
  <c r="V12" i="5"/>
  <c r="T12" i="5"/>
  <c r="U12" i="5" s="1"/>
  <c r="Q12" i="5"/>
  <c r="R12" i="5" s="1"/>
  <c r="S12" i="5" s="1"/>
  <c r="O12" i="5"/>
  <c r="K12" i="5"/>
  <c r="J12" i="5"/>
  <c r="L12" i="5" s="1"/>
  <c r="F12" i="5"/>
  <c r="E12" i="5"/>
  <c r="D12" i="5"/>
  <c r="A12" i="5"/>
  <c r="V11" i="5"/>
  <c r="U11" i="5"/>
  <c r="T11" i="5"/>
  <c r="O11" i="5"/>
  <c r="Q11" i="5" s="1"/>
  <c r="R11" i="5" s="1"/>
  <c r="S11" i="5" s="1"/>
  <c r="K11" i="5"/>
  <c r="J11" i="5"/>
  <c r="L11" i="5" s="1"/>
  <c r="F11" i="5"/>
  <c r="E11" i="5"/>
  <c r="D11" i="5"/>
  <c r="A11" i="5"/>
  <c r="V10" i="5"/>
  <c r="U10" i="5"/>
  <c r="T10" i="5"/>
  <c r="R10" i="5"/>
  <c r="S10" i="5" s="1"/>
  <c r="Q10" i="5"/>
  <c r="O10" i="5"/>
  <c r="L10" i="5"/>
  <c r="K10" i="5"/>
  <c r="J10" i="5"/>
  <c r="F10" i="5"/>
  <c r="E10" i="5"/>
  <c r="D10" i="5"/>
  <c r="A10" i="5"/>
  <c r="V9" i="5"/>
  <c r="T9" i="5"/>
  <c r="U9" i="5" s="1"/>
  <c r="Q9" i="5"/>
  <c r="E116" i="7" s="1"/>
  <c r="O9" i="5"/>
  <c r="K9" i="5"/>
  <c r="J9" i="5"/>
  <c r="L9" i="5" s="1"/>
  <c r="F9" i="5"/>
  <c r="E9" i="5"/>
  <c r="D9" i="5"/>
  <c r="A9" i="5"/>
  <c r="V8" i="5"/>
  <c r="U8" i="5"/>
  <c r="T8" i="5"/>
  <c r="O8" i="5"/>
  <c r="Q8" i="5" s="1"/>
  <c r="K8" i="5"/>
  <c r="J8" i="5"/>
  <c r="L8" i="5" s="1"/>
  <c r="F8" i="5"/>
  <c r="E8" i="5"/>
  <c r="D8" i="5"/>
  <c r="A8" i="5"/>
  <c r="V7" i="5"/>
  <c r="U7" i="5"/>
  <c r="I114" i="7" s="1"/>
  <c r="T7" i="5"/>
  <c r="R7" i="5"/>
  <c r="S7" i="5" s="1"/>
  <c r="Q7" i="5"/>
  <c r="E114" i="7" s="1"/>
  <c r="O7" i="5"/>
  <c r="L7" i="5"/>
  <c r="K7" i="5"/>
  <c r="J7" i="5"/>
  <c r="F7" i="5"/>
  <c r="E7" i="5"/>
  <c r="D7" i="5"/>
  <c r="A7" i="5"/>
  <c r="V6" i="5"/>
  <c r="T6" i="5"/>
  <c r="U6" i="5" s="1"/>
  <c r="Q6" i="5"/>
  <c r="R6" i="5" s="1"/>
  <c r="S6" i="5" s="1"/>
  <c r="O6" i="5"/>
  <c r="K6" i="5"/>
  <c r="J6" i="5"/>
  <c r="L6" i="5" s="1"/>
  <c r="F6" i="5"/>
  <c r="E6" i="5"/>
  <c r="D6" i="5"/>
  <c r="A6" i="5"/>
  <c r="V5" i="5"/>
  <c r="U5" i="5"/>
  <c r="T5" i="5"/>
  <c r="O5" i="5"/>
  <c r="Q5" i="5" s="1"/>
  <c r="R5" i="5" s="1"/>
  <c r="S5" i="5" s="1"/>
  <c r="K5" i="5"/>
  <c r="J5" i="5"/>
  <c r="L5" i="5" s="1"/>
  <c r="F5" i="5"/>
  <c r="E5" i="5"/>
  <c r="D5" i="5"/>
  <c r="A5" i="5"/>
  <c r="V4" i="5"/>
  <c r="U4" i="5"/>
  <c r="T4" i="5"/>
  <c r="R4" i="5"/>
  <c r="S4" i="5" s="1"/>
  <c r="Q4" i="5"/>
  <c r="O4" i="5"/>
  <c r="L4" i="5"/>
  <c r="K4" i="5"/>
  <c r="J4" i="5"/>
  <c r="F4" i="5"/>
  <c r="E4" i="5"/>
  <c r="D4" i="5"/>
  <c r="A4" i="5"/>
  <c r="V3" i="5"/>
  <c r="T3" i="5"/>
  <c r="U3" i="5" s="1"/>
  <c r="Q3" i="5"/>
  <c r="E110" i="7" s="1"/>
  <c r="O3" i="5"/>
  <c r="K3" i="5"/>
  <c r="J3" i="5"/>
  <c r="L3" i="5" s="1"/>
  <c r="F3" i="5"/>
  <c r="E3" i="5"/>
  <c r="D3" i="5"/>
  <c r="A3" i="5"/>
  <c r="V2" i="5"/>
  <c r="U2" i="5"/>
  <c r="T2" i="5"/>
  <c r="O2" i="5"/>
  <c r="Q2" i="5" s="1"/>
  <c r="K2" i="5"/>
  <c r="J2" i="5"/>
  <c r="D8" i="7" s="1"/>
  <c r="F2" i="5"/>
  <c r="E2" i="5"/>
  <c r="D2" i="5"/>
  <c r="A2" i="5"/>
  <c r="J12" i="7" l="1"/>
  <c r="E109" i="7"/>
  <c r="R2" i="5"/>
  <c r="S2" i="5" s="1"/>
  <c r="E115" i="7"/>
  <c r="R8" i="5"/>
  <c r="S8" i="5" s="1"/>
  <c r="F8" i="7"/>
  <c r="R3" i="5"/>
  <c r="S3" i="5" s="1"/>
  <c r="R9" i="5"/>
  <c r="S9" i="5" s="1"/>
  <c r="R15" i="5"/>
  <c r="S15" i="5" s="1"/>
  <c r="B4" i="7"/>
  <c r="L2" i="5"/>
  <c r="J8" i="7" s="1"/>
  <c r="B12" i="7"/>
  <c r="F12" i="7" s="1"/>
  <c r="J115" i="7"/>
  <c r="L115" i="7" s="1"/>
  <c r="AD7" i="6"/>
  <c r="D12" i="7"/>
  <c r="J109" i="7"/>
  <c r="L109" i="7" s="1"/>
  <c r="AD2" i="6"/>
  <c r="J114" i="7"/>
  <c r="L114" i="7" s="1"/>
  <c r="AD6" i="6"/>
  <c r="J120" i="7"/>
  <c r="L120" i="7" s="1"/>
  <c r="AD11" i="6"/>
  <c r="J121" i="7"/>
  <c r="L121" i="7" s="1"/>
  <c r="AD12" i="6"/>
  <c r="D101" i="7"/>
  <c r="D98" i="7"/>
  <c r="D95" i="7"/>
  <c r="D92" i="7"/>
  <c r="D89" i="7"/>
  <c r="D86" i="7"/>
  <c r="D83" i="7"/>
  <c r="D80" i="7"/>
  <c r="D77" i="7"/>
  <c r="D74" i="7"/>
  <c r="D71" i="7"/>
  <c r="D68" i="7"/>
  <c r="D65" i="7"/>
  <c r="D62" i="7"/>
  <c r="C101" i="7"/>
  <c r="C98" i="7"/>
  <c r="C95" i="7"/>
  <c r="C92" i="7"/>
  <c r="C89" i="7"/>
  <c r="C86" i="7"/>
  <c r="C83" i="7"/>
  <c r="C80" i="7"/>
  <c r="C77" i="7"/>
  <c r="C74" i="7"/>
  <c r="C71" i="7"/>
  <c r="C68" i="7"/>
  <c r="C65" i="7"/>
  <c r="C62" i="7"/>
  <c r="D103" i="7"/>
  <c r="D100" i="7"/>
  <c r="D97" i="7"/>
  <c r="D94" i="7"/>
  <c r="D91" i="7"/>
  <c r="D88" i="7"/>
  <c r="D85" i="7"/>
  <c r="D82" i="7"/>
  <c r="D79" i="7"/>
  <c r="D76" i="7"/>
  <c r="D73" i="7"/>
  <c r="D70" i="7"/>
  <c r="D67" i="7"/>
  <c r="D64" i="7"/>
  <c r="C103" i="7"/>
  <c r="C100" i="7"/>
  <c r="C97" i="7"/>
  <c r="C94" i="7"/>
  <c r="C91" i="7"/>
  <c r="C88" i="7"/>
  <c r="C85" i="7"/>
  <c r="C82" i="7"/>
  <c r="C79" i="7"/>
  <c r="C76" i="7"/>
  <c r="C73" i="7"/>
  <c r="C70" i="7"/>
  <c r="C67" i="7"/>
  <c r="C64" i="7"/>
  <c r="D102" i="7"/>
  <c r="D99" i="7"/>
  <c r="D96" i="7"/>
  <c r="D93" i="7"/>
  <c r="D90" i="7"/>
  <c r="D87" i="7"/>
  <c r="D84" i="7"/>
  <c r="D81" i="7"/>
  <c r="D78" i="7"/>
  <c r="D75" i="7"/>
  <c r="D72" i="7"/>
  <c r="D69" i="7"/>
  <c r="D66" i="7"/>
  <c r="D63" i="7"/>
  <c r="C87" i="7"/>
  <c r="C69" i="7"/>
  <c r="C102" i="7"/>
  <c r="C84" i="7"/>
  <c r="C66" i="7"/>
  <c r="C99" i="7"/>
  <c r="C81" i="7"/>
  <c r="C63" i="7"/>
  <c r="C96" i="7"/>
  <c r="C78" i="7"/>
  <c r="C93" i="7"/>
  <c r="C75" i="7"/>
  <c r="C72" i="7"/>
  <c r="C90" i="7"/>
  <c r="D58" i="7"/>
  <c r="C58" i="7"/>
  <c r="E59" i="7"/>
  <c r="E57" i="7"/>
  <c r="D59" i="7"/>
  <c r="D57" i="7"/>
  <c r="C59" i="7"/>
  <c r="C57" i="7"/>
  <c r="E58" i="7"/>
  <c r="AB327" i="6"/>
  <c r="AB569" i="6"/>
  <c r="AB570" i="6"/>
  <c r="AB575" i="6"/>
  <c r="AB574" i="6"/>
  <c r="AB564" i="6"/>
  <c r="AB778" i="6"/>
  <c r="AB779" i="6"/>
  <c r="AB784" i="6"/>
  <c r="AB785" i="6"/>
  <c r="AB790" i="6"/>
  <c r="AB791" i="6"/>
  <c r="AB808" i="6"/>
  <c r="AB826" i="6"/>
  <c r="I19" i="7"/>
  <c r="D131" i="7" s="1"/>
  <c r="J22" i="7"/>
  <c r="I31" i="7"/>
  <c r="D143" i="7" s="1"/>
  <c r="F132" i="7"/>
  <c r="E40" i="7"/>
  <c r="AB802" i="6"/>
  <c r="AB820" i="6"/>
  <c r="AB838" i="6"/>
  <c r="AB856" i="6"/>
  <c r="AB874" i="6"/>
  <c r="AB892" i="6"/>
  <c r="AB910" i="6"/>
  <c r="AB928" i="6"/>
  <c r="AB796" i="6"/>
  <c r="AB814" i="6"/>
  <c r="AB832" i="6"/>
  <c r="AB850" i="6"/>
  <c r="AB868" i="6"/>
  <c r="AB886" i="6"/>
  <c r="AB904" i="6"/>
  <c r="AB922" i="6"/>
  <c r="AB940" i="6"/>
  <c r="AB958" i="6"/>
  <c r="F143" i="7"/>
  <c r="E51" i="7"/>
  <c r="F139" i="7"/>
  <c r="E47" i="7"/>
  <c r="I17" i="7"/>
  <c r="D129" i="7" s="1"/>
  <c r="J20" i="7"/>
  <c r="I29" i="7"/>
  <c r="D141" i="7" s="1"/>
  <c r="F129" i="7"/>
  <c r="E37" i="7"/>
  <c r="F136" i="7"/>
  <c r="E44" i="7"/>
  <c r="G111" i="7"/>
  <c r="E131" i="7" s="1"/>
  <c r="G131" i="7" s="1"/>
  <c r="G122" i="7"/>
  <c r="E142" i="7" s="1"/>
  <c r="I27" i="7"/>
  <c r="D139" i="7" s="1"/>
  <c r="F133" i="7"/>
  <c r="E41" i="7"/>
  <c r="E48" i="7"/>
  <c r="G109" i="7"/>
  <c r="E129" i="7" s="1"/>
  <c r="G110" i="7"/>
  <c r="E130" i="7" s="1"/>
  <c r="F113" i="7"/>
  <c r="G113" i="7" s="1"/>
  <c r="E133" i="7" s="1"/>
  <c r="E113" i="7"/>
  <c r="J113" i="7"/>
  <c r="D113" i="7"/>
  <c r="I113" i="7"/>
  <c r="G114" i="7"/>
  <c r="E134" i="7" s="1"/>
  <c r="G134" i="7" s="1"/>
  <c r="G115" i="7"/>
  <c r="E135" i="7" s="1"/>
  <c r="G116" i="7"/>
  <c r="E136" i="7" s="1"/>
  <c r="F119" i="7"/>
  <c r="E119" i="7"/>
  <c r="J119" i="7"/>
  <c r="D119" i="7"/>
  <c r="I119" i="7"/>
  <c r="K119" i="7" s="1"/>
  <c r="I25" i="7"/>
  <c r="D137" i="7" s="1"/>
  <c r="F130" i="7"/>
  <c r="G130" i="7" s="1"/>
  <c r="E38" i="7"/>
  <c r="F141" i="7"/>
  <c r="E49" i="7"/>
  <c r="I23" i="7"/>
  <c r="D135" i="7" s="1"/>
  <c r="J26" i="7"/>
  <c r="E42" i="7"/>
  <c r="F138" i="7"/>
  <c r="E46" i="7"/>
  <c r="J122" i="7"/>
  <c r="L122" i="7" s="1"/>
  <c r="E123" i="7"/>
  <c r="G123" i="7" s="1"/>
  <c r="E143" i="7" s="1"/>
  <c r="I21" i="7"/>
  <c r="D133" i="7" s="1"/>
  <c r="F135" i="7"/>
  <c r="E43" i="7"/>
  <c r="F142" i="7"/>
  <c r="G142" i="7" s="1"/>
  <c r="E50" i="7"/>
  <c r="I109" i="7"/>
  <c r="K109" i="7" s="1"/>
  <c r="E111" i="7"/>
  <c r="I115" i="7"/>
  <c r="K115" i="7" s="1"/>
  <c r="J116" i="7"/>
  <c r="E117" i="7"/>
  <c r="G117" i="7" s="1"/>
  <c r="E137" i="7" s="1"/>
  <c r="G137" i="7" s="1"/>
  <c r="I121" i="7"/>
  <c r="K121" i="7" s="1"/>
  <c r="H18" i="7"/>
  <c r="C130" i="7" s="1"/>
  <c r="H20" i="7"/>
  <c r="C132" i="7" s="1"/>
  <c r="H22" i="7"/>
  <c r="C134" i="7" s="1"/>
  <c r="H24" i="7"/>
  <c r="C136" i="7" s="1"/>
  <c r="H26" i="7"/>
  <c r="C138" i="7" s="1"/>
  <c r="H28" i="7"/>
  <c r="C140" i="7" s="1"/>
  <c r="H30" i="7"/>
  <c r="C142" i="7" s="1"/>
  <c r="E121" i="7"/>
  <c r="B129" i="7"/>
  <c r="B130" i="7"/>
  <c r="B131" i="7"/>
  <c r="B132" i="7"/>
  <c r="B133" i="7"/>
  <c r="B134" i="7"/>
  <c r="B135" i="7"/>
  <c r="B136" i="7"/>
  <c r="B137" i="7"/>
  <c r="B138" i="7"/>
  <c r="B139" i="7"/>
  <c r="B140" i="7"/>
  <c r="B141" i="7"/>
  <c r="B142" i="7"/>
  <c r="B143" i="7"/>
  <c r="I18" i="7"/>
  <c r="D130" i="7" s="1"/>
  <c r="I20" i="7"/>
  <c r="D132" i="7" s="1"/>
  <c r="I22" i="7"/>
  <c r="D134" i="7" s="1"/>
  <c r="I24" i="7"/>
  <c r="D136" i="7" s="1"/>
  <c r="I26" i="7"/>
  <c r="D138" i="7" s="1"/>
  <c r="I28" i="7"/>
  <c r="D140" i="7" s="1"/>
  <c r="G140" i="7" s="1"/>
  <c r="I30" i="7"/>
  <c r="D142" i="7" s="1"/>
  <c r="I112" i="7"/>
  <c r="K112" i="7" s="1"/>
  <c r="I118" i="7"/>
  <c r="F121" i="7"/>
  <c r="G121" i="7" s="1"/>
  <c r="E141" i="7" s="1"/>
  <c r="I111" i="7"/>
  <c r="D112" i="7"/>
  <c r="J112" i="7"/>
  <c r="L112" i="7" s="1"/>
  <c r="I117" i="7"/>
  <c r="K117" i="7" s="1"/>
  <c r="D118" i="7"/>
  <c r="J118" i="7"/>
  <c r="L118" i="7" s="1"/>
  <c r="I123" i="7"/>
  <c r="K123" i="7" s="1"/>
  <c r="H17" i="7"/>
  <c r="C129" i="7" s="1"/>
  <c r="E18" i="7"/>
  <c r="J18" i="7" s="1"/>
  <c r="H19" i="7"/>
  <c r="C131" i="7" s="1"/>
  <c r="E20" i="7"/>
  <c r="H21" i="7"/>
  <c r="C133" i="7" s="1"/>
  <c r="E22" i="7"/>
  <c r="H23" i="7"/>
  <c r="C135" i="7" s="1"/>
  <c r="E24" i="7"/>
  <c r="J24" i="7" s="1"/>
  <c r="H25" i="7"/>
  <c r="C137" i="7" s="1"/>
  <c r="E26" i="7"/>
  <c r="H27" i="7"/>
  <c r="C139" i="7" s="1"/>
  <c r="E28" i="7"/>
  <c r="J28" i="7" s="1"/>
  <c r="H29" i="7"/>
  <c r="C141" i="7" s="1"/>
  <c r="E30" i="7"/>
  <c r="J30" i="7" s="1"/>
  <c r="H31" i="7"/>
  <c r="C143" i="7" s="1"/>
  <c r="I110" i="7"/>
  <c r="K110" i="7" s="1"/>
  <c r="D111" i="7"/>
  <c r="J111" i="7"/>
  <c r="E112" i="7"/>
  <c r="G112" i="7" s="1"/>
  <c r="E132" i="7" s="1"/>
  <c r="I116" i="7"/>
  <c r="D117" i="7"/>
  <c r="J117" i="7"/>
  <c r="E118" i="7"/>
  <c r="G118" i="7" s="1"/>
  <c r="E138" i="7" s="1"/>
  <c r="D123" i="7"/>
  <c r="J123" i="7"/>
  <c r="D110" i="7"/>
  <c r="L110" i="7" s="1"/>
  <c r="D116" i="7"/>
  <c r="D122" i="7"/>
  <c r="K116" i="7" l="1"/>
  <c r="G119" i="7"/>
  <c r="E139" i="7" s="1"/>
  <c r="L113" i="7"/>
  <c r="G143" i="7"/>
  <c r="K122" i="7"/>
  <c r="G141" i="7"/>
  <c r="G136" i="7"/>
  <c r="L123" i="7"/>
  <c r="G133" i="7"/>
  <c r="G132" i="7"/>
  <c r="L111" i="7"/>
  <c r="K111" i="7"/>
  <c r="L116" i="7"/>
  <c r="K120" i="7"/>
  <c r="L117" i="7"/>
  <c r="K118" i="7"/>
  <c r="G135" i="7"/>
  <c r="G138" i="7"/>
  <c r="L119" i="7"/>
  <c r="K113" i="7"/>
  <c r="G139" i="7"/>
  <c r="K114" i="7"/>
  <c r="G129" i="7"/>
</calcChain>
</file>

<file path=xl/sharedStrings.xml><?xml version="1.0" encoding="utf-8"?>
<sst xmlns="http://schemas.openxmlformats.org/spreadsheetml/2006/main" count="6523" uniqueCount="1631">
  <si>
    <t>FLEET MAINTENANCE &amp; FINANCIAL MANAGEMENT SYSTEM</t>
  </si>
  <si>
    <t>Standardized task library, dependent dropdowns, operational KPIs, lease revenue, and trend dashboard</t>
  </si>
  <si>
    <t>HOW THIS WORKBOOK IS STRUCTURED</t>
  </si>
  <si>
    <t>Task Master</t>
  </si>
  <si>
    <t>858 standardized maintenance tasks from your standards document: Category &gt; Equipment Type &gt; Maintenance Group &gt; Maintenance Type (Preventive/Corrective/Overhaul, auto-derived from the Group) &gt; Task. Feeds every dropdown in the workbook.</t>
  </si>
  <si>
    <t>Asset Register</t>
  </si>
  <si>
    <t>One row per physical asset: its Category/Equipment Type, make, year, fuel norm, and Lease Rate/Hour. Both logs below look up an asset's details from here by Asset ID -- update the rate once, and it is correct everywhere.</t>
  </si>
  <si>
    <t>Daily Operations Log</t>
  </si>
  <si>
    <t>One row per asset per day (or shift). This is where Availability %, Utilization %, Downtime, Fuel Variance, and Total Revenue (Operable Hours x Lease Rate/Hour) are tracked. Revenue is earned by an asset OPERATING, not by being serviced -- so it lives here, not in the Maintenance Log.</t>
  </si>
  <si>
    <t>Maintenance Log</t>
  </si>
  <si>
    <t>One row per repair/service event. Category, Equipment Type, and Task are cascading dropdowns from Task Master; Maintenance Group and Maintenance Type are pulled through automatically. This sheet tracks COST (parts/labor/other), not revenue.</t>
  </si>
  <si>
    <t>Dashboard</t>
  </si>
  <si>
    <t>KPIs and trend breakdowns built from the two logs: Productivity (Availability/Utilization), Downtime, Maintenance trend by Group/Type, Fuel &amp; Financial (Revenue vs. Cost), and optimization flags. Formulas run out to row 500-1000, ready for real data.</t>
  </si>
  <si>
    <t>Lists</t>
  </si>
  <si>
    <t>Hidden helper sheet holding dropdown source lists and named ranges. No need to edit directly.</t>
  </si>
  <si>
    <t>CELL COLOR KEY</t>
  </si>
  <si>
    <t>Blue text</t>
  </si>
  <si>
    <t>Cells you type into.</t>
  </si>
  <si>
    <t>Black text</t>
  </si>
  <si>
    <t>Formulas -- do not overwrite, they calculate automatically.</t>
  </si>
  <si>
    <t>Light blue fill</t>
  </si>
  <si>
    <t>Dropdown cells (Category / Equipment Type / Task / Asset ID).</t>
  </si>
  <si>
    <t>KEY ASSUMPTIONS</t>
  </si>
  <si>
    <t>Total Revenue</t>
  </si>
  <si>
    <t>Operable Hours x Lease Rate/Hour, logged per day per asset in Daily Operations Log (column U).</t>
  </si>
  <si>
    <t>Maintenance Type</t>
  </si>
  <si>
    <t>Auto-derived from each task's Maintenance Group: groups containing "Overhaul" -&gt; Overhaul; "General Service" or "Service Hours" or "Inspecting/Testing/Receiving" -&gt; Preventive; everything else (Brakes, Engine, Radiator, Hydraulic, etc.) -&gt; Corrective. Adjust the logic on Task Master if you want different rules.</t>
  </si>
  <si>
    <t>EXTENDING THE SYSTEM</t>
  </si>
  <si>
    <t>Adding tasks</t>
  </si>
  <si>
    <t>Insert new rows inside the correct Equipment Type block on Task Master (not at the very end) so the block stays contiguous -- ask me to update the named ranges after.</t>
  </si>
  <si>
    <t>Adding assets</t>
  </si>
  <si>
    <t>Add a row to Asset Register; it becomes selectable in both logs immediately.</t>
  </si>
  <si>
    <t>Adding log entries</t>
  </si>
  <si>
    <t>Just continue down either log -- dropdowns and formulas are already live (Daily Ops to row 500, Maintenance Log to row 1000).</t>
  </si>
  <si>
    <t>Task-level trend analysis</t>
  </si>
  <si>
    <t>Group/Type breakdowns are pre-built on the Dashboard. For a breakdown by individual task, insert a PivotTable from the Maintenance Log table once you have real data.</t>
  </si>
  <si>
    <t>Item No.</t>
  </si>
  <si>
    <t>Category</t>
  </si>
  <si>
    <t>Equipment Type</t>
  </si>
  <si>
    <t>Equipment Type (Safe Key)</t>
  </si>
  <si>
    <t>Maintenance Group</t>
  </si>
  <si>
    <t>Task Description</t>
  </si>
  <si>
    <t>Standard Time (Hrs)</t>
  </si>
  <si>
    <t>Technicians (Std)</t>
  </si>
  <si>
    <t>Billable Hours</t>
  </si>
  <si>
    <t>Lookup Key</t>
  </si>
  <si>
    <t>Light</t>
  </si>
  <si>
    <t>Automobile</t>
  </si>
  <si>
    <t>I. General Service A = 5,000 KM</t>
  </si>
  <si>
    <t>Preventive</t>
  </si>
  <si>
    <t>Changing the Engine Oil &amp; Oil filter</t>
  </si>
  <si>
    <t>Automobile||Changing the Engine Oil &amp; Oil filter</t>
  </si>
  <si>
    <t>Change Fuel filter</t>
  </si>
  <si>
    <t>Automobile||Change Fuel filter</t>
  </si>
  <si>
    <t>Changing Air Cleaner</t>
  </si>
  <si>
    <t>Automobile||Changing Air Cleaner</t>
  </si>
  <si>
    <t>Inspection of all Fluids &amp; top Upping</t>
  </si>
  <si>
    <t>Automobile||Inspection of all Fluids &amp; top Upping</t>
  </si>
  <si>
    <t>Lubricating all hinges, locks &amp; Latches</t>
  </si>
  <si>
    <t>Automobile||Lubricating all hinges, locks &amp; Latches</t>
  </si>
  <si>
    <t>Inspection of relay end &amp; tie rod ends and steering gear box, Steering Damper</t>
  </si>
  <si>
    <t>Automobile||Inspection of relay end &amp; tie rod ends and steering gear box, Steering Damper</t>
  </si>
  <si>
    <t>Inspection of underbody parts, suspension and Propeller shaft center bearing &amp; universal joint if any</t>
  </si>
  <si>
    <t>Automobile||Inspection of underbody parts, suspension and Propeller shaft center bearing &amp; universal joint if any</t>
  </si>
  <si>
    <t>Inspection of belts and Hoses</t>
  </si>
  <si>
    <t>Automobile||Inspection of belts and Hoses</t>
  </si>
  <si>
    <t>Check Function of all lighting systems</t>
  </si>
  <si>
    <t>Automobile||Check Function of all lighting systems</t>
  </si>
  <si>
    <t>II. General Service B = 10,000 KM</t>
  </si>
  <si>
    <t>Perform all activities in General Service "A"</t>
  </si>
  <si>
    <t>-</t>
  </si>
  <si>
    <t>Automobile||Perform all activities in General Service "A"</t>
  </si>
  <si>
    <t>Check the condition &amp; Security of seat</t>
  </si>
  <si>
    <t>Automobile||Check the condition &amp; Security of seat</t>
  </si>
  <si>
    <t>Check all suspension, Shock absorbers, Stabilizer Bushings &amp; Arm Bushings</t>
  </si>
  <si>
    <t>Automobile||Check all suspension, Shock absorbers, Stabilizer Bushings &amp; Arm Bushings</t>
  </si>
  <si>
    <t>Clean battery terminals</t>
  </si>
  <si>
    <t>Automobile||Clean battery terminals</t>
  </si>
  <si>
    <t>Check Exhaust system for leakage &amp; Damage</t>
  </si>
  <si>
    <t>Automobile||Check Exhaust system for leakage &amp; Damage</t>
  </si>
  <si>
    <t>Servicing /Checking Front &amp; rear Brakes, Hoses, Lines and Hand Brakes</t>
  </si>
  <si>
    <t>Automobile||Servicing /Checking Front &amp; rear Brakes, Hoses, Lines and Hand Brakes</t>
  </si>
  <si>
    <t>Lubricating Front Wheel Hub Bearing and Steering knuckle both side</t>
  </si>
  <si>
    <t>Automobile||Lubricating Front Wheel Hub Bearing and Steering knuckle both side</t>
  </si>
  <si>
    <t>Lubricating Rear Wheel Hub Bearing both side</t>
  </si>
  <si>
    <t>Automobile||Lubricating Rear Wheel Hub Bearing both side</t>
  </si>
  <si>
    <t>Inspection of fuel lines &amp; Connection</t>
  </si>
  <si>
    <t>Automobile||Inspection of fuel lines &amp; Connection</t>
  </si>
  <si>
    <t>III. General Service C = 20,000 KM</t>
  </si>
  <si>
    <t>Perform all activities in General Service "B"</t>
  </si>
  <si>
    <t>Automobile||Perform all activities in General Service "B"</t>
  </si>
  <si>
    <t>Change all Gear oil (Transmission Oil &amp; Differential oil)</t>
  </si>
  <si>
    <t>Automobile||Change all Gear oil (Transmission Oil &amp; Differential oil)</t>
  </si>
  <si>
    <t>Change Spark plugs</t>
  </si>
  <si>
    <t>Automobile||Change Spark plugs</t>
  </si>
  <si>
    <t>Change contact points</t>
  </si>
  <si>
    <t>Automobile||Change contact points</t>
  </si>
  <si>
    <t>Check and tightening bolts &amp; nuts on Chassis &amp; Body</t>
  </si>
  <si>
    <t>Automobile||Check and tightening bolts &amp; nuts on Chassis &amp; Body</t>
  </si>
  <si>
    <t>Cleaning and adjusting all brakes</t>
  </si>
  <si>
    <t>Automobile||Cleaning and adjusting all brakes</t>
  </si>
  <si>
    <t>IV. General Service C = 40,000 KM</t>
  </si>
  <si>
    <t>Perform all activities in General Service "C"</t>
  </si>
  <si>
    <t>Automobile||Perform all activities in General Service "C"</t>
  </si>
  <si>
    <t>Change Clutch</t>
  </si>
  <si>
    <t>Automobile||Change Clutch</t>
  </si>
  <si>
    <t>Changing Front Pad Kit</t>
  </si>
  <si>
    <t>Automobile||Changing Front Pad Kit</t>
  </si>
  <si>
    <t>Change Rear Brake Pad kit/ Shoe kit</t>
  </si>
  <si>
    <t>Automobile||Change Rear Brake Pad kit/ Shoe kit</t>
  </si>
  <si>
    <t>Check and Adjust engine Intake and Exhaust Valves</t>
  </si>
  <si>
    <t>Automobile||Check and Adjust engine Intake and Exhaust Valves</t>
  </si>
  <si>
    <t>Check &amp; adjust Front wheel toe in and toe out</t>
  </si>
  <si>
    <t>Automobile||Check &amp; adjust Front wheel toe in and toe out</t>
  </si>
  <si>
    <t>Check Serviceable Battery Electrolyte</t>
  </si>
  <si>
    <t>Automobile||Check Serviceable Battery Electrolyte</t>
  </si>
  <si>
    <t>V. Overhaul</t>
  </si>
  <si>
    <t>Overhaul</t>
  </si>
  <si>
    <t>Dismounting Engine</t>
  </si>
  <si>
    <t>Automobile||Dismounting Engine</t>
  </si>
  <si>
    <t>Engine Overhaul</t>
  </si>
  <si>
    <t>Automobile||Engine Overhaul</t>
  </si>
  <si>
    <t>Mounting &amp; Test Engine</t>
  </si>
  <si>
    <t>Automobile||Mounting &amp; Test Engine</t>
  </si>
  <si>
    <t>Overhaul Gear box</t>
  </si>
  <si>
    <t>Automobile||Overhaul Gear box</t>
  </si>
  <si>
    <t>Overhaul Differential rear</t>
  </si>
  <si>
    <t>Automobile||Overhaul Differential rear</t>
  </si>
  <si>
    <t>Overhaul Steering box /Power</t>
  </si>
  <si>
    <t>Automobile||Overhaul Steering box /Power</t>
  </si>
  <si>
    <t>Overhaul Steering box /Mechanical</t>
  </si>
  <si>
    <t>Automobile||Overhaul Steering box /Mechanical</t>
  </si>
  <si>
    <t>Overhauling Steering vane pump</t>
  </si>
  <si>
    <t>Automobile||Overhauling Steering vane pump</t>
  </si>
  <si>
    <t>Replace Vacuum Pump</t>
  </si>
  <si>
    <t>Automobile||Replace Vacuum Pump</t>
  </si>
  <si>
    <t>Overhaul Carburetor Service</t>
  </si>
  <si>
    <t>Automobile||Overhaul Carburetor Service</t>
  </si>
  <si>
    <t>Overhaul Engine Top</t>
  </si>
  <si>
    <t>Automobile||Overhaul Engine Top</t>
  </si>
  <si>
    <t>Overhaul Engine Bottom</t>
  </si>
  <si>
    <t>Automobile||Overhaul Engine Bottom</t>
  </si>
  <si>
    <t>Overhaul caliper each</t>
  </si>
  <si>
    <t>Automobile||Overhaul caliper each</t>
  </si>
  <si>
    <t>VI. Power Transmission &amp; Drive Line Repair</t>
  </si>
  <si>
    <t>Corrective</t>
  </si>
  <si>
    <t>Replace Clutch Disc/pressure plate/release bearing</t>
  </si>
  <si>
    <t>Automobile||Replace Clutch Disc/pressure plate/release bearing</t>
  </si>
  <si>
    <t>Replace Pilot bearing</t>
  </si>
  <si>
    <t>Automobile||Replace Pilot bearing</t>
  </si>
  <si>
    <t>Adjusting Shifting Lever Linkage</t>
  </si>
  <si>
    <t>Automobile||Adjusting Shifting Lever Linkage</t>
  </si>
  <si>
    <t>Flange seal changing of gear box single</t>
  </si>
  <si>
    <t>Automobile||Flange seal changing of gear box single</t>
  </si>
  <si>
    <t>Flange seal changing of T-case system</t>
  </si>
  <si>
    <t>Automobile||Flange seal changing of T-case system</t>
  </si>
  <si>
    <t>Flange seal of differential single</t>
  </si>
  <si>
    <t>Automobile||Flange seal of differential single</t>
  </si>
  <si>
    <t>Replace Spider kit</t>
  </si>
  <si>
    <t>Automobile||Replace Spider kit</t>
  </si>
  <si>
    <t>Changing Center Bearing</t>
  </si>
  <si>
    <t>Automobile||Changing Center Bearing</t>
  </si>
  <si>
    <t>Changing Diff. gasket front</t>
  </si>
  <si>
    <t>Automobile||Changing Diff. gasket front</t>
  </si>
  <si>
    <t>Changing Diff. gasket full floating</t>
  </si>
  <si>
    <t>Automobile||Changing Diff. gasket full floating</t>
  </si>
  <si>
    <t>Changing rear Diff gasket Semi floating</t>
  </si>
  <si>
    <t>Automobile||Changing rear Diff gasket Semi floating</t>
  </si>
  <si>
    <t>Changing Clutch Slave cylinder repair kit</t>
  </si>
  <si>
    <t>Automobile||Changing Clutch Slave cylinder repair kit</t>
  </si>
  <si>
    <t>Changing Clutch Master cylinder repair kit</t>
  </si>
  <si>
    <t>Automobile||Changing Clutch Master cylinder repair kit</t>
  </si>
  <si>
    <t>Remove &amp; Install Gear box</t>
  </si>
  <si>
    <t>Automobile||Remove &amp; Install Gear box</t>
  </si>
  <si>
    <t>Adjust Clutch Mechanism</t>
  </si>
  <si>
    <t>Automobile||Adjust Clutch Mechanism</t>
  </si>
  <si>
    <t>Changing rear axle shaft semi float single</t>
  </si>
  <si>
    <t>Automobile||Changing rear axle shaft semi float single</t>
  </si>
  <si>
    <t>Changing rear axle shaft full float single</t>
  </si>
  <si>
    <t>Automobile||Changing rear axle shaft full float single</t>
  </si>
  <si>
    <t>Changing Single stud of wheel</t>
  </si>
  <si>
    <t>Automobile||Changing Single stud of wheel</t>
  </si>
  <si>
    <t>Remove &amp; install T- case</t>
  </si>
  <si>
    <t>Automobile||Remove &amp; install T- case</t>
  </si>
  <si>
    <t>Changing Flywheel</t>
  </si>
  <si>
    <t>Automobile||Changing Flywheel</t>
  </si>
  <si>
    <t>Change oil seal single FF axle</t>
  </si>
  <si>
    <t>Automobile||Change oil seal single FF axle</t>
  </si>
  <si>
    <t>Change oil seal single RR axle</t>
  </si>
  <si>
    <t>Automobile||Change oil seal single RR axle</t>
  </si>
  <si>
    <t>Changing Clutch Master Cylinder Assy</t>
  </si>
  <si>
    <t>Automobile||Changing Clutch Master Cylinder Assy</t>
  </si>
  <si>
    <t>Changing Clutch Slave Cylinder Assy</t>
  </si>
  <si>
    <t>Automobile||Changing Clutch Slave Cylinder Assy</t>
  </si>
  <si>
    <t>Changing Broken Knuckle Stud/Single</t>
  </si>
  <si>
    <t>Automobile||Changing Broken Knuckle Stud/Single</t>
  </si>
  <si>
    <t>Changing front hub Lock single</t>
  </si>
  <si>
    <t>Automobile||Changing front hub Lock single</t>
  </si>
  <si>
    <t>Change Gear box Support /single /</t>
  </si>
  <si>
    <t>Automobile||Change Gear box Support /single /</t>
  </si>
  <si>
    <t>Remove &amp; Replace Differential /single</t>
  </si>
  <si>
    <t>Automobile||Remove &amp; Replace Differential /single</t>
  </si>
  <si>
    <t>VII. Brakes</t>
  </si>
  <si>
    <t>Clean &amp; Adjust all Brakes</t>
  </si>
  <si>
    <t>Automobile||Clean &amp; Adjust all Brakes</t>
  </si>
  <si>
    <t>Change Hand Brake cable</t>
  </si>
  <si>
    <t>Automobile||Change Hand Brake cable</t>
  </si>
  <si>
    <t>single Brake Disc Changing</t>
  </si>
  <si>
    <t>Automobile||single Brake Disc Changing</t>
  </si>
  <si>
    <t>single Brake drum changing</t>
  </si>
  <si>
    <t>Automobile||single Brake drum changing</t>
  </si>
  <si>
    <t>Changing master Brake cylinder kit</t>
  </si>
  <si>
    <t>Automobile||Changing master Brake cylinder kit</t>
  </si>
  <si>
    <t>Changing Brake Booster</t>
  </si>
  <si>
    <t>Automobile||Changing Brake Booster</t>
  </si>
  <si>
    <t>Change Brake Tubes</t>
  </si>
  <si>
    <t>Automobile||Change Brake Tubes</t>
  </si>
  <si>
    <t>Change Wheel Cylinder Assy</t>
  </si>
  <si>
    <t>Automobile||Change Wheel Cylinder Assy</t>
  </si>
  <si>
    <t>Change Brake Adjuster</t>
  </si>
  <si>
    <t>Automobile||Change Brake Adjuster</t>
  </si>
  <si>
    <t>VIII. Steering &amp; Suspension System</t>
  </si>
  <si>
    <t>Replace Front Shock absorber</t>
  </si>
  <si>
    <t>Automobile||Replace Front Shock absorber</t>
  </si>
  <si>
    <t>Replace Front coil spring</t>
  </si>
  <si>
    <t>Automobile||Replace Front coil spring</t>
  </si>
  <si>
    <t>Replace Rear Shock absorber</t>
  </si>
  <si>
    <t>Automobile||Replace Rear Shock absorber</t>
  </si>
  <si>
    <t>Adjust Steering wheel Excessive play</t>
  </si>
  <si>
    <t>Automobile||Adjust Steering wheel Excessive play</t>
  </si>
  <si>
    <t>Check and replace tie rod end (single)</t>
  </si>
  <si>
    <t>Automobile||Check and replace tie rod end (single)</t>
  </si>
  <si>
    <t>Check and replace pitman arm</t>
  </si>
  <si>
    <t>Automobile||Check and replace pitman arm</t>
  </si>
  <si>
    <t>Steering Column replace</t>
  </si>
  <si>
    <t>Automobile||Steering Column replace</t>
  </si>
  <si>
    <t>Changing Upper/Lower Suspension arm Ball Joint</t>
  </si>
  <si>
    <t>Automobile||Changing Upper/Lower Suspension arm Ball Joint</t>
  </si>
  <si>
    <t>Change /adjust Spring Torsion bar</t>
  </si>
  <si>
    <t>Automobile||Change /adjust Spring Torsion bar</t>
  </si>
  <si>
    <t>Change/adjust Steering Drag link(single)</t>
  </si>
  <si>
    <t>Automobile||Change/adjust Steering Drag link(single)</t>
  </si>
  <si>
    <t>Change Power steering hose</t>
  </si>
  <si>
    <t>Automobile||Change Power steering hose</t>
  </si>
  <si>
    <t>Remove &amp; refit Steering damper</t>
  </si>
  <si>
    <t>Automobile||Remove &amp; refit Steering damper</t>
  </si>
  <si>
    <t>Change Steering idler arm</t>
  </si>
  <si>
    <t>Automobile||Change Steering idler arm</t>
  </si>
  <si>
    <t>Adjust toe in &amp; Toe out</t>
  </si>
  <si>
    <t>Automobile||Adjust toe in &amp; Toe out</t>
  </si>
  <si>
    <t>Changing Upper or lower Control arm Bushing</t>
  </si>
  <si>
    <t>Automobile||Changing Upper or lower Control arm Bushing</t>
  </si>
  <si>
    <t>Bleeding Air From Steering System</t>
  </si>
  <si>
    <t>Automobile||Bleeding Air From Steering System</t>
  </si>
  <si>
    <t>Changing Steering Knuckle Stopper Bushing (single)</t>
  </si>
  <si>
    <t>Automobile||Changing Steering Knuckle Stopper Bushing (single)</t>
  </si>
  <si>
    <t>Changing Steering gear box power Steering</t>
  </si>
  <si>
    <t>Automobile||Changing Steering gear box power Steering</t>
  </si>
  <si>
    <t>Changing Steering gear box Mechanical</t>
  </si>
  <si>
    <t>Automobile||Changing Steering gear box Mechanical</t>
  </si>
  <si>
    <t>IX. Engine and Engine Accessories</t>
  </si>
  <si>
    <t>Change Engine Support (single)</t>
  </si>
  <si>
    <t>Automobile||Change Engine Support (single)</t>
  </si>
  <si>
    <t>Change Valve Cover Gasket</t>
  </si>
  <si>
    <t>Automobile||Change Valve Cover Gasket</t>
  </si>
  <si>
    <t>Change Engine oil Sump</t>
  </si>
  <si>
    <t>Automobile||Change Engine oil Sump</t>
  </si>
  <si>
    <t>Adjust Valve Clearance Screw Type</t>
  </si>
  <si>
    <t>Automobile||Adjust Valve Clearance Screw Type</t>
  </si>
  <si>
    <t>Adjust Valve Clearance shim Type</t>
  </si>
  <si>
    <t>Automobile||Adjust Valve Clearance shim Type</t>
  </si>
  <si>
    <t>Change exhaust Manifold gasket</t>
  </si>
  <si>
    <t>Automobile||Change exhaust Manifold gasket</t>
  </si>
  <si>
    <t>Change Intake Manifold gasket</t>
  </si>
  <si>
    <t>Automobile||Change Intake Manifold gasket</t>
  </si>
  <si>
    <t>Change Exhaust pipe gasket</t>
  </si>
  <si>
    <t>Automobile||Change Exhaust pipe gasket</t>
  </si>
  <si>
    <t>Change fan belt, AC or Steering Belt single</t>
  </si>
  <si>
    <t>Automobile||Change fan belt, AC or Steering Belt single</t>
  </si>
  <si>
    <t>Changing Cooling fan</t>
  </si>
  <si>
    <t>Automobile||Changing Cooling fan</t>
  </si>
  <si>
    <t>Change T Belt</t>
  </si>
  <si>
    <t>Automobile||Change T Belt</t>
  </si>
  <si>
    <t>Change carburetor</t>
  </si>
  <si>
    <t>Automobile||Change carburetor</t>
  </si>
  <si>
    <t>Dismount &amp; remount Nozzle single</t>
  </si>
  <si>
    <t>Automobile||Dismount &amp; remount Nozzle single</t>
  </si>
  <si>
    <t>Remove &amp; install Exhaust Pipe Muffler</t>
  </si>
  <si>
    <t>Automobile||Remove &amp; install Exhaust Pipe Muffler</t>
  </si>
  <si>
    <t>Perform Engine Compression Test</t>
  </si>
  <si>
    <t>Automobile||Perform Engine Compression Test</t>
  </si>
  <si>
    <t>Check and Adjust timing</t>
  </si>
  <si>
    <t>Automobile||Check and Adjust timing</t>
  </si>
  <si>
    <t>Change rear crankshaft seal</t>
  </si>
  <si>
    <t>Automobile||Change rear crankshaft seal</t>
  </si>
  <si>
    <t>Change Front crankshaft seal</t>
  </si>
  <si>
    <t>Automobile||Change Front crankshaft seal</t>
  </si>
  <si>
    <t>Change camshaft seal</t>
  </si>
  <si>
    <t>Automobile||Change camshaft seal</t>
  </si>
  <si>
    <t>Change/repair water pump</t>
  </si>
  <si>
    <t>Automobile||Change/repair water pump</t>
  </si>
  <si>
    <t>Change Idler pulley</t>
  </si>
  <si>
    <t>Automobile||Change Idler pulley</t>
  </si>
  <si>
    <t>Remove &amp; install fuel tank /single</t>
  </si>
  <si>
    <t>Automobile||Remove &amp; install fuel tank /single</t>
  </si>
  <si>
    <t>Engine Tune-Up</t>
  </si>
  <si>
    <t>Automobile||Engine Tune-Up</t>
  </si>
  <si>
    <t>Remove and install engine</t>
  </si>
  <si>
    <t>Automobile||Remove and install engine</t>
  </si>
  <si>
    <t>Engine Flashing</t>
  </si>
  <si>
    <t>Automobile||Engine Flashing</t>
  </si>
  <si>
    <t>Change engine Crankshaft pulley</t>
  </si>
  <si>
    <t>Automobile||Change engine Crankshaft pulley</t>
  </si>
  <si>
    <t>Change fan shroud</t>
  </si>
  <si>
    <t>Automobile||Change fan shroud</t>
  </si>
  <si>
    <t>Change Exhaust pipe cushion</t>
  </si>
  <si>
    <t>Automobile||Change Exhaust pipe cushion</t>
  </si>
  <si>
    <t>change fuel line</t>
  </si>
  <si>
    <t>Automobile||change fuel line</t>
  </si>
  <si>
    <t>Remove &amp; Replace Oil Pump</t>
  </si>
  <si>
    <t>Automobile||Remove &amp; Replace Oil Pump</t>
  </si>
  <si>
    <t>Replace Fuel Supply Pump</t>
  </si>
  <si>
    <t>Automobile||Replace Fuel Supply Pump</t>
  </si>
  <si>
    <t>X. Radiator</t>
  </si>
  <si>
    <t>Cleaning Radiator</t>
  </si>
  <si>
    <t>Automobile||Cleaning Radiator</t>
  </si>
  <si>
    <t>Radiator Flash</t>
  </si>
  <si>
    <t>Automobile||Radiator Flash</t>
  </si>
  <si>
    <t>Replacing Radiator Cap</t>
  </si>
  <si>
    <t>Automobile||Replacing Radiator Cap</t>
  </si>
  <si>
    <t>Change radiator hose (single)</t>
  </si>
  <si>
    <t>Automobile||Change radiator hose (single)</t>
  </si>
  <si>
    <t>Remove &amp; Install Radiator</t>
  </si>
  <si>
    <t>Automobile||Remove &amp; Install Radiator</t>
  </si>
  <si>
    <t>XI. Body/Frame</t>
  </si>
  <si>
    <t>Change Front Windshield Glass</t>
  </si>
  <si>
    <t>Automobile||Change Front Windshield Glass</t>
  </si>
  <si>
    <t>Change Door Glass (Single)</t>
  </si>
  <si>
    <t>Automobile||Change Door Glass (Single)</t>
  </si>
  <si>
    <t>Change Window Regulator Normal (Single)</t>
  </si>
  <si>
    <t>Automobile||Change Window Regulator Normal (Single)</t>
  </si>
  <si>
    <t>Repair Window Regulator Normal (Single)</t>
  </si>
  <si>
    <t>Automobile||Repair Window Regulator Normal (Single)</t>
  </si>
  <si>
    <t>Change Side View Mirror (Single)</t>
  </si>
  <si>
    <t>Automobile||Change Side View Mirror (Single)</t>
  </si>
  <si>
    <t>Change Door Lock Mechanism (Single)</t>
  </si>
  <si>
    <t>Automobile||Change Door Lock Mechanism (Single)</t>
  </si>
  <si>
    <t>Repair Door Lock Mechanism (Single)</t>
  </si>
  <si>
    <t>Automobile||Repair Door Lock Mechanism (Single)</t>
  </si>
  <si>
    <t>Change Door Handle Inner/Outer (Single)</t>
  </si>
  <si>
    <t>Automobile||Change Door Handle Inner/Outer (Single)</t>
  </si>
  <si>
    <t>Repair Door Handle Inner/Outer (Single)</t>
  </si>
  <si>
    <t>Automobile||Repair Door Handle Inner/Outer (Single)</t>
  </si>
  <si>
    <t>Change Engine Hood Lock</t>
  </si>
  <si>
    <t>Automobile||Change Engine Hood Lock</t>
  </si>
  <si>
    <t>Repair Engine Hood Lock</t>
  </si>
  <si>
    <t>Automobile||Repair Engine Hood Lock</t>
  </si>
  <si>
    <t>Change Engine Hood Lock Cable</t>
  </si>
  <si>
    <t>Automobile||Change Engine Hood Lock Cable</t>
  </si>
  <si>
    <t>Change Door Weather Strip (Single)</t>
  </si>
  <si>
    <t>Automobile||Change Door Weather Strip (Single)</t>
  </si>
  <si>
    <t>Change Door Hinge (Single)</t>
  </si>
  <si>
    <t>Automobile||Change Door Hinge (Single)</t>
  </si>
  <si>
    <t>Change Door Glass Channel (Single)</t>
  </si>
  <si>
    <t>Automobile||Change Door Glass Channel (Single)</t>
  </si>
  <si>
    <t>Change FR &amp; Rear Apron (Single)</t>
  </si>
  <si>
    <t>Automobile||Change FR &amp; Rear Apron (Single)</t>
  </si>
  <si>
    <t>Change FR &amp; Rear Bumper</t>
  </si>
  <si>
    <t>Automobile||Change FR &amp; Rear Bumper</t>
  </si>
  <si>
    <t>Repair Front or Rear Bumper</t>
  </si>
  <si>
    <t>Automobile||Repair Front or Rear Bumper</t>
  </si>
  <si>
    <t>Change Radiator Grill</t>
  </si>
  <si>
    <t>Automobile||Change Radiator Grill</t>
  </si>
  <si>
    <t>Change FR Fender (Single)</t>
  </si>
  <si>
    <t>Automobile||Change FR Fender (Single)</t>
  </si>
  <si>
    <t>Change Dash Board</t>
  </si>
  <si>
    <t>Automobile||Change Dash Board</t>
  </si>
  <si>
    <t>Fix Plate No. Both</t>
  </si>
  <si>
    <t>Automobile||Fix Plate No. Both</t>
  </si>
  <si>
    <t>Fix Engine Hood Heat Protector</t>
  </si>
  <si>
    <t>Automobile||Fix Engine Hood Heat Protector</t>
  </si>
  <si>
    <t>Weld Seat Frame</t>
  </si>
  <si>
    <t>Automobile||Weld Seat Frame</t>
  </si>
  <si>
    <t>Change Mud Guard</t>
  </si>
  <si>
    <t>Automobile||Change Mud Guard</t>
  </si>
  <si>
    <t>Repair or Replace wheel (mud guard )liners</t>
  </si>
  <si>
    <t>Automobile||Repair or Replace wheel (mud guard )liners</t>
  </si>
  <si>
    <t>Replace Seat (Single)</t>
  </si>
  <si>
    <t>Automobile||Replace Seat (Single)</t>
  </si>
  <si>
    <t>Change Sun Visor</t>
  </si>
  <si>
    <t>Automobile||Change Sun Visor</t>
  </si>
  <si>
    <t>Repair Fuel Tank</t>
  </si>
  <si>
    <t>Automobile||Repair Fuel Tank</t>
  </si>
  <si>
    <t>Weld Front (Rear) Fender Minor Cracks</t>
  </si>
  <si>
    <t>Automobile||Weld Front (Rear) Fender Minor Cracks</t>
  </si>
  <si>
    <t>Weld Front (Rear) Fender Major Cracks</t>
  </si>
  <si>
    <t>Automobile||Weld Front (Rear) Fender Major Cracks</t>
  </si>
  <si>
    <t>Pick Up / Station Wagon / Mini Bus</t>
  </si>
  <si>
    <t>Pick_Up_Station_Wagon_Mini_Bus</t>
  </si>
  <si>
    <t>Pick Up / Station Wagon / Mini Bus||Changing the Engine Oil &amp; Oil filter</t>
  </si>
  <si>
    <t>Pick Up / Station Wagon / Mini Bus||Inspection of all Fluids &amp; top Upping</t>
  </si>
  <si>
    <t>Checking Front &amp; rear Brakes, Hoses, Lines and Hand Brakes</t>
  </si>
  <si>
    <t>Pick Up / Station Wagon / Mini Bus||Checking Front &amp; rear Brakes, Hoses, Lines and Hand Brakes</t>
  </si>
  <si>
    <t>Pick Up / Station Wagon / Mini Bus||Lubricating Front Wheel Hub Bearing and Steering knuckle both side</t>
  </si>
  <si>
    <t>Pick Up / Station Wagon / Mini Bus||Lubricating Rear Wheel Hub Bearing both side</t>
  </si>
  <si>
    <t>Pick Up / Station Wagon / Mini Bus||Lubricating all hinges, locks &amp; Latches</t>
  </si>
  <si>
    <t>Pick Up / Station Wagon / Mini Bus||Inspection of relay end &amp; tie rod ends and steering gear box, Steering Damper</t>
  </si>
  <si>
    <t>Inspection of underbody parts, suspension and Propeller shaft center bearing &amp; universal joint</t>
  </si>
  <si>
    <t>Pick Up / Station Wagon / Mini Bus||Inspection of underbody parts, suspension and Propeller shaft center bearing &amp; universal joint</t>
  </si>
  <si>
    <t>Pick Up / Station Wagon / Mini Bus||Inspection of belts and Hoses</t>
  </si>
  <si>
    <t>Check Coolant &amp; Cooling System</t>
  </si>
  <si>
    <t>Pick Up / Station Wagon / Mini Bus||Check Coolant &amp; Cooling System</t>
  </si>
  <si>
    <t>Check Function of all lights</t>
  </si>
  <si>
    <t>Pick Up / Station Wagon / Mini Bus||Check Function of all lights</t>
  </si>
  <si>
    <t>Pick Up / Station Wagon / Mini Bus||Perform all activities in General Service "A"</t>
  </si>
  <si>
    <t>Pick Up / Station Wagon / Mini Bus||Change Fuel filter</t>
  </si>
  <si>
    <t>Pick Up / Station Wagon / Mini Bus||Check the condition &amp; Security of seat</t>
  </si>
  <si>
    <t>Pick Up / Station Wagon / Mini Bus||Check all suspension, Shock absorbers, Stabilizer Bushings &amp; Arm Bushings</t>
  </si>
  <si>
    <t>Check and top up all gear oil</t>
  </si>
  <si>
    <t>Pick Up / Station Wagon / Mini Bus||Check and top up all gear oil</t>
  </si>
  <si>
    <t>Pick Up / Station Wagon / Mini Bus||Clean battery terminals</t>
  </si>
  <si>
    <t>Pick Up / Station Wagon / Mini Bus||Check Exhaust system for leakage &amp; Damage</t>
  </si>
  <si>
    <t>Pick Up / Station Wagon / Mini Bus||Changing Air Cleaner</t>
  </si>
  <si>
    <t>Pick Up / Station Wagon / Mini Bus||Perform all activities in General Service "B"</t>
  </si>
  <si>
    <t>Renew Hub Grease front and rear wheels</t>
  </si>
  <si>
    <t>Pick Up / Station Wagon / Mini Bus||Renew Hub Grease front and rear wheels</t>
  </si>
  <si>
    <t>Pick Up / Station Wagon / Mini Bus||Change all Gear oil (Transmission Oil &amp; Differential oil)</t>
  </si>
  <si>
    <t>Pick Up / Station Wagon / Mini Bus||Change Spark plugs</t>
  </si>
  <si>
    <t>Pick Up / Station Wagon / Mini Bus||Change contact points</t>
  </si>
  <si>
    <t>Pick Up / Station Wagon / Mini Bus||Check and tightening bolts &amp; nuts on Chassis &amp; Body</t>
  </si>
  <si>
    <t>Pick Up / Station Wagon / Mini Bus||Cleaning and adjusting all brakes</t>
  </si>
  <si>
    <t>Pick Up / Station Wagon / Mini Bus||Perform all activities in General Service "C"</t>
  </si>
  <si>
    <t>Changing all Brake, Clutch &amp; Power steering fluid</t>
  </si>
  <si>
    <t>Pick Up / Station Wagon / Mini Bus||Changing all Brake, Clutch &amp; Power steering fluid</t>
  </si>
  <si>
    <t>Pick Up / Station Wagon / Mini Bus||Changing Front Pad Kit</t>
  </si>
  <si>
    <t>Change Rear Brake Pad kit</t>
  </si>
  <si>
    <t>Pick Up / Station Wagon / Mini Bus||Change Rear Brake Pad kit</t>
  </si>
  <si>
    <t>Change Rear brake shoe set</t>
  </si>
  <si>
    <t>Pick Up / Station Wagon / Mini Bus||Change Rear brake shoe set</t>
  </si>
  <si>
    <t>Pick Up / Station Wagon / Mini Bus||Check and Adjust engine Intake and Exhaust Valves</t>
  </si>
  <si>
    <t>Check the performance of Clutch</t>
  </si>
  <si>
    <t>Pick Up / Station Wagon / Mini Bus||Check the performance of Clutch</t>
  </si>
  <si>
    <t>Pick Up / Station Wagon / Mini Bus||Check &amp; adjust Front wheel toe in and toe out</t>
  </si>
  <si>
    <t>Check Serviceable Battery Electrolyte and Terminals</t>
  </si>
  <si>
    <t>Pick Up / Station Wagon / Mini Bus||Check Serviceable Battery Electrolyte and Terminals</t>
  </si>
  <si>
    <t>Pick Up / Station Wagon / Mini Bus||Engine Tune-Up</t>
  </si>
  <si>
    <t>Pick Up / Station Wagon / Mini Bus||Engine Overhaul</t>
  </si>
  <si>
    <t>Pick Up / Station Wagon / Mini Bus||Overhaul Engine Top</t>
  </si>
  <si>
    <t>Pick Up / Station Wagon / Mini Bus||Overhaul Engine Bottom</t>
  </si>
  <si>
    <t>Pick Up / Station Wagon / Mini Bus||Overhaul Gear box</t>
  </si>
  <si>
    <t>Overhaul Transfer case</t>
  </si>
  <si>
    <t>Pick Up / Station Wagon / Mini Bus||Overhaul Transfer case</t>
  </si>
  <si>
    <t>Overhaul Differential front</t>
  </si>
  <si>
    <t>Pick Up / Station Wagon / Mini Bus||Overhaul Differential front</t>
  </si>
  <si>
    <t>Pick Up / Station Wagon / Mini Bus||Overhaul Differential rear</t>
  </si>
  <si>
    <t>Pick Up / Station Wagon / Mini Bus||Overhaul Steering box /Power</t>
  </si>
  <si>
    <t>Pick Up / Station Wagon / Mini Bus||Overhaul Steering box /Mechanical</t>
  </si>
  <si>
    <t>Overhaul Steering vane pump</t>
  </si>
  <si>
    <t>Pick Up / Station Wagon / Mini Bus||Overhaul Steering vane pump</t>
  </si>
  <si>
    <t>Overhauling Vacuum Pump</t>
  </si>
  <si>
    <t>Pick Up / Station Wagon / Mini Bus||Overhauling Vacuum Pump</t>
  </si>
  <si>
    <t>Pick Up / Station Wagon / Mini Bus||Overhaul Carburetor Service</t>
  </si>
  <si>
    <t>Pick Up / Station Wagon / Mini Bus||Overhaul caliper each</t>
  </si>
  <si>
    <t>Pick Up / Station Wagon / Mini Bus||Replace Clutch Disc/pressure plate/release bearing</t>
  </si>
  <si>
    <t>Pick Up / Station Wagon / Mini Bus||Replace Pilot bearing</t>
  </si>
  <si>
    <t>Pick Up / Station Wagon / Mini Bus||Adjusting Shifting Lever Linkage</t>
  </si>
  <si>
    <t>Replace Flange seal changing of gear box single</t>
  </si>
  <si>
    <t>Pick Up / Station Wagon / Mini Bus||Replace Flange seal changing of gear box single</t>
  </si>
  <si>
    <t>Replace Flange seal changing of T-case system</t>
  </si>
  <si>
    <t>Pick Up / Station Wagon / Mini Bus||Replace Flange seal changing of T-case system</t>
  </si>
  <si>
    <t>Replace Flange seal of differential single</t>
  </si>
  <si>
    <t>Pick Up / Station Wagon / Mini Bus||Replace Flange seal of differential single</t>
  </si>
  <si>
    <t>Check &amp; replace Spider kit</t>
  </si>
  <si>
    <t>Pick Up / Station Wagon / Mini Bus||Check &amp; replace Spider kit</t>
  </si>
  <si>
    <t>Replace Center Bearing</t>
  </si>
  <si>
    <t>Pick Up / Station Wagon / Mini Bus||Replace Center Bearing</t>
  </si>
  <si>
    <t>Changing differential gasket front</t>
  </si>
  <si>
    <t>Pick Up / Station Wagon / Mini Bus||Changing differential gasket front</t>
  </si>
  <si>
    <t>Changing differential gasket full floating</t>
  </si>
  <si>
    <t>Pick Up / Station Wagon / Mini Bus||Changing differential gasket full floating</t>
  </si>
  <si>
    <t>Changing rear differential gasket Semi floating</t>
  </si>
  <si>
    <t>Pick Up / Station Wagon / Mini Bus||Changing rear differential gasket Semi floating</t>
  </si>
  <si>
    <t>Axle housing Changing Front</t>
  </si>
  <si>
    <t>Pick Up / Station Wagon / Mini Bus||Axle housing Changing Front</t>
  </si>
  <si>
    <t>Axle housing Changing rear</t>
  </si>
  <si>
    <t>Pick Up / Station Wagon / Mini Bus||Axle housing Changing rear</t>
  </si>
  <si>
    <t>Pick Up / Station Wagon / Mini Bus||Changing Clutch Slave cylinder repair kit</t>
  </si>
  <si>
    <t>Pick Up / Station Wagon / Mini Bus||Changing Clutch Master cylinder repair kit</t>
  </si>
  <si>
    <t>Pick Up / Station Wagon / Mini Bus||Remove &amp; Install Gear box</t>
  </si>
  <si>
    <t>Changing Propeller shaft single</t>
  </si>
  <si>
    <t>Pick Up / Station Wagon / Mini Bus||Changing Propeller shaft single</t>
  </si>
  <si>
    <t>Pick Up / Station Wagon / Mini Bus||Adjust Clutch Mechanism</t>
  </si>
  <si>
    <t>Pick Up / Station Wagon / Mini Bus||Changing rear axle shaft semi float single</t>
  </si>
  <si>
    <t>Pick Up / Station Wagon / Mini Bus||Changing rear axle shaft full float single</t>
  </si>
  <si>
    <t>Changing wheel stud Single</t>
  </si>
  <si>
    <t>Pick Up / Station Wagon / Mini Bus||Changing wheel stud Single</t>
  </si>
  <si>
    <t>Pick Up / Station Wagon / Mini Bus||Remove &amp; install T- case</t>
  </si>
  <si>
    <t>Changing Flywheel and ring gear</t>
  </si>
  <si>
    <t>Pick Up / Station Wagon / Mini Bus||Changing Flywheel and ring gear</t>
  </si>
  <si>
    <t>Change Bearing/King pin Kit single</t>
  </si>
  <si>
    <t>Pick Up / Station Wagon / Mini Bus||Change Bearing/King pin Kit single</t>
  </si>
  <si>
    <t>Pick Up / Station Wagon / Mini Bus||Change oil seal single FF axle</t>
  </si>
  <si>
    <t>Pick Up / Station Wagon / Mini Bus||Change oil seal single RR axle</t>
  </si>
  <si>
    <t>Pick Up / Station Wagon / Mini Bus||Changing Clutch Master Cylinder Assy</t>
  </si>
  <si>
    <t>Pick Up / Station Wagon / Mini Bus||Changing Clutch Slave Cylinder Assy</t>
  </si>
  <si>
    <t>Pick Up / Station Wagon / Mini Bus||Changing Broken Knuckle Stud/Single</t>
  </si>
  <si>
    <t>Pick Up / Station Wagon / Mini Bus||Changing front hub Lock single</t>
  </si>
  <si>
    <t>Pick Up / Station Wagon / Mini Bus||Change Gear box Support /single /</t>
  </si>
  <si>
    <t>Pick Up / Station Wagon / Mini Bus||Remove &amp; Replace Differential /single</t>
  </si>
  <si>
    <t>Pick Up / Station Wagon / Mini Bus||Clean &amp; Adjust all Brakes</t>
  </si>
  <si>
    <t>Pick Up / Station Wagon / Mini Bus||Change Hand Brake cable</t>
  </si>
  <si>
    <t>Change Brake Shoe set</t>
  </si>
  <si>
    <t>Pick Up / Station Wagon / Mini Bus||Change Brake Shoe set</t>
  </si>
  <si>
    <t>Change Brake pad set</t>
  </si>
  <si>
    <t>Pick Up / Station Wagon / Mini Bus||Change Brake pad set</t>
  </si>
  <si>
    <t>Change wheel cylinder kit</t>
  </si>
  <si>
    <t>Pick Up / Station Wagon / Mini Bus||Change wheel cylinder kit</t>
  </si>
  <si>
    <t>Single Caliper replace</t>
  </si>
  <si>
    <t>Pick Up / Station Wagon / Mini Bus||Single Caliper replace</t>
  </si>
  <si>
    <t>Single Brake Disc Changing</t>
  </si>
  <si>
    <t>Pick Up / Station Wagon / Mini Bus||Single Brake Disc Changing</t>
  </si>
  <si>
    <t>Single Brake drum changing</t>
  </si>
  <si>
    <t>Pick Up / Station Wagon / Mini Bus||Single Brake drum changing</t>
  </si>
  <si>
    <t>Pick Up / Station Wagon / Mini Bus||Changing master Brake cylinder kit</t>
  </si>
  <si>
    <t>Pick Up / Station Wagon / Mini Bus||Changing Brake Booster</t>
  </si>
  <si>
    <t>Repair /Change Vacuum Pump</t>
  </si>
  <si>
    <t>Pick Up / Station Wagon / Mini Bus||Repair /Change Vacuum Pump</t>
  </si>
  <si>
    <t>Pick Up / Station Wagon / Mini Bus||Change Brake Tubes</t>
  </si>
  <si>
    <t>Pick Up / Station Wagon / Mini Bus||Change Wheel Cylinder Assy</t>
  </si>
  <si>
    <t>Pick Up / Station Wagon / Mini Bus||Change Brake Adjuster</t>
  </si>
  <si>
    <t>Pick Up / Station Wagon / Mini Bus||Replace Front Shock absorber</t>
  </si>
  <si>
    <t>Pick Up / Station Wagon / Mini Bus||Replace Front coil spring</t>
  </si>
  <si>
    <t>Pick Up / Station Wagon / Mini Bus||Replace Rear Shock absorber</t>
  </si>
  <si>
    <t>Pick Up / Station Wagon / Mini Bus||Adjust Steering wheel Excessive play</t>
  </si>
  <si>
    <t>Pick Up / Station Wagon / Mini Bus||Check and replace tie rod end (single)</t>
  </si>
  <si>
    <t>Pick Up / Station Wagon / Mini Bus||Check and replace pitman arm</t>
  </si>
  <si>
    <t>Remove &amp; replace leaf spring Front (single)</t>
  </si>
  <si>
    <t>Pick Up / Station Wagon / Mini Bus||Remove &amp; replace leaf spring Front (single)</t>
  </si>
  <si>
    <t>Remove &amp; replace leaf spring rear (single)</t>
  </si>
  <si>
    <t>Pick Up / Station Wagon / Mini Bus||Remove &amp; replace leaf spring rear (single)</t>
  </si>
  <si>
    <t>Steering pump (Vane pump) Changing</t>
  </si>
  <si>
    <t>Pick Up / Station Wagon / Mini Bus||Steering pump (Vane pump) Changing</t>
  </si>
  <si>
    <t>Steering Column repair</t>
  </si>
  <si>
    <t>Pick Up / Station Wagon / Mini Bus||Steering Column repair</t>
  </si>
  <si>
    <t>Wheel Alignment Adjusting</t>
  </si>
  <si>
    <t>Pick Up / Station Wagon / Mini Bus||Wheel Alignment Adjusting</t>
  </si>
  <si>
    <t>Pick Up / Station Wagon / Mini Bus||Changing Upper/Lower Suspension arm Ball Joint</t>
  </si>
  <si>
    <t>Pick Up / Station Wagon / Mini Bus||Change /adjust Spring Torsion bar</t>
  </si>
  <si>
    <t>Pick Up / Station Wagon / Mini Bus||Change/adjust Steering Drag link(single)</t>
  </si>
  <si>
    <t>Change Stabilizer bar Bushing /link(single)</t>
  </si>
  <si>
    <t>Pick Up / Station Wagon / Mini Bus||Change Stabilizer bar Bushing /link(single)</t>
  </si>
  <si>
    <t>Change leaf spring U bolt /single/</t>
  </si>
  <si>
    <t>Pick Up / Station Wagon / Mini Bus||Change leaf spring U bolt /single/</t>
  </si>
  <si>
    <t>Change leaf spring Shackle /pin kit(single)</t>
  </si>
  <si>
    <t>Pick Up / Station Wagon / Mini Bus||Change leaf spring Shackle /pin kit(single)</t>
  </si>
  <si>
    <t>Pick Up / Station Wagon / Mini Bus||Change Power steering hose</t>
  </si>
  <si>
    <t>Pick Up / Station Wagon / Mini Bus||Remove &amp; refit Steering damper</t>
  </si>
  <si>
    <t>Pick Up / Station Wagon / Mini Bus||Change Steering idler arm</t>
  </si>
  <si>
    <t>Pick Up / Station Wagon / Mini Bus||Adjust toe in &amp; Toe out</t>
  </si>
  <si>
    <t>Pick Up / Station Wagon / Mini Bus||Changing Upper or lower Control arm Bushing</t>
  </si>
  <si>
    <t>Pick Up / Station Wagon / Mini Bus||Bleeding Air From Steering System</t>
  </si>
  <si>
    <t>Changing Leading Arm Assy</t>
  </si>
  <si>
    <t>Pick Up / Station Wagon / Mini Bus||Changing Leading Arm Assy</t>
  </si>
  <si>
    <t>Changing Control arm Assy single</t>
  </si>
  <si>
    <t>Pick Up / Station Wagon / Mini Bus||Changing Control arm Assy single</t>
  </si>
  <si>
    <t>Changing Lateral arm assy single</t>
  </si>
  <si>
    <t>Pick Up / Station Wagon / Mini Bus||Changing Lateral arm assy single</t>
  </si>
  <si>
    <t>Pick Up / Station Wagon / Mini Bus||Changing Steering Knuckle Stopper Bushing (single)</t>
  </si>
  <si>
    <t>Pick Up / Station Wagon / Mini Bus||Changing Steering gear box power Steering</t>
  </si>
  <si>
    <t>Pick Up / Station Wagon / Mini Bus||Changing Steering gear box Mechanical</t>
  </si>
  <si>
    <t>Pick Up / Station Wagon / Mini Bus||Change Engine Support (single)</t>
  </si>
  <si>
    <t>Pick Up / Station Wagon / Mini Bus||Change Valve Cover Gasket</t>
  </si>
  <si>
    <t>Pick Up / Station Wagon / Mini Bus||Change Engine oil Sump</t>
  </si>
  <si>
    <t>Pick Up / Station Wagon / Mini Bus||Adjust Valve Clearance Screw Type</t>
  </si>
  <si>
    <t>Pick Up / Station Wagon / Mini Bus||Adjust Valve Clearance shim Type</t>
  </si>
  <si>
    <t>Change exhaust Manifold gasket /single/</t>
  </si>
  <si>
    <t>Pick Up / Station Wagon / Mini Bus||Change exhaust Manifold gasket /single/</t>
  </si>
  <si>
    <t>Change Intake Manifold gasket /single/</t>
  </si>
  <si>
    <t>Pick Up / Station Wagon / Mini Bus||Change Intake Manifold gasket /single/</t>
  </si>
  <si>
    <t>Pick Up / Station Wagon / Mini Bus||Change Exhaust pipe gasket</t>
  </si>
  <si>
    <t>Pick Up / Station Wagon / Mini Bus||Change fan belt, AC or Steering Belt single</t>
  </si>
  <si>
    <t>Pick Up / Station Wagon / Mini Bus||Changing Cooling fan</t>
  </si>
  <si>
    <t>Pick Up / Station Wagon / Mini Bus||Change T Belt</t>
  </si>
  <si>
    <t>Pick Up / Station Wagon / Mini Bus||Change carburetor</t>
  </si>
  <si>
    <t>Pick Up / Station Wagon / Mini Bus||Dismount &amp; remount Nozzle single</t>
  </si>
  <si>
    <t>Change injection Pump</t>
  </si>
  <si>
    <t>Pick Up / Station Wagon / Mini Bus||Change injection Pump</t>
  </si>
  <si>
    <t>Change Fuel Pump/Feed pump</t>
  </si>
  <si>
    <t>Pick Up / Station Wagon / Mini Bus||Change Fuel Pump/Feed pump</t>
  </si>
  <si>
    <t>Change Turbocharger</t>
  </si>
  <si>
    <t>Pick Up / Station Wagon / Mini Bus||Change Turbocharger</t>
  </si>
  <si>
    <t>Pick Up / Station Wagon / Mini Bus||Remove &amp; install Exhaust Pipe Muffler</t>
  </si>
  <si>
    <t>Pick Up / Station Wagon / Mini Bus||Perform Engine Compression Test</t>
  </si>
  <si>
    <t>Pick Up / Station Wagon / Mini Bus||Check and Adjust timing</t>
  </si>
  <si>
    <t>change rear crankshaft seal</t>
  </si>
  <si>
    <t>Pick Up / Station Wagon / Mini Bus||change rear crankshaft seal</t>
  </si>
  <si>
    <t>change Front crankshaft seal</t>
  </si>
  <si>
    <t>Pick Up / Station Wagon / Mini Bus||change Front crankshaft seal</t>
  </si>
  <si>
    <t>Pick Up / Station Wagon / Mini Bus||Change camshaft seal</t>
  </si>
  <si>
    <t>Pick Up / Station Wagon / Mini Bus||Change/repair water pump</t>
  </si>
  <si>
    <t>Change Idle pulley/single</t>
  </si>
  <si>
    <t>Pick Up / Station Wagon / Mini Bus||Change Idle pulley/single</t>
  </si>
  <si>
    <t>Pick Up / Station Wagon / Mini Bus||Remove &amp; install fuel tank /single</t>
  </si>
  <si>
    <t>Pick Up / Station Wagon / Mini Bus||Remove and install engine</t>
  </si>
  <si>
    <t>Pick Up / Station Wagon / Mini Bus||Engine Flashing</t>
  </si>
  <si>
    <t>Pick Up / Station Wagon / Mini Bus||Change engine Crankshaft pulley</t>
  </si>
  <si>
    <t>Pick Up / Station Wagon / Mini Bus||Change fan shroud</t>
  </si>
  <si>
    <t>Pick Up / Station Wagon / Mini Bus||Change Exhaust pipe cushion</t>
  </si>
  <si>
    <t>Change Suction /Return fuel line</t>
  </si>
  <si>
    <t>Pick Up / Station Wagon / Mini Bus||Change Suction /Return fuel line</t>
  </si>
  <si>
    <t>Change Pressure fuel line</t>
  </si>
  <si>
    <t>Pick Up / Station Wagon / Mini Bus||Change Pressure fuel line</t>
  </si>
  <si>
    <t>Pick Up / Station Wagon / Mini Bus||Remove &amp; Replace Oil Pump</t>
  </si>
  <si>
    <t>Repair Radiator</t>
  </si>
  <si>
    <t>Pick Up / Station Wagon / Mini Bus||Repair Radiator</t>
  </si>
  <si>
    <t>Pick Up / Station Wagon / Mini Bus||Radiator Flash</t>
  </si>
  <si>
    <t>Pick Up / Station Wagon / Mini Bus||Replacing Radiator Cap</t>
  </si>
  <si>
    <t>Change radiator Upper/Lower hose</t>
  </si>
  <si>
    <t>Pick Up / Station Wagon / Mini Bus||Change radiator Upper/Lower hose</t>
  </si>
  <si>
    <t>Pick Up / Station Wagon / Mini Bus||Remove &amp; Install Radiator</t>
  </si>
  <si>
    <t>Pick Up / Station Wagon / Mini Bus||Change Front Windshield Glass</t>
  </si>
  <si>
    <t>Pick Up / Station Wagon / Mini Bus||Change Door Glass (Single)</t>
  </si>
  <si>
    <t>Pick Up / Station Wagon / Mini Bus||Change Window Regulator Normal (Single)</t>
  </si>
  <si>
    <t>Pick Up / Station Wagon / Mini Bus||Repair Window Regulator Normal (Single)</t>
  </si>
  <si>
    <t>Pick Up / Station Wagon / Mini Bus||Change Side View Mirror (Single)</t>
  </si>
  <si>
    <t>Pick Up / Station Wagon / Mini Bus||Change Door Lock Mechanism (Single)</t>
  </si>
  <si>
    <t>Pick Up / Station Wagon / Mini Bus||Repair Door Lock Mechanism (Single)</t>
  </si>
  <si>
    <t>Pick Up / Station Wagon / Mini Bus||Change Door Handle Inner/Outer (Single)</t>
  </si>
  <si>
    <t>Pick Up / Station Wagon / Mini Bus||Repair Door Handle Inner/Outer (Single)</t>
  </si>
  <si>
    <t>Pick Up / Station Wagon / Mini Bus||Change Engine Hood Lock</t>
  </si>
  <si>
    <t>Pick Up / Station Wagon / Mini Bus||Repair Engine Hood Lock</t>
  </si>
  <si>
    <t>Pick Up / Station Wagon / Mini Bus||Change Engine Hood Lock Cable</t>
  </si>
  <si>
    <t>Pick Up / Station Wagon / Mini Bus||Change Door Weather Strip (Single)</t>
  </si>
  <si>
    <t>Change Loading Box latch (Single)</t>
  </si>
  <si>
    <t>Pick Up / Station Wagon / Mini Bus||Change Loading Box latch (Single)</t>
  </si>
  <si>
    <t>Repair Latch (Single)</t>
  </si>
  <si>
    <t>Pick Up / Station Wagon / Mini Bus||Repair Latch (Single)</t>
  </si>
  <si>
    <t>Change Spare Tire Carrier</t>
  </si>
  <si>
    <t>Pick Up / Station Wagon / Mini Bus||Change Spare Tire Carrier</t>
  </si>
  <si>
    <t>Pick Up / Station Wagon / Mini Bus||Change Door Hinge (Single)</t>
  </si>
  <si>
    <t>Pick Up / Station Wagon / Mini Bus||Change Door Glass Channel (Single)</t>
  </si>
  <si>
    <t>Pick Up / Station Wagon / Mini Bus||Change FR &amp; Rear Apron (Single)</t>
  </si>
  <si>
    <t>Pick Up / Station Wagon / Mini Bus||Change FR &amp; Rear Bumper</t>
  </si>
  <si>
    <t>Repair of Front or Rear Bumper</t>
  </si>
  <si>
    <t>Pick Up / Station Wagon / Mini Bus||Repair of Front or Rear Bumper</t>
  </si>
  <si>
    <t>Pick Up / Station Wagon / Mini Bus||Change Radiator Grill</t>
  </si>
  <si>
    <t>Pick Up / Station Wagon / Mini Bus||Change FR Fender (Single)</t>
  </si>
  <si>
    <t>Pick Up / Station Wagon / Mini Bus||Change Dash Board</t>
  </si>
  <si>
    <t>Pick Up / Station Wagon / Mini Bus||Fix Plate No. Both</t>
  </si>
  <si>
    <t>Pick Up / Station Wagon / Mini Bus||Fix Engine Hood Heat Protector</t>
  </si>
  <si>
    <t>Pick Up / Station Wagon / Mini Bus||Weld Seat Frame</t>
  </si>
  <si>
    <t>Pick Up / Station Wagon / Mini Bus||Change Mud Guard</t>
  </si>
  <si>
    <t>wheel (mud guard )liners</t>
  </si>
  <si>
    <t>Pick Up / Station Wagon / Mini Bus||wheel (mud guard )liners</t>
  </si>
  <si>
    <t>Remove &amp; Replace Seat (Single)</t>
  </si>
  <si>
    <t>Pick Up / Station Wagon / Mini Bus||Remove &amp; Replace Seat (Single)</t>
  </si>
  <si>
    <t>Pick Up / Station Wagon / Mini Bus||Change Sun Visor</t>
  </si>
  <si>
    <t>Heavy</t>
  </si>
  <si>
    <t>Heavy Truck</t>
  </si>
  <si>
    <t>Heavy_Truck</t>
  </si>
  <si>
    <t>I. Inspecting, Testing and Receiving or Handover of Vehicles</t>
  </si>
  <si>
    <t>Wash, Inspect and Receive the equipment</t>
  </si>
  <si>
    <t>Heavy Truck||Wash, Inspect and Receive the equipment</t>
  </si>
  <si>
    <t>Inspect, Test and Handover the equipment</t>
  </si>
  <si>
    <t>Heavy Truck||Inspect, Test and Handover the equipment</t>
  </si>
  <si>
    <t>Heavy Truck||Changing the Engine Oil &amp; Oil filter</t>
  </si>
  <si>
    <t>Inspection of Mechanical &amp; Electrical Parts and all Fluids top Upping &amp; Greasing</t>
  </si>
  <si>
    <t>Heavy Truck||Inspection of Mechanical &amp; Electrical Parts and all Fluids top Upping &amp; Greasing</t>
  </si>
  <si>
    <t>Heavy Truck||Perform all activities in General Service "A"</t>
  </si>
  <si>
    <t>Heavy Truck||Change Fuel filter</t>
  </si>
  <si>
    <t>Heavy Truck||Check the condition &amp; Security of seat</t>
  </si>
  <si>
    <t>Heavy Truck||Lubricating Front Wheel Hub Bearing and Steering knuckle both side</t>
  </si>
  <si>
    <t>Servicing Front &amp; rear Brakes, Hoses, Lines and Hand Brakes</t>
  </si>
  <si>
    <t>Heavy Truck||Servicing Front &amp; rear Brakes, Hoses, Lines and Hand Brakes</t>
  </si>
  <si>
    <t>Heavy Truck||Changing Air Cleaner</t>
  </si>
  <si>
    <t>Heavy Truck||Perform all activities in General Service "B"</t>
  </si>
  <si>
    <t>Renew Hub Grease Single wheels</t>
  </si>
  <si>
    <t>Heavy Truck||Renew Hub Grease Single wheels</t>
  </si>
  <si>
    <t>Heavy Truck||Change all Gear oil (Transmission Oil &amp; Differential oil)</t>
  </si>
  <si>
    <t>Servicing of relay end &amp; tie rod ends and steering gear box, Steering Damper</t>
  </si>
  <si>
    <t>Heavy Truck||Servicing of relay end &amp; tie rod ends and steering gear box, Steering Damper</t>
  </si>
  <si>
    <t>Replacing of belts and Hoses</t>
  </si>
  <si>
    <t>Heavy Truck||Replacing of belts and Hoses</t>
  </si>
  <si>
    <t>Heavy Truck||Adjust Valve Clearance Screw Type</t>
  </si>
  <si>
    <t>Heavy Truck||Check and tightening bolts &amp; nuts on Chassis &amp; Body</t>
  </si>
  <si>
    <t>IV. General Service D = 40,000 KM</t>
  </si>
  <si>
    <t>Heavy Truck||Perform all activities in General Service "C"</t>
  </si>
  <si>
    <t>Replace Shock absorbers, Stabilizer Bushings &amp; Arm Bushings if necessary</t>
  </si>
  <si>
    <t>Heavy Truck||Replace Shock absorbers, Stabilizer Bushings &amp; Arm Bushings if necessary</t>
  </si>
  <si>
    <t>Changing Clutch &amp; Power steering fluid</t>
  </si>
  <si>
    <t>Heavy Truck||Changing Clutch &amp; Power steering fluid</t>
  </si>
  <si>
    <t>Change brake shoe set /Single/</t>
  </si>
  <si>
    <t>Heavy Truck||Change brake shoe set /Single/</t>
  </si>
  <si>
    <t>Heavy Truck||Check and Adjust engine Intake and Exhaust Valves</t>
  </si>
  <si>
    <t>Heavy Truck||Check &amp; adjust Front wheel toe in and toe out</t>
  </si>
  <si>
    <t>V. Engine Repair</t>
  </si>
  <si>
    <t>Heavy Truck||Engine Tune-Up</t>
  </si>
  <si>
    <t>Heavy Truck||Dismounting Engine</t>
  </si>
  <si>
    <t>Wash &amp; Clean Engine Parts</t>
  </si>
  <si>
    <t>Heavy Truck||Wash &amp; Clean Engine Parts</t>
  </si>
  <si>
    <t>Engine Top Overhaul</t>
  </si>
  <si>
    <t>Heavy Truck||Engine Top Overhaul</t>
  </si>
  <si>
    <t>Heavy Truck||Engine Overhaul</t>
  </si>
  <si>
    <t>Repair Turbo charger</t>
  </si>
  <si>
    <t>Heavy Truck||Repair Turbo charger</t>
  </si>
  <si>
    <t>Mounting and Test Engine</t>
  </si>
  <si>
    <t>Heavy Truck||Mounting and Test Engine</t>
  </si>
  <si>
    <t>Heavy Truck||Change Engine Support (single)</t>
  </si>
  <si>
    <t>Heavy Truck||Change rear crankshaft seal</t>
  </si>
  <si>
    <t>Heavy Truck||Change Front crankshaft seal</t>
  </si>
  <si>
    <t>Heavy Truck||Change engine Crankshaft pulley</t>
  </si>
  <si>
    <t>Heavy Truck||Overhaul Gear box</t>
  </si>
  <si>
    <t>Heavy Truck||Overhaul Transfer case</t>
  </si>
  <si>
    <t>Heavy Truck||Overhaul Differential rear</t>
  </si>
  <si>
    <t>Heavy Truck||Overhaul Steering box /Power</t>
  </si>
  <si>
    <t>Overhaul Engine Crank Case</t>
  </si>
  <si>
    <t>Heavy Truck||Overhaul Engine Crank Case</t>
  </si>
  <si>
    <t>Overhaul Air Compressor</t>
  </si>
  <si>
    <t>Heavy Truck||Overhaul Air Compressor</t>
  </si>
  <si>
    <t>Overhaul Hub reduction Gear front/rear single</t>
  </si>
  <si>
    <t>Heavy Truck||Overhaul Hub reduction Gear front/rear single</t>
  </si>
  <si>
    <t>VI. Engine and Engine Accessories</t>
  </si>
  <si>
    <t>Heavy Truck||Change Valve Cover Gasket</t>
  </si>
  <si>
    <t>Heavy Truck||Change Engine oil Sump</t>
  </si>
  <si>
    <t>Heavy Truck||Change exhaust Manifold gasket /single/</t>
  </si>
  <si>
    <t>Heavy Truck||Change Intake Manifold gasket /single/</t>
  </si>
  <si>
    <t>Heavy Truck||Change Exhaust pipe gasket</t>
  </si>
  <si>
    <t>Heavy Truck||Changing Cooling fan</t>
  </si>
  <si>
    <t>Replace Injector Nozzle single</t>
  </si>
  <si>
    <t>Heavy Truck||Replace Injector Nozzle single</t>
  </si>
  <si>
    <t>Replace injection Pump</t>
  </si>
  <si>
    <t>Heavy Truck||Replace injection Pump</t>
  </si>
  <si>
    <t>Replace Fuel Pump/Feed pump</t>
  </si>
  <si>
    <t>Heavy Truck||Replace Fuel Pump/Feed pump</t>
  </si>
  <si>
    <t>Replace Turbocharger</t>
  </si>
  <si>
    <t>Heavy Truck||Replace Turbocharger</t>
  </si>
  <si>
    <t>Replace Exhaust Pipe Muffler</t>
  </si>
  <si>
    <t>Heavy Truck||Replace Exhaust Pipe Muffler</t>
  </si>
  <si>
    <t>Heavy Truck||Check and Adjust timing</t>
  </si>
  <si>
    <t>Heavy Truck||Change camshaft seal</t>
  </si>
  <si>
    <t>Heavy Truck||Change/repair water pump</t>
  </si>
  <si>
    <t>Heavy Truck||Change Idle pulley/single</t>
  </si>
  <si>
    <t>Heavy Truck||Remove &amp; install fuel tank /single</t>
  </si>
  <si>
    <t>Heavy Truck||Engine Flashing</t>
  </si>
  <si>
    <t>Heavy Truck||Change fan shroud</t>
  </si>
  <si>
    <t>Heavy Truck||Change Exhaust pipe cushion</t>
  </si>
  <si>
    <t>Heavy Truck||Change Suction /Return fuel line</t>
  </si>
  <si>
    <t>Heavy Truck||Change Pressure fuel line</t>
  </si>
  <si>
    <t>VII. Power Transmission &amp; Drive Line Repair</t>
  </si>
  <si>
    <t>Heavy Truck||Replace Clutch Disc/pressure plate/release bearing</t>
  </si>
  <si>
    <t>Heavy Truck||Replace Pilot bearing</t>
  </si>
  <si>
    <t>Heavy Truck||Adjusting Shifting Lever Linkage</t>
  </si>
  <si>
    <t>Heavy Truck||Flange seal changing of gear box single</t>
  </si>
  <si>
    <t>Heavy Truck||Flange seal of differential single</t>
  </si>
  <si>
    <t>Heavy Truck||Check &amp; replace Spider kit</t>
  </si>
  <si>
    <t>Heavy Truck||Replace Center Bearing</t>
  </si>
  <si>
    <t>Heavy Truck||Changing differential gasket full floating</t>
  </si>
  <si>
    <t>Heavy Truck||Axle housing Changing rear</t>
  </si>
  <si>
    <t>Heavy Truck||Changing Clutch Slave cylinder repair kit</t>
  </si>
  <si>
    <t>Heavy Truck||Changing Clutch Master cylinder repair kit</t>
  </si>
  <si>
    <t>Heavy Truck||Remove &amp; Install Gear box</t>
  </si>
  <si>
    <t>Heavy Truck||Changing Propeller shaft single</t>
  </si>
  <si>
    <t>Heavy Truck||Adjust Clutch Mechanism</t>
  </si>
  <si>
    <t>Heavy Truck||Changing rear axle shaft full float single</t>
  </si>
  <si>
    <t>Heavy Truck||Changing wheel stud Single</t>
  </si>
  <si>
    <t>High &amp; Low gear repair</t>
  </si>
  <si>
    <t>Heavy Truck||High &amp; Low gear repair</t>
  </si>
  <si>
    <t>Heavy Truck||Changing Flywheel and ring gear</t>
  </si>
  <si>
    <t>Heavy Truck||Change Bearing/King pin Kit single</t>
  </si>
  <si>
    <t>Heavy Truck||Change oil seal single FF axle</t>
  </si>
  <si>
    <t>Heavy Truck||Change oil seal single RR axle</t>
  </si>
  <si>
    <t>Heavy Truck||Changing Clutch Master Cylinder Assy</t>
  </si>
  <si>
    <t>Heavy Truck||Changing Broken Knuckle Stud/Single</t>
  </si>
  <si>
    <t>Heavy Truck||Change Gear box Support /single /</t>
  </si>
  <si>
    <t>Replace Differential</t>
  </si>
  <si>
    <t>Heavy Truck||Replace Differential</t>
  </si>
  <si>
    <t>Overhauling Differential</t>
  </si>
  <si>
    <t>Heavy Truck||Overhauling Differential</t>
  </si>
  <si>
    <t>VIII. Brakes</t>
  </si>
  <si>
    <t>Brake Drum Replacing /Single/</t>
  </si>
  <si>
    <t>Heavy Truck||Brake Drum Replacing /Single/</t>
  </si>
  <si>
    <t>Repair/Replace Brake Tubes</t>
  </si>
  <si>
    <t>Heavy Truck||Repair/Replace Brake Tubes</t>
  </si>
  <si>
    <t>Hand brake Air valve Repair</t>
  </si>
  <si>
    <t>Heavy Truck||Hand brake Air valve Repair</t>
  </si>
  <si>
    <t>Foot brake valve repair</t>
  </si>
  <si>
    <t>Heavy Truck||Foot brake valve repair</t>
  </si>
  <si>
    <t>Air regulator valve repair</t>
  </si>
  <si>
    <t>Heavy Truck||Air regulator valve repair</t>
  </si>
  <si>
    <t>Four way protection valve repair</t>
  </si>
  <si>
    <t>Heavy Truck||Four way protection valve repair</t>
  </si>
  <si>
    <t>Diff-lock Valve repair</t>
  </si>
  <si>
    <t>Heavy Truck||Diff-lock Valve repair</t>
  </si>
  <si>
    <t>Engine Brake /Exhaust Brake/ repair</t>
  </si>
  <si>
    <t>Heavy Truck||Engine Brake /Exhaust Brake/ repair</t>
  </si>
  <si>
    <t>Relay valve repair</t>
  </si>
  <si>
    <t>Heavy Truck||Relay valve repair</t>
  </si>
  <si>
    <t>Two way valve repair</t>
  </si>
  <si>
    <t>Heavy Truck||Two way valve repair</t>
  </si>
  <si>
    <t>Trailer Control Valve</t>
  </si>
  <si>
    <t>Heavy Truck||Trailer Control Valve</t>
  </si>
  <si>
    <t>Slack Adjuster replace/ single</t>
  </si>
  <si>
    <t>Heavy Truck||Slack Adjuster replace/ single</t>
  </si>
  <si>
    <t>Hand Brake Chamber repair</t>
  </si>
  <si>
    <t>Heavy Truck||Hand Brake Chamber repair</t>
  </si>
  <si>
    <t>Combination Brake Chamber repair</t>
  </si>
  <si>
    <t>Heavy Truck||Combination Brake Chamber repair</t>
  </si>
  <si>
    <t>High &amp; Low Valve repair</t>
  </si>
  <si>
    <t>Heavy Truck||High &amp; Low Valve repair</t>
  </si>
  <si>
    <t>IX. Steering &amp; Suspension System 0</t>
  </si>
  <si>
    <t>Replace Shock Absorber/Suspension (single) normal</t>
  </si>
  <si>
    <t>Heavy Truck||Replace Shock Absorber/Suspension (single) normal</t>
  </si>
  <si>
    <t>Replace rear rubber bumper</t>
  </si>
  <si>
    <t>Heavy Truck||Replace rear rubber bumper</t>
  </si>
  <si>
    <t>Heavy Truck||Adjust Steering wheel Excessive play</t>
  </si>
  <si>
    <t>Heavy Truck||Check and replace tie rod end (single)</t>
  </si>
  <si>
    <t>Heavy Truck||Check and replace pitman arm</t>
  </si>
  <si>
    <t>Heavy Truck||Remove &amp; replace leaf spring Front (single)</t>
  </si>
  <si>
    <t>Heavy Truck||Remove &amp; replace leaf spring rear (single)</t>
  </si>
  <si>
    <t>Heavy Truck||Overhauling Steering vane pump</t>
  </si>
  <si>
    <t>Steering pump (Vane pump Assy) Replace</t>
  </si>
  <si>
    <t>Heavy Truck||Steering pump (Vane pump Assy) Replace</t>
  </si>
  <si>
    <t>Heavy Truck||Steering Column replace</t>
  </si>
  <si>
    <t>Adjust Steering Drag link(single)</t>
  </si>
  <si>
    <t>Heavy Truck||Adjust Steering Drag link(single)</t>
  </si>
  <si>
    <t>Heavy Truck||Change Stabilizer bar Bushing /link(single)</t>
  </si>
  <si>
    <t>Change leaf spring U bolt Front /single/</t>
  </si>
  <si>
    <t>Heavy Truck||Change leaf spring U bolt Front /single/</t>
  </si>
  <si>
    <t>Change leaf spring U bolt Rear /single/</t>
  </si>
  <si>
    <t>Heavy Truck||Change leaf spring U bolt Rear /single/</t>
  </si>
  <si>
    <t>Heavy Truck||Change leaf spring Shackle /pin kit(single)</t>
  </si>
  <si>
    <t>Heavy Truck||Change Power steering hose</t>
  </si>
  <si>
    <t>Change Cabin Shock Absorber(single )</t>
  </si>
  <si>
    <t>Heavy Truck||Change Cabin Shock Absorber(single )</t>
  </si>
  <si>
    <t>Repair Cabin lifter</t>
  </si>
  <si>
    <t>Heavy Truck||Repair Cabin lifter</t>
  </si>
  <si>
    <t>Repair /Replace/ cabin lift piston</t>
  </si>
  <si>
    <t>Heavy Truck||Repair /Replace/ cabin lift piston</t>
  </si>
  <si>
    <t>Heavy Truck||Change Steering idler arm</t>
  </si>
  <si>
    <t>Heavy Truck||Bleeding Air From Steering System</t>
  </si>
  <si>
    <t>Heavy Truck||Changing Steering Knuckle Stopper Bushing (single)</t>
  </si>
  <si>
    <t>Replace Steering gear box /Power Steering/</t>
  </si>
  <si>
    <t>Heavy Truck||Replace Steering gear box /Power Steering/</t>
  </si>
  <si>
    <t>Repairing or replacing Shock absorber pin single</t>
  </si>
  <si>
    <t>Heavy Truck||Repairing or replacing Shock absorber pin single</t>
  </si>
  <si>
    <t>Heavy Truck||Repair Radiator</t>
  </si>
  <si>
    <t>Heavy Truck||Radiator Flash</t>
  </si>
  <si>
    <t>Heavy Truck||Replacing Radiator Cap</t>
  </si>
  <si>
    <t>Heavy Truck||Change radiator Upper/Lower hose</t>
  </si>
  <si>
    <t>Heavy Truck||Remove &amp; Install Radiator</t>
  </si>
  <si>
    <t>XI. Body/Frame 0</t>
  </si>
  <si>
    <t>Heavy Truck||Change Front Windshield Glass</t>
  </si>
  <si>
    <t>Heavy Truck||Change Door Glass (Single)</t>
  </si>
  <si>
    <t>Heavy Truck||Change Window Regulator Normal (Single)</t>
  </si>
  <si>
    <t>Heavy Truck||Repair Window Regulator Normal (Single)</t>
  </si>
  <si>
    <t>Heavy Truck||Change Side View Mirror (Single)</t>
  </si>
  <si>
    <t>Heavy Truck||Change Door Lock Mechanism (Single)</t>
  </si>
  <si>
    <t>Heavy Truck||Repair Door Lock Mechanism (Single)</t>
  </si>
  <si>
    <t>Heavy Truck||Change Door Handle Inner/Outer (Single)</t>
  </si>
  <si>
    <t>Heavy Truck||Repair Door Handle Inner/Outer (Single)</t>
  </si>
  <si>
    <t>Heavy Truck||Change Engine Hood Lock</t>
  </si>
  <si>
    <t>Heavy Truck||Repair Engine Hood Lock</t>
  </si>
  <si>
    <t>Heavy Truck||Change Engine Hood Lock Cable</t>
  </si>
  <si>
    <t>Heavy Truck||Change Door Weather Strip (Single)</t>
  </si>
  <si>
    <t>Heavy Truck||Change Spare Tire Carrier</t>
  </si>
  <si>
    <t>Heavy Truck||Change Door Hinge (Single)</t>
  </si>
  <si>
    <t>Heavy Truck||Change Door Glass Channel (Single)</t>
  </si>
  <si>
    <t>Heavy Truck||Change FR &amp; Rear Apron (Single)</t>
  </si>
  <si>
    <t>Heavy Truck||Change FR &amp; Rear Bumper</t>
  </si>
  <si>
    <t>Heavy Truck||Change Radiator Grill</t>
  </si>
  <si>
    <t>Heavy Truck||Change FR Fender (Single)</t>
  </si>
  <si>
    <t>Heavy Truck||Change Dash Board</t>
  </si>
  <si>
    <t>Heavy Truck||Fix Plate No. Both</t>
  </si>
  <si>
    <t>Heavy Truck||Fix Engine Hood Heat Protector</t>
  </si>
  <si>
    <t>Heavy Truck||Weld Seat Frame</t>
  </si>
  <si>
    <t>Heavy Truck||Change Mud Guard</t>
  </si>
  <si>
    <t>Heavy Truck||Repair or Replace wheel (mud guard )liners</t>
  </si>
  <si>
    <t>Heavy Truck||Remove &amp; Replace Seat (Single)</t>
  </si>
  <si>
    <t>Heavy Truck||Change Sun Visor</t>
  </si>
  <si>
    <t>Fix Foot Step Single</t>
  </si>
  <si>
    <t>Heavy Truck||Fix Foot Step Single</t>
  </si>
  <si>
    <t>Machinery</t>
  </si>
  <si>
    <t>Earth Moving Machinery (General PM &amp; Engine)</t>
  </si>
  <si>
    <t>Earth_Moving_Machinery_General_PM_Engine</t>
  </si>
  <si>
    <t>I. Inspecting, Testing and Receiving or Handover of Equipment</t>
  </si>
  <si>
    <t>Earth Moving Machinery (General PM &amp; Engine)||Wash, Inspect and Receive the equipment</t>
  </si>
  <si>
    <t>Earth Moving Machinery (General PM &amp; Engine)||Inspect, Test and Handover the equipment</t>
  </si>
  <si>
    <t>II. Every 250 Service Hours or Monthly</t>
  </si>
  <si>
    <t>Inspect/ Adjust or Replace belt</t>
  </si>
  <si>
    <t>Earth Moving Machinery (General PM &amp; Engine)||Inspect/ Adjust or Replace belt</t>
  </si>
  <si>
    <t>Check Braking System</t>
  </si>
  <si>
    <t>Earth Moving Machinery (General PM &amp; Engine)||Check Braking System</t>
  </si>
  <si>
    <t>Check Differential and Final Drive Oil Level, Lubricate Drive Shaft Spline (Center)</t>
  </si>
  <si>
    <t>Earth Moving Machinery (General PM &amp; Engine)||Check Differential and Final Drive Oil Level, Lubricate Drive Shaft Spline (Center)</t>
  </si>
  <si>
    <t>Inspect Engine Air Filter Service Indicator, Change Engine Oil and Filter</t>
  </si>
  <si>
    <t>Earth Moving Machinery (General PM &amp; Engine)||Inspect Engine Air Filter Service Indicator, Change Engine Oil and Filter</t>
  </si>
  <si>
    <t>Grease Service</t>
  </si>
  <si>
    <t>Earth Moving Machinery (General PM &amp; Engine)||Grease Service</t>
  </si>
  <si>
    <t>III. Every 500 Service Hours or 3 months</t>
  </si>
  <si>
    <t>Perform all activities of 250 hr. service</t>
  </si>
  <si>
    <t>Earth Moving Machinery (General PM &amp; Engine)||Perform all activities of 250 hr. service</t>
  </si>
  <si>
    <t>Check Cooling System or Coolant</t>
  </si>
  <si>
    <t>Earth Moving Machinery (General PM &amp; Engine)||Check Cooling System or Coolant</t>
  </si>
  <si>
    <t>Check Hydraulic System Oil level and Transmission Oil level</t>
  </si>
  <si>
    <t>Earth Moving Machinery (General PM &amp; Engine)||Check Hydraulic System Oil level and Transmission Oil level</t>
  </si>
  <si>
    <t>Replace Fuel System Primary &amp; secondary Filter or Water Separator</t>
  </si>
  <si>
    <t>Earth Moving Machinery (General PM &amp; Engine)||Replace Fuel System Primary &amp; secondary Filter or Water Separator</t>
  </si>
  <si>
    <t>Clean Fuel Tank Cap and Strainer</t>
  </si>
  <si>
    <t>Earth Moving Machinery (General PM &amp; Engine)||Clean Fuel Tank Cap and Strainer</t>
  </si>
  <si>
    <t>IV. Every 1000 Service Hours or 6 Months</t>
  </si>
  <si>
    <t>Perform all activities of 500 hr. service</t>
  </si>
  <si>
    <t>Earth Moving Machinery (General PM &amp; Engine)||Perform all activities of 500 hr. service</t>
  </si>
  <si>
    <t>Check Battery</t>
  </si>
  <si>
    <t>Earth Moving Machinery (General PM &amp; Engine)||Check Battery</t>
  </si>
  <si>
    <t>Lubricate Fender Hinges, Universal Joints with center bearing</t>
  </si>
  <si>
    <t>Earth Moving Machinery (General PM &amp; Engine)||Lubricate Fender Hinges, Universal Joints with center bearing</t>
  </si>
  <si>
    <t>Inspect Rollover Protective Structure (ROPS)</t>
  </si>
  <si>
    <t>Earth Moving Machinery (General PM &amp; Engine)||Inspect Rollover Protective Structure (ROPS)</t>
  </si>
  <si>
    <t>Replace Hydraulic System Oil with Filter and Transmission Oil with Filter with Magnetic Filter of cooler</t>
  </si>
  <si>
    <t>Earth Moving Machinery (General PM &amp; Engine)||Replace Hydraulic System Oil with Filter and Transmission Oil with Filter with Magnetic Filter of cooler</t>
  </si>
  <si>
    <t>V. Every 2000 Service Hours or 1 Year</t>
  </si>
  <si>
    <t>Perform all activities of 1000 hr. service</t>
  </si>
  <si>
    <t>Earth Moving Machinery (General PM &amp; Engine)||Perform all activities of 1000 hr. service</t>
  </si>
  <si>
    <t>Change Differential and Final Drive Oil -</t>
  </si>
  <si>
    <t>Earth Moving Machinery (General PM &amp; Engine)||Change Differential and Final Drive Oil -</t>
  </si>
  <si>
    <t>Check and adjust engine valve lash or clearance</t>
  </si>
  <si>
    <t>Earth Moving Machinery (General PM &amp; Engine)||Check and adjust engine valve lash or clearance</t>
  </si>
  <si>
    <t>Lubricate Hood Tilt Actuator</t>
  </si>
  <si>
    <t>Earth Moving Machinery (General PM &amp; Engine)||Lubricate Hood Tilt Actuator</t>
  </si>
  <si>
    <t>VI. Engine Repair</t>
  </si>
  <si>
    <t>Earth Moving Machinery (General PM &amp; Engine)||Engine Tune-Up</t>
  </si>
  <si>
    <t>Earth Moving Machinery (General PM &amp; Engine)||Dismounting Engine</t>
  </si>
  <si>
    <t>Earth Moving Machinery (General PM &amp; Engine)||Wash &amp; Clean Engine Parts</t>
  </si>
  <si>
    <t>Earth Moving Machinery (General PM &amp; Engine)||Engine Top Overhaul</t>
  </si>
  <si>
    <t>Engine Over haul</t>
  </si>
  <si>
    <t>Earth Moving Machinery (General PM &amp; Engine)||Engine Over haul</t>
  </si>
  <si>
    <t>Engine Crank Case Overhaul</t>
  </si>
  <si>
    <t>Earth Moving Machinery (General PM &amp; Engine)||Engine Crank Case Overhaul</t>
  </si>
  <si>
    <t>Earth Moving Machinery (General PM &amp; Engine)||Repair Turbo charger</t>
  </si>
  <si>
    <t>Earth Moving Machinery (General PM &amp; Engine)||Mounting and Test Engine</t>
  </si>
  <si>
    <t>Earth Moving Machinery (General PM &amp; Engine)||Change Engine Support (single)</t>
  </si>
  <si>
    <t>Earth Moving Machinery (General PM &amp; Engine)||Change rear crankshaft seal</t>
  </si>
  <si>
    <t>Earth Moving Machinery (General PM &amp; Engine)||Change Front crankshaft seal</t>
  </si>
  <si>
    <t>Earth Moving Machinery (General PM &amp; Engine)||Change engine Crankshaft pulley</t>
  </si>
  <si>
    <t>VII. Cooling &amp; Lubrication System</t>
  </si>
  <si>
    <t>Repair Water pump</t>
  </si>
  <si>
    <t>Earth Moving Machinery (General PM &amp; Engine)||Repair Water pump</t>
  </si>
  <si>
    <t>Repair radiator</t>
  </si>
  <si>
    <t>Earth Moving Machinery (General PM &amp; Engine)||Repair radiator</t>
  </si>
  <si>
    <t>Repair after cooler</t>
  </si>
  <si>
    <t>Earth Moving Machinery (General PM &amp; Engine)||Repair after cooler</t>
  </si>
  <si>
    <t>Repair Fan drive and fan</t>
  </si>
  <si>
    <t>Earth Moving Machinery (General PM &amp; Engine)||Repair Fan drive and fan</t>
  </si>
  <si>
    <t>Change Fan Belt</t>
  </si>
  <si>
    <t>Earth Moving Machinery (General PM &amp; Engine)||Change Fan Belt</t>
  </si>
  <si>
    <t>Repair( Replace) engine oil Pump</t>
  </si>
  <si>
    <t>Earth Moving Machinery (General PM &amp; Engine)||Repair( Replace) engine oil Pump</t>
  </si>
  <si>
    <t>Replace Thermostat</t>
  </si>
  <si>
    <t>Earth Moving Machinery (General PM &amp; Engine)||Replace Thermostat</t>
  </si>
  <si>
    <t>Replace upper (Lower) hose</t>
  </si>
  <si>
    <t>Earth Moving Machinery (General PM &amp; Engine)||Replace upper (Lower) hose</t>
  </si>
  <si>
    <t>Radiator Flashing</t>
  </si>
  <si>
    <t>Earth Moving Machinery (General PM &amp; Engine)||Radiator Flashing</t>
  </si>
  <si>
    <t>VIII. Fuel System</t>
  </si>
  <si>
    <t>Repair Fuel Pump (Primary Pump)</t>
  </si>
  <si>
    <t>Earth Moving Machinery (General PM &amp; Engine)||Repair Fuel Pump (Primary Pump)</t>
  </si>
  <si>
    <t>Repair fuel line</t>
  </si>
  <si>
    <t>Earth Moving Machinery (General PM &amp; Engine)||Repair fuel line</t>
  </si>
  <si>
    <t>Check fuel injector Nozzle</t>
  </si>
  <si>
    <t>Earth Moving Machinery (General PM &amp; Engine)||Check fuel injector Nozzle</t>
  </si>
  <si>
    <t>Change fuel injector Nozzle single</t>
  </si>
  <si>
    <t>Earth Moving Machinery (General PM &amp; Engine)||Change fuel injector Nozzle single</t>
  </si>
  <si>
    <t>Bleed Air from Fuel System</t>
  </si>
  <si>
    <t>Earth Moving Machinery (General PM &amp; Engine)||Bleed Air from Fuel System</t>
  </si>
  <si>
    <t>Clean Fuel Tank</t>
  </si>
  <si>
    <t>Earth Moving Machinery (General PM &amp; Engine)||Clean Fuel Tank</t>
  </si>
  <si>
    <t>Dozer</t>
  </si>
  <si>
    <t>I. Hydraulic and Power Train System</t>
  </si>
  <si>
    <t>Repair Final Drive Single</t>
  </si>
  <si>
    <t>Dozer||Repair Final Drive Single</t>
  </si>
  <si>
    <t>Repair Torque converter relief valve</t>
  </si>
  <si>
    <t>Dozer||Repair Torque converter relief valve</t>
  </si>
  <si>
    <t>Repair Torque Converter</t>
  </si>
  <si>
    <t>Dozer||Repair Torque Converter</t>
  </si>
  <si>
    <t>Repair Power Shift Transmission control valve</t>
  </si>
  <si>
    <t>Dozer||Repair Power Shift Transmission control valve</t>
  </si>
  <si>
    <t>Repair Power Shift Transmission oil pump</t>
  </si>
  <si>
    <t>Dozer||Repair Power Shift Transmission oil pump</t>
  </si>
  <si>
    <t>Repair Brake control Valve</t>
  </si>
  <si>
    <t>Dozer||Repair Brake control Valve</t>
  </si>
  <si>
    <t>Repair Priority Valve</t>
  </si>
  <si>
    <t>Dozer||Repair Priority Valve</t>
  </si>
  <si>
    <t>Repair Travel Motor one side</t>
  </si>
  <si>
    <t>Dozer||Repair Travel Motor one side</t>
  </si>
  <si>
    <t>Overhaul Power Shift Transmission</t>
  </si>
  <si>
    <t>Dozer||Overhaul Power Shift Transmission</t>
  </si>
  <si>
    <t>Repair Track chain one side(replace all shoe)</t>
  </si>
  <si>
    <t>Dozer||Repair Track chain one side(replace all shoe)</t>
  </si>
  <si>
    <t>Repair (change) Sprocket (single side)</t>
  </si>
  <si>
    <t>Dozer||Repair (change) Sprocket (single side)</t>
  </si>
  <si>
    <t>Repair(replace) Track Roller one side</t>
  </si>
  <si>
    <t>Dozer||Repair(replace) Track Roller one side</t>
  </si>
  <si>
    <t>Repair Hub one side</t>
  </si>
  <si>
    <t>Dozer||Repair Hub one side</t>
  </si>
  <si>
    <t>Repair Track adjuster</t>
  </si>
  <si>
    <t>Dozer||Repair Track adjuster</t>
  </si>
  <si>
    <t>Repair Track Link(single)</t>
  </si>
  <si>
    <t>Dozer||Repair Track Link(single)</t>
  </si>
  <si>
    <t>Repair Carrier Rollers single</t>
  </si>
  <si>
    <t>Dozer||Repair Carrier Rollers single</t>
  </si>
  <si>
    <t>Repair/Replace Bogie single</t>
  </si>
  <si>
    <t>Dozer||Repair/Replace Bogie single</t>
  </si>
  <si>
    <t>Repair Idler</t>
  </si>
  <si>
    <t>Dozer||Repair Idler</t>
  </si>
  <si>
    <t>Replace Blade lift Cylinder seal kit, Single</t>
  </si>
  <si>
    <t>Dozer||Replace Blade lift Cylinder seal kit, Single</t>
  </si>
  <si>
    <t>Replace Blade Tilt Cylinder seal kit, Single</t>
  </si>
  <si>
    <t>Dozer||Replace Blade Tilt Cylinder seal kit, Single</t>
  </si>
  <si>
    <t>Repair Ripper lift and tilt cylinder seal kit, Single</t>
  </si>
  <si>
    <t>Dozer||Repair Ripper lift and tilt cylinder seal kit, Single</t>
  </si>
  <si>
    <t>Repair Hydraulic Control valve (implement valve)</t>
  </si>
  <si>
    <t>Dozer||Repair Hydraulic Control valve (implement valve)</t>
  </si>
  <si>
    <t>Repair Pressure control valve (Relief valve)</t>
  </si>
  <si>
    <t>Dozer||Repair Pressure control valve (Relief valve)</t>
  </si>
  <si>
    <t>Repair Hydraulic Pump</t>
  </si>
  <si>
    <t>Dozer||Repair Hydraulic Pump</t>
  </si>
  <si>
    <t>Repair Steering System</t>
  </si>
  <si>
    <t>Dozer||Repair Steering System</t>
  </si>
  <si>
    <t>Repair Ripper Divider Valve</t>
  </si>
  <si>
    <t>Dozer||Repair Ripper Divider Valve</t>
  </si>
  <si>
    <t>Dismount/Mount Bottom Guard</t>
  </si>
  <si>
    <t>Dozer||Dismount/Mount Bottom Guard</t>
  </si>
  <si>
    <t>Replace Cutting Blade</t>
  </si>
  <si>
    <t>Dozer||Replace Cutting Blade</t>
  </si>
  <si>
    <t>Repair Cutting edge (one side)</t>
  </si>
  <si>
    <t>Dozer||Repair Cutting edge (one side)</t>
  </si>
  <si>
    <t>Repair Hydraulic Tank</t>
  </si>
  <si>
    <t>Dozer||Repair Hydraulic Tank</t>
  </si>
  <si>
    <t>II. Hydraulic Hoses</t>
  </si>
  <si>
    <t>Repair Hydraulic Hoses single</t>
  </si>
  <si>
    <t>2 up to 7</t>
  </si>
  <si>
    <t>4 up to 14</t>
  </si>
  <si>
    <t>Dozer||Repair Hydraulic Hoses single</t>
  </si>
  <si>
    <t>Removing &amp; Installing new Hydraulic Hose single</t>
  </si>
  <si>
    <t>1 up to 4</t>
  </si>
  <si>
    <t>2 up to 8</t>
  </si>
  <si>
    <t>Dozer||Removing &amp; Installing new Hydraulic Hose single</t>
  </si>
  <si>
    <t>Excavator</t>
  </si>
  <si>
    <t>Repair Circle Drive motor</t>
  </si>
  <si>
    <t>Excavator||Repair Circle Drive motor</t>
  </si>
  <si>
    <t>Repair/ Overhaul Circle Drive hydraulic system</t>
  </si>
  <si>
    <t>Excavator||Repair/ Overhaul Circle Drive hydraulic system</t>
  </si>
  <si>
    <t>Replace Bucket guide Bushings</t>
  </si>
  <si>
    <t>Excavator||Replace Bucket guide Bushings</t>
  </si>
  <si>
    <t>Pilot control valve overhaul</t>
  </si>
  <si>
    <t>Excavator||Pilot control valve overhaul</t>
  </si>
  <si>
    <t>Repair/Replace Joy Stick Valve Selector</t>
  </si>
  <si>
    <t>Excavator||Repair/Replace Joy Stick Valve Selector</t>
  </si>
  <si>
    <t>Repair/Replace Electrical Selector</t>
  </si>
  <si>
    <t>Excavator||Repair/Replace Electrical Selector</t>
  </si>
  <si>
    <t>Repair/Replace Main Pressure relive valve</t>
  </si>
  <si>
    <t>Excavator||Repair/Replace Main Pressure relive valve</t>
  </si>
  <si>
    <t>Repair/Replace Boom Cylinder (single)</t>
  </si>
  <si>
    <t>Excavator||Repair/Replace Boom Cylinder (single)</t>
  </si>
  <si>
    <t>Repair/Replace Bucket Cylinder</t>
  </si>
  <si>
    <t>Excavator||Repair/Replace Bucket Cylinder</t>
  </si>
  <si>
    <t>Repair/Replace Stick Cylinder</t>
  </si>
  <si>
    <t>Excavator||Repair/Replace Stick Cylinder</t>
  </si>
  <si>
    <t>Replace Hydraulic control valve</t>
  </si>
  <si>
    <t>Excavator||Replace Hydraulic control valve</t>
  </si>
  <si>
    <t>Overhaul Hydraulic control valve</t>
  </si>
  <si>
    <t>Excavator||Overhaul Hydraulic control valve</t>
  </si>
  <si>
    <t>Repair Track chain one side (Shoe)</t>
  </si>
  <si>
    <t>Excavator||Repair Track chain one side (Shoe)</t>
  </si>
  <si>
    <t>Excavator||Repair (change) Sprocket (single side)</t>
  </si>
  <si>
    <t>Excavator||Repair Track Link(single)</t>
  </si>
  <si>
    <t>Repair Track Tension adjuster</t>
  </si>
  <si>
    <t>Excavator||Repair Track Tension adjuster</t>
  </si>
  <si>
    <t>Replace Track Rollers single</t>
  </si>
  <si>
    <t>Excavator||Replace Track Rollers single</t>
  </si>
  <si>
    <t>Replace Idler (single)</t>
  </si>
  <si>
    <t>Excavator||Replace Idler (single)</t>
  </si>
  <si>
    <t>Replace Recoil spring</t>
  </si>
  <si>
    <t>Excavator||Replace Recoil spring</t>
  </si>
  <si>
    <t>Replace Hydraulic Pump</t>
  </si>
  <si>
    <t>Excavator||Replace Hydraulic Pump</t>
  </si>
  <si>
    <t>Overhaul Hydraulic Pump</t>
  </si>
  <si>
    <t>Excavator||Overhaul Hydraulic Pump</t>
  </si>
  <si>
    <t>Replace Hydraulic Tank</t>
  </si>
  <si>
    <t>Excavator||Replace Hydraulic Tank</t>
  </si>
  <si>
    <t>2 up to 14</t>
  </si>
  <si>
    <t>4 up to 28</t>
  </si>
  <si>
    <t>Excavator||Repair Hydraulic Hoses single</t>
  </si>
  <si>
    <t>1 up to 12</t>
  </si>
  <si>
    <t>2 up to 24</t>
  </si>
  <si>
    <t>Excavator||Removing &amp; Installing new Hydraulic Hose single</t>
  </si>
  <si>
    <t>Loader</t>
  </si>
  <si>
    <t>Repair Axle shaft(single)</t>
  </si>
  <si>
    <t>Loader||Repair Axle shaft(single)</t>
  </si>
  <si>
    <t>Repair Brake System, Regulator Valve</t>
  </si>
  <si>
    <t>Loader||Repair Brake System, Regulator Valve</t>
  </si>
  <si>
    <t>Replace Brake Pad</t>
  </si>
  <si>
    <t>Loader||Replace Brake Pad</t>
  </si>
  <si>
    <t>Front or Rear differential overhaul</t>
  </si>
  <si>
    <t>Loader||Front or Rear differential overhaul</t>
  </si>
  <si>
    <t>Transmission overhaul</t>
  </si>
  <si>
    <t>Loader||Transmission overhaul</t>
  </si>
  <si>
    <t>Torque converter overhaul</t>
  </si>
  <si>
    <t>Loader||Torque converter overhaul</t>
  </si>
  <si>
    <t>Loader||Overhaul Hydraulic control valve</t>
  </si>
  <si>
    <t>Pilot control valve overhaul single</t>
  </si>
  <si>
    <t>Loader||Pilot control valve overhaul single</t>
  </si>
  <si>
    <t>Selector &amp; Pressure control valve overhaul</t>
  </si>
  <si>
    <t>Loader||Selector &amp; Pressure control valve overhaul</t>
  </si>
  <si>
    <t>Tilt/ Lift Cylinder Overhaul</t>
  </si>
  <si>
    <t>Loader||Tilt/ Lift Cylinder Overhaul</t>
  </si>
  <si>
    <t>Steering Cylinder Overhaul Single</t>
  </si>
  <si>
    <t>Loader||Steering Cylinder Overhaul Single</t>
  </si>
  <si>
    <t>Steering Neutralizer Valve Overhaul</t>
  </si>
  <si>
    <t>Loader||Steering Neutralizer Valve Overhaul</t>
  </si>
  <si>
    <t>Steering Control Valve Overhaul</t>
  </si>
  <si>
    <t>Loader||Steering Control Valve Overhaul</t>
  </si>
  <si>
    <t>Servicing Hydraulic Pump</t>
  </si>
  <si>
    <t>Loader||Servicing Hydraulic Pump</t>
  </si>
  <si>
    <t>Transmission Oil Pump overhaul</t>
  </si>
  <si>
    <t>Loader||Transmission Oil Pump overhaul</t>
  </si>
  <si>
    <t>Clean &amp; Replace Hydraulic Tank</t>
  </si>
  <si>
    <t>Loader||Clean &amp; Replace Hydraulic Tank</t>
  </si>
  <si>
    <t>Repair Bucket, Tilt Link &amp; Lever</t>
  </si>
  <si>
    <t>Loader||Repair Bucket, Tilt Link &amp; Lever</t>
  </si>
  <si>
    <t>Repair Foot-operated Brake Valves</t>
  </si>
  <si>
    <t>Loader||Repair Foot-operated Brake Valves</t>
  </si>
  <si>
    <t>Repair Parking Brake System</t>
  </si>
  <si>
    <t>Loader||Repair Parking Brake System</t>
  </si>
  <si>
    <t>Repair Air Compressor</t>
  </si>
  <si>
    <t>Loader||Repair Air Compressor</t>
  </si>
  <si>
    <t>Repair (change) Bucket guide Bushings</t>
  </si>
  <si>
    <t>Loader||Repair (change) Bucket guide Bushings</t>
  </si>
  <si>
    <t>Hydraulic Oil Cooler replacement</t>
  </si>
  <si>
    <t>Loader||Hydraulic Oil Cooler replacement</t>
  </si>
  <si>
    <t>Loader||Repair Hydraulic Hoses single</t>
  </si>
  <si>
    <t>Loader||Removing &amp; Installing new Hydraulic Hose single</t>
  </si>
  <si>
    <t>Grader</t>
  </si>
  <si>
    <t>I. Hydraulic System and Power Train System</t>
  </si>
  <si>
    <t>Repair Axle driving mechanism (Sprocket &amp; Drive Chain)</t>
  </si>
  <si>
    <t>Grader||Repair Axle driving mechanism (Sprocket &amp; Drive Chain)</t>
  </si>
  <si>
    <t>Repair Drive chain (for one link)</t>
  </si>
  <si>
    <t>Grader||Repair Drive chain (for one link)</t>
  </si>
  <si>
    <t>Replace Tandem housing</t>
  </si>
  <si>
    <t>Grader||Replace Tandem housing</t>
  </si>
  <si>
    <t>Repair Final Drive</t>
  </si>
  <si>
    <t>Grader||Repair Final Drive</t>
  </si>
  <si>
    <t>Replace Wheels Bearings (one wheel)</t>
  </si>
  <si>
    <t>Grader||Replace Wheels Bearings (one wheel)</t>
  </si>
  <si>
    <t>Repair Transmission Scavenging Pump</t>
  </si>
  <si>
    <t>Grader||Repair Transmission Scavenging Pump</t>
  </si>
  <si>
    <t>Overhaul Differential</t>
  </si>
  <si>
    <t>Grader||Overhaul Differential</t>
  </si>
  <si>
    <t>Repair Transmission Control Valve</t>
  </si>
  <si>
    <t>Grader||Repair Transmission Control Valve</t>
  </si>
  <si>
    <t>Replace Blade, Lifting/ Tilting/ Ripper Cylinder Seal Kit</t>
  </si>
  <si>
    <t>Grader||Replace Blade, Lifting/ Tilting/ Ripper Cylinder Seal Kit</t>
  </si>
  <si>
    <t>Repair circle drive</t>
  </si>
  <si>
    <t>Grader||Repair circle drive</t>
  </si>
  <si>
    <t>Replace Steering Pump</t>
  </si>
  <si>
    <t>Grader||Replace Steering Pump</t>
  </si>
  <si>
    <t>Replace Steering tie rod</t>
  </si>
  <si>
    <t>Grader||Replace Steering tie rod</t>
  </si>
  <si>
    <t>Repair Wheel spindle and Housing(one side)</t>
  </si>
  <si>
    <t>Grader||Repair Wheel spindle and Housing(one side)</t>
  </si>
  <si>
    <t>Repair Wheel lean arm and wheel lean bar (single side)</t>
  </si>
  <si>
    <t>Grader||Repair Wheel lean arm and wheel lean bar (single side)</t>
  </si>
  <si>
    <t>Overhaul Swivel joint</t>
  </si>
  <si>
    <t>Grader||Overhaul Swivel joint</t>
  </si>
  <si>
    <t>Replace Blade guide Bushings</t>
  </si>
  <si>
    <t>Grader||Replace Blade guide Bushings</t>
  </si>
  <si>
    <t>Change Cutting edges</t>
  </si>
  <si>
    <t>Grader||Change Cutting edges</t>
  </si>
  <si>
    <t>Insert shims &amp; adjust (Circle draw bar)</t>
  </si>
  <si>
    <t>Grader||Insert shims &amp; adjust (Circle draw bar)</t>
  </si>
  <si>
    <t>Repair Circle drive motor</t>
  </si>
  <si>
    <t>Grader||Repair Circle drive motor</t>
  </si>
  <si>
    <t>Clean Hydraulic Tank</t>
  </si>
  <si>
    <t>Grader||Clean Hydraulic Tank</t>
  </si>
  <si>
    <t>Grader||Servicing Hydraulic Pump</t>
  </si>
  <si>
    <t>Servicing Control Valves, actuators</t>
  </si>
  <si>
    <t>Grader||Servicing Control Valves, actuators</t>
  </si>
  <si>
    <t>Grader||Repair Hydraulic Hoses single</t>
  </si>
  <si>
    <t>1 up to 14</t>
  </si>
  <si>
    <t>Grader||Removing &amp; Installing new Hydraulic Hose single</t>
  </si>
  <si>
    <t>Others</t>
  </si>
  <si>
    <t>Generator</t>
  </si>
  <si>
    <t>Generator||Wash, Inspect and Receive the equipment</t>
  </si>
  <si>
    <t>Generator||Inspect, Test and Handover the equipment</t>
  </si>
  <si>
    <t>Change Engine Oil With Filter</t>
  </si>
  <si>
    <t>Generator||Change Engine Oil With Filter</t>
  </si>
  <si>
    <t>Generator||Inspection of all Fluids &amp; top Upping</t>
  </si>
  <si>
    <t>Generator||Perform all activities of 250 hr. service</t>
  </si>
  <si>
    <t>Replace Fuel System Primary &amp; Secondary Filter or Water Separator</t>
  </si>
  <si>
    <t>Generator||Replace Fuel System Primary &amp; Secondary Filter or Water Separator</t>
  </si>
  <si>
    <t>Generator||Perform all activities of 500 hr. service</t>
  </si>
  <si>
    <t>Change air cleaner</t>
  </si>
  <si>
    <t>Generator||Change air cleaner</t>
  </si>
  <si>
    <t>V. Cooling System</t>
  </si>
  <si>
    <t>Service water pump</t>
  </si>
  <si>
    <t>Generator||Service water pump</t>
  </si>
  <si>
    <t>Change thermostat</t>
  </si>
  <si>
    <t>Generator||Change thermostat</t>
  </si>
  <si>
    <t>Replace Fan</t>
  </si>
  <si>
    <t>Generator||Replace Fan</t>
  </si>
  <si>
    <t>Replace Fan Coupling</t>
  </si>
  <si>
    <t>Generator||Replace Fan Coupling</t>
  </si>
  <si>
    <t>Generator||Change Fan Belt</t>
  </si>
  <si>
    <t>VI. Engine Overhaul [up to 80KVA]</t>
  </si>
  <si>
    <t>Generator||Dismounting Engine</t>
  </si>
  <si>
    <t>Generator||Wash &amp; Clean Engine Parts</t>
  </si>
  <si>
    <t>Generator||Engine Top Overhaul</t>
  </si>
  <si>
    <t>Generator||Engine Over haul</t>
  </si>
  <si>
    <t>Generator||Repair Turbo charger</t>
  </si>
  <si>
    <t>Generator||Mounting and Test Engine</t>
  </si>
  <si>
    <t>Generator||Change Engine Support (single)</t>
  </si>
  <si>
    <t>Generator||Change rear crankshaft seal</t>
  </si>
  <si>
    <t>Generator||Change Front crankshaft seal</t>
  </si>
  <si>
    <t>Generator||Change engine Crankshaft pulley</t>
  </si>
  <si>
    <t>VI. Engine Overhaul [80KVA - 220KVA]</t>
  </si>
  <si>
    <t>VI. Engine Overhaul [above 220KVA]</t>
  </si>
  <si>
    <t>Generator||Engine Tune-Up</t>
  </si>
  <si>
    <t>VII. Engine and Engine Accessories</t>
  </si>
  <si>
    <t>Generator||Change Valve Cover Gasket</t>
  </si>
  <si>
    <t>Change Engine oil Sump Gasket up to 220KVA</t>
  </si>
  <si>
    <t>Generator||Change Engine oil Sump Gasket up to 220KVA</t>
  </si>
  <si>
    <t>Change Engine oil Sump Gasket above 220KVA</t>
  </si>
  <si>
    <t>Generator||Change Engine oil Sump Gasket above 220KVA</t>
  </si>
  <si>
    <t>Adjust Valve Clearance</t>
  </si>
  <si>
    <t>Generator||Adjust Valve Clearance</t>
  </si>
  <si>
    <t>Generator||Change exhaust Manifold gasket</t>
  </si>
  <si>
    <t>Generator||Change Intake Manifold gasket</t>
  </si>
  <si>
    <t>Generator||Change Exhaust pipe gasket</t>
  </si>
  <si>
    <t>Replace Nozzle</t>
  </si>
  <si>
    <t>Generator||Replace Nozzle</t>
  </si>
  <si>
    <t>Generator||Replace injection Pump</t>
  </si>
  <si>
    <t>Generator||Replace Fuel Pump/Feed pump</t>
  </si>
  <si>
    <t>Generator||Replace Turbocharger</t>
  </si>
  <si>
    <t>Generator||Replace Exhaust Pipe Muffler</t>
  </si>
  <si>
    <t>Change Idler pulley/single</t>
  </si>
  <si>
    <t>Generator||Change Idler pulley/single</t>
  </si>
  <si>
    <t>Clean fuel tank</t>
  </si>
  <si>
    <t>Generator||Clean fuel tank</t>
  </si>
  <si>
    <t>Generator||Change fan shroud</t>
  </si>
  <si>
    <t>Generator||Change Suction /Return fuel line</t>
  </si>
  <si>
    <t>Generator||Change Pressure fuel line</t>
  </si>
  <si>
    <t>VIII. Radiator</t>
  </si>
  <si>
    <t>Generator||Repair Radiator</t>
  </si>
  <si>
    <t>Generator||Radiator Flash</t>
  </si>
  <si>
    <t>Generator||Replacing Radiator Cap</t>
  </si>
  <si>
    <t>Generator||Change radiator Upper/Lower hose</t>
  </si>
  <si>
    <t>4 up to 8</t>
  </si>
  <si>
    <t>8 up to 16</t>
  </si>
  <si>
    <t>Generator||Remove &amp; Install Radiator</t>
  </si>
  <si>
    <t>Air Compressor</t>
  </si>
  <si>
    <t>Air_Compressor</t>
  </si>
  <si>
    <t>Air Compressor||Wash, Inspect and Receive the equipment</t>
  </si>
  <si>
    <t>Air Compressor||Inspect, Test and Handover the equipment</t>
  </si>
  <si>
    <t>Clean and change air filter element</t>
  </si>
  <si>
    <t>Air Compressor||Clean and change air filter element</t>
  </si>
  <si>
    <t>Change engine oil</t>
  </si>
  <si>
    <t>Air Compressor||Change engine oil</t>
  </si>
  <si>
    <t>Change engine oil filter</t>
  </si>
  <si>
    <t>Air Compressor||Change engine oil filter</t>
  </si>
  <si>
    <t>Check battery electrolyte</t>
  </si>
  <si>
    <t>Air Compressor||Check battery electrolyte</t>
  </si>
  <si>
    <t>Air Compressor||Perform all activities of 250 hr. service</t>
  </si>
  <si>
    <t>Change compressor oil</t>
  </si>
  <si>
    <t>Air Compressor||Change compressor oil</t>
  </si>
  <si>
    <t>Clean strainer in the scavenging orifice</t>
  </si>
  <si>
    <t>Air Compressor||Clean strainer in the scavenging orifice</t>
  </si>
  <si>
    <t>Change of element inside fuel pre-filter.</t>
  </si>
  <si>
    <t>Air Compressor||Change of element inside fuel pre-filter.</t>
  </si>
  <si>
    <t>Change fuel filter</t>
  </si>
  <si>
    <t>Air Compressor||Change fuel filter</t>
  </si>
  <si>
    <t>Air Compressor||Perform all activities of 500 hr. service</t>
  </si>
  <si>
    <t>Change compressor oil filter</t>
  </si>
  <si>
    <t>Air Compressor||Change compressor oil filter</t>
  </si>
  <si>
    <t>Clean outside of the oil cooler</t>
  </si>
  <si>
    <t>Air Compressor||Clean outside of the oil cooler</t>
  </si>
  <si>
    <t>Change coolant</t>
  </si>
  <si>
    <t>Air Compressor||Change coolant</t>
  </si>
  <si>
    <t>V. Every 3000 Service Hours</t>
  </si>
  <si>
    <t>Check and Replace Pressure regulator</t>
  </si>
  <si>
    <t>Air Compressor||Check and Replace Pressure regulator</t>
  </si>
  <si>
    <t>Service Auto-relief valve /vacuum relief valve/</t>
  </si>
  <si>
    <t>Air Compressor||Service Auto-relief valve /vacuum relief valve/</t>
  </si>
  <si>
    <t>Check and Clean Unloader Valve</t>
  </si>
  <si>
    <t>Air Compressor||Check and Clean Unloader Valve</t>
  </si>
  <si>
    <t>Check and Clean Pressure Control Valve</t>
  </si>
  <si>
    <t>Air Compressor||Check and Clean Pressure Control Valve</t>
  </si>
  <si>
    <t>Check and Replace Solenoid Valve</t>
  </si>
  <si>
    <t>Air Compressor||Check and Replace Solenoid Valve</t>
  </si>
  <si>
    <t>Air Compressor||Engine Tune-Up</t>
  </si>
  <si>
    <t>Air Compressor||Dismounting Engine</t>
  </si>
  <si>
    <t>Air Compressor||Wash &amp; Clean Engine Parts</t>
  </si>
  <si>
    <t>Air Compressor||Engine Top Overhaul</t>
  </si>
  <si>
    <t>Air Compressor||Engine Over haul</t>
  </si>
  <si>
    <t>Air Compressor||Repair Turbo charger</t>
  </si>
  <si>
    <t>Air Compressor||Mounting and Test Engine</t>
  </si>
  <si>
    <t>Air Compressor||Change Engine Support (single)</t>
  </si>
  <si>
    <t>Air Compressor||Change rear crankshaft seal</t>
  </si>
  <si>
    <t>Air Compressor||Change Front crankshaft seal</t>
  </si>
  <si>
    <t>Air Compressor||Change engine Crankshaft pulley</t>
  </si>
  <si>
    <t>Air Compressor||Overhaul Air Compressor</t>
  </si>
  <si>
    <t>Air Compressor||Change Valve Cover Gasket</t>
  </si>
  <si>
    <t>Air Compressor||Change Engine oil Sump</t>
  </si>
  <si>
    <t>Air Compressor||Change exhaust Manifold gasket /single/</t>
  </si>
  <si>
    <t>Air Compressor||Change Intake Manifold gasket /single/</t>
  </si>
  <si>
    <t>Air Compressor||Change Exhaust pipe gasket</t>
  </si>
  <si>
    <t>Air Compressor||Changing Cooling fan</t>
  </si>
  <si>
    <t>Air Compressor||Replace Injector Nozzle single</t>
  </si>
  <si>
    <t>Air Compressor||Replace injection Pump</t>
  </si>
  <si>
    <t>Air Compressor||Replace Fuel Pump/Feed pump</t>
  </si>
  <si>
    <t>Air Compressor||Replace Turbocharger</t>
  </si>
  <si>
    <t>Air Compressor||Replace Exhaust Pipe Muffler</t>
  </si>
  <si>
    <t>Air Compressor||Check and Adjust timing</t>
  </si>
  <si>
    <t>Air Compressor||Change camshaft seal</t>
  </si>
  <si>
    <t>Air Compressor||Change/repair water pump</t>
  </si>
  <si>
    <t>Air Compressor||Change Idle pulley/single</t>
  </si>
  <si>
    <t>Air Compressor||Remove &amp; install fuel tank /single</t>
  </si>
  <si>
    <t>Air Compressor||Engine Flashing</t>
  </si>
  <si>
    <t>Air Compressor||Change fan shroud</t>
  </si>
  <si>
    <t>Air Compressor||Change Exhaust pipe cushion</t>
  </si>
  <si>
    <t>Air Compressor||Change Suction /Return fuel line</t>
  </si>
  <si>
    <t>Air Compressor||Change Pressure fuel line</t>
  </si>
  <si>
    <t>Air Compressor||Repair Radiator</t>
  </si>
  <si>
    <t>Air Compressor||Radiator Flash</t>
  </si>
  <si>
    <t>Air Compressor||Replacing Radiator Cap</t>
  </si>
  <si>
    <t>Air Compressor||Change radiator Upper/Lower hose</t>
  </si>
  <si>
    <t>Air Compressor||Remove &amp; Install Radiator</t>
  </si>
  <si>
    <t>Electrical &amp; Electronics</t>
  </si>
  <si>
    <t>Electrical_Electronics</t>
  </si>
  <si>
    <t>Electrical &amp; Electronics||Wash, Inspect and Receive the equipment</t>
  </si>
  <si>
    <t>Electrical &amp; Electronics||Inspect, Test and Handover the equipment</t>
  </si>
  <si>
    <t>II. Chassis Electrical Repair</t>
  </si>
  <si>
    <t>Checking &amp; correcting all wiring accessories related with starting system</t>
  </si>
  <si>
    <t>From 3-6</t>
  </si>
  <si>
    <t>Electrical &amp; Electronics||Checking &amp; correcting all wiring accessories related with starting system</t>
  </si>
  <si>
    <t>Checking &amp; correcting all wiring &amp; accessories related with preheating system</t>
  </si>
  <si>
    <t>Electrical &amp; Electronics||Checking &amp; correcting all wiring &amp; accessories related with preheating system</t>
  </si>
  <si>
    <t>Checking &amp; correcting all wiring &amp; accessories related with charging system</t>
  </si>
  <si>
    <t>Electrical &amp; Electronics||Checking &amp; correcting all wiring &amp; accessories related with charging system</t>
  </si>
  <si>
    <t>Checking &amp; correcting all wiring &amp; accessories related with lighting system</t>
  </si>
  <si>
    <t>From 2-4</t>
  </si>
  <si>
    <t>From 4-8</t>
  </si>
  <si>
    <t>Electrical &amp; Electronics||Checking &amp; correcting all wiring &amp; accessories related with lighting system</t>
  </si>
  <si>
    <t>Checking &amp; repairing windshield wiper motor, links, arms &amp; blades &amp; the wiring</t>
  </si>
  <si>
    <t>Electrical &amp; Electronics||Checking &amp; repairing windshield wiper motor, links, arms &amp; blades &amp; the wiring</t>
  </si>
  <si>
    <t>Checking &amp; correcting electric range shift, relay valves, switch &amp; wiring</t>
  </si>
  <si>
    <t>Electrical &amp; Electronics||Checking &amp; correcting electric range shift, relay valves, switch &amp; wiring</t>
  </si>
  <si>
    <t>Checking &amp; correcting electrically controlled transmission unit (i.e. wiring, switch, relay valves &amp; printed circuit)</t>
  </si>
  <si>
    <t>From 8-16</t>
  </si>
  <si>
    <t>Electrical &amp; Electronics||Checking &amp; correcting electrically controlled transmission unit (i.e. wiring, switch, relay valves &amp; printed circuit)</t>
  </si>
  <si>
    <t>Checking and correcting all gauges, meters, horns, sensors etc.</t>
  </si>
  <si>
    <t>Electrical &amp; Electronics||Checking and correcting all gauges, meters, horns, sensors etc.</t>
  </si>
  <si>
    <t>Checking &amp; Correcting battery</t>
  </si>
  <si>
    <t>Electrical &amp; Electronics||Checking &amp; Correcting battery</t>
  </si>
  <si>
    <t>New Battery Replacement</t>
  </si>
  <si>
    <t>Electrical &amp; Electronics||New Battery Replacement</t>
  </si>
  <si>
    <t>Starter Service Machinery &amp; Auxiliary Equipment</t>
  </si>
  <si>
    <t>Electrical &amp; Electronics||Starter Service Machinery &amp; Auxiliary Equipment</t>
  </si>
  <si>
    <t>Starter Service Trucks &amp; Bus</t>
  </si>
  <si>
    <t>Electrical &amp; Electronics||Starter Service Trucks &amp; Bus</t>
  </si>
  <si>
    <t>Starter Service Automobile &amp; Vehicles</t>
  </si>
  <si>
    <t>Electrical &amp; Electronics||Starter Service Automobile &amp; Vehicles</t>
  </si>
  <si>
    <t>Starter Replacement</t>
  </si>
  <si>
    <t>Electrical &amp; Electronics||Starter Replacement</t>
  </si>
  <si>
    <t>Alternator Replacement</t>
  </si>
  <si>
    <t>Electrical &amp; Electronics||Alternator Replacement</t>
  </si>
  <si>
    <t>Alternator Service</t>
  </si>
  <si>
    <t>Electrical &amp; Electronics||Alternator Service</t>
  </si>
  <si>
    <t>Alternator Rewinding</t>
  </si>
  <si>
    <t>Electrical &amp; Electronics||Alternator Rewinding</t>
  </si>
  <si>
    <t>III. Ignition System Service</t>
  </si>
  <si>
    <t>Checking &amp; correcting +ve &amp; –ve terminal &amp; high tension cables</t>
  </si>
  <si>
    <t>Electrical &amp; Electronics||Checking &amp; correcting +ve &amp; –ve terminal &amp; high tension cables</t>
  </si>
  <si>
    <t>Checking &amp; correcting contact breaker points, condenser, rotor &amp; cap</t>
  </si>
  <si>
    <t>Electrical &amp; Electronics||Checking &amp; correcting contact breaker points, condenser, rotor &amp; cap</t>
  </si>
  <si>
    <t>Checking &amp; correcting Transistorized ignition system, amplifier, pick-up coil &amp; timing core</t>
  </si>
  <si>
    <t>Electrical &amp; Electronics||Checking &amp; correcting Transistorized ignition system, amplifier, pick-up coil &amp; timing core</t>
  </si>
  <si>
    <t>Checking &amp; correcting spark plugs &amp; related wiring</t>
  </si>
  <si>
    <t>Electrical &amp; Electronics||Checking &amp; correcting spark plugs &amp; related wiring</t>
  </si>
  <si>
    <t>Checking &amp; correcting ignition timing</t>
  </si>
  <si>
    <t>Electrical &amp; Electronics||Checking &amp; correcting ignition timing</t>
  </si>
  <si>
    <t>IV. Generator &amp; Industrial Electrical Machine Service</t>
  </si>
  <si>
    <t>Check all circuit diagram, main power switch, fuses, contactor relays, transformer &amp; other controlling units</t>
  </si>
  <si>
    <t>Electrical &amp; Electronics||Check all circuit diagram, main power switch, fuses, contactor relays, transformer &amp; other controlling units</t>
  </si>
  <si>
    <t>Welding machine (Check exciter output winding, diodes, polarity switch, current selector, voltage adjustment, resistor &amp; other control units)</t>
  </si>
  <si>
    <t>Electrical &amp; Electronics||Welding machine (Check exciter output winding, diodes, polarity switch, current selector, voltage adjustment, resistor &amp; other control units)</t>
  </si>
  <si>
    <t>Installing &amp; repairing Switch board and lines</t>
  </si>
  <si>
    <t>Electrical &amp; Electronics||Installing &amp; repairing Switch board and lines</t>
  </si>
  <si>
    <t>Checking &amp; adjusting speed controlling units, actuator, magnetic pick up, Electronic Fuel control &amp; the output indicator device</t>
  </si>
  <si>
    <t>Electrical &amp; Electronics||Checking &amp; adjusting speed controlling units, actuator, magnetic pick up, Electronic Fuel control &amp; the output indicator device</t>
  </si>
  <si>
    <t>Check &amp; repair/ replace excitation system winding, exciter rotor, stator, rectifier &amp; voltage regulator</t>
  </si>
  <si>
    <t>Electrical &amp; Electronics||Check &amp; repair/ replace excitation system winding, exciter rotor, stator, rectifier &amp; voltage regulator</t>
  </si>
  <si>
    <t>IV. Engine Management System</t>
  </si>
  <si>
    <t>Testing Electronic Fuel Injection Systems</t>
  </si>
  <si>
    <t>Electrical &amp; Electronics||Testing Electronic Fuel Injection Systems</t>
  </si>
  <si>
    <t>Testing and Repairing Under chassis Systems</t>
  </si>
  <si>
    <t>From 12-18</t>
  </si>
  <si>
    <t>From 24-36</t>
  </si>
  <si>
    <t>Electrical &amp; Electronics||Testing and Repairing Under chassis Systems</t>
  </si>
  <si>
    <t>Testing and Repairing Body Electrical Security Systems</t>
  </si>
  <si>
    <t>Electrical &amp; Electronics||Testing and Repairing Body Electrical Security Systems</t>
  </si>
  <si>
    <t>Replace Electrical Fuel Pump</t>
  </si>
  <si>
    <t>Electrical &amp; Electronics||Replace Electrical Fuel Pump</t>
  </si>
  <si>
    <t>V. Electric System</t>
  </si>
  <si>
    <t>Adjust Head Lamp (Single)</t>
  </si>
  <si>
    <t>Electrical &amp; Electronics||Adjust Head Lamp (Single)</t>
  </si>
  <si>
    <t>Replace Head Lamp (Single)</t>
  </si>
  <si>
    <t>Electrical &amp; Electronics||Replace Head Lamp (Single)</t>
  </si>
  <si>
    <t>Replace Rear Combination Lamp (Single)</t>
  </si>
  <si>
    <t>Electrical &amp; Electronics||Replace Rear Combination Lamp (Single)</t>
  </si>
  <si>
    <t>Change Ignition Switch</t>
  </si>
  <si>
    <t>Electrical &amp; Electronics||Change Ignition Switch</t>
  </si>
  <si>
    <t>Change Horn Single</t>
  </si>
  <si>
    <t>Electrical &amp; Electronics||Change Horn Single</t>
  </si>
  <si>
    <t>Adjust horn/ Repair Horn</t>
  </si>
  <si>
    <t>Electrical &amp; Electronics||Adjust horn/ Repair Horn</t>
  </si>
  <si>
    <t>Change Glow Plugs (Single)</t>
  </si>
  <si>
    <t>Electrical &amp; Electronics||Change Glow Plugs (Single)</t>
  </si>
  <si>
    <t>Eliminate T-belt Indicator Light</t>
  </si>
  <si>
    <t>Electrical &amp; Electronics||Eliminate T-belt Indicator Light</t>
  </si>
  <si>
    <t>Repair Instrument Panel (Dash board)</t>
  </si>
  <si>
    <t>Electrical &amp; Electronics||Repair Instrument Panel (Dash board)</t>
  </si>
  <si>
    <t>Change Sensors/Switches (Single)</t>
  </si>
  <si>
    <t>Electrical &amp; Electronics||Change Sensors/Switches (Single)</t>
  </si>
  <si>
    <t>Change Kilometer Cable</t>
  </si>
  <si>
    <t>Electrical &amp; Electronics||Change Kilometer Cable</t>
  </si>
  <si>
    <t>Change Battery Clamp</t>
  </si>
  <si>
    <t>Electrical &amp; Electronics||Change Battery Clamp</t>
  </si>
  <si>
    <t>Change FR Signal Light Assy/ Single</t>
  </si>
  <si>
    <t>Electrical &amp; Electronics||Change FR Signal Light Assy/ Single</t>
  </si>
  <si>
    <t>Repair License Plate Lamp</t>
  </si>
  <si>
    <t>Electrical &amp; Electronics||Repair License Plate Lamp</t>
  </si>
  <si>
    <t>Fix Radio Cassette</t>
  </si>
  <si>
    <t>Electrical &amp; Electronics||Fix Radio Cassette</t>
  </si>
  <si>
    <t>Fix Radio Speakers</t>
  </si>
  <si>
    <t>Electrical &amp; Electronics||Fix Radio Speakers</t>
  </si>
  <si>
    <t>Change Horn Plate (Spiral Cable)</t>
  </si>
  <si>
    <t>Electrical &amp; Electronics||Change Horn Plate (Spiral Cable)</t>
  </si>
  <si>
    <t>Change Radio Antenna</t>
  </si>
  <si>
    <t>Electrical &amp; Electronics||Change Radio Antenna</t>
  </si>
  <si>
    <t>Refill Battery Pole (Single Battery)</t>
  </si>
  <si>
    <t>Electrical &amp; Electronics||Refill Battery Pole (Single Battery)</t>
  </si>
  <si>
    <t>Change Glow Plug Timer</t>
  </si>
  <si>
    <t>Electrical &amp; Electronics||Change Glow Plug Timer</t>
  </si>
  <si>
    <t>Change Fuel Control Gate Valve or Shut off</t>
  </si>
  <si>
    <t>Electrical &amp; Electronics||Change Fuel Control Gate Valve or Shut off</t>
  </si>
  <si>
    <t>Change Voltage Regulator</t>
  </si>
  <si>
    <t>Electrical &amp; Electronics||Change Voltage Regulator</t>
  </si>
  <si>
    <t>Change Automatic Door Glass Regulator/ Single</t>
  </si>
  <si>
    <t>Electrical &amp; Electronics||Change Automatic Door Glass Regulator/ Single</t>
  </si>
  <si>
    <t>Repair Automatic Door Glass Regulator/ Single</t>
  </si>
  <si>
    <t>Electrical &amp; Electronics||Repair Automatic Door Glass Regulator/ Single</t>
  </si>
  <si>
    <t>Change Four Wheel Motor Actuator</t>
  </si>
  <si>
    <t>Electrical &amp; Electronics||Change Four Wheel Motor Actuator</t>
  </si>
  <si>
    <t>Remove &amp; Install Wiper Nozzle</t>
  </si>
  <si>
    <t>Electrical &amp; Electronics||Remove &amp; Install Wiper Nozzle</t>
  </si>
  <si>
    <t>Replace Fuel Tank Sending Unit</t>
  </si>
  <si>
    <t>Electrical &amp; Electronics||Replace Fuel Tank Sending Unit</t>
  </si>
  <si>
    <t>Changing Starter Solenoid Switch</t>
  </si>
  <si>
    <t>Electrical &amp; Electronics||Changing Starter Solenoid Switch</t>
  </si>
  <si>
    <t>Asset ID</t>
  </si>
  <si>
    <t>Asset / Equipment Name</t>
  </si>
  <si>
    <t>Make</t>
  </si>
  <si>
    <t>Manufacturing Year</t>
  </si>
  <si>
    <t>Fuel Norm (L/hr)</t>
  </si>
  <si>
    <t>Lease Rate/Hour (ETB)</t>
  </si>
  <si>
    <t>Status</t>
  </si>
  <si>
    <t>AA-65266</t>
  </si>
  <si>
    <t>Bull Dozer (CAT)</t>
  </si>
  <si>
    <t>CAT</t>
  </si>
  <si>
    <t>Active</t>
  </si>
  <si>
    <t>AA-65265</t>
  </si>
  <si>
    <t>Down</t>
  </si>
  <si>
    <t>AA-60042</t>
  </si>
  <si>
    <t>Bull Dozer (Komatsu)</t>
  </si>
  <si>
    <t>Komatsu</t>
  </si>
  <si>
    <t>AA-65585</t>
  </si>
  <si>
    <t>Dump Truck (Volvo)</t>
  </si>
  <si>
    <t>Volvo</t>
  </si>
  <si>
    <t>AA-9018</t>
  </si>
  <si>
    <t>LV-1001</t>
  </si>
  <si>
    <t>Toyota Land Cruiser</t>
  </si>
  <si>
    <t>Toyota</t>
  </si>
  <si>
    <t>LV-1002</t>
  </si>
  <si>
    <t>Toyota Hilux Pickup</t>
  </si>
  <si>
    <t>LV-1003</t>
  </si>
  <si>
    <t>Sedan Pool Car</t>
  </si>
  <si>
    <t>EX-2001</t>
  </si>
  <si>
    <t>Excavator (Komatsu PC200)</t>
  </si>
  <si>
    <t>GD-3001</t>
  </si>
  <si>
    <t>Grader (CAT 140K)</t>
  </si>
  <si>
    <t>LD-4001</t>
  </si>
  <si>
    <t>Wheel Loader (CAT 950)</t>
  </si>
  <si>
    <t>GN-5001</t>
  </si>
  <si>
    <t>Standby Generator 150KVA</t>
  </si>
  <si>
    <t>Perkins</t>
  </si>
  <si>
    <t>AC-6001</t>
  </si>
  <si>
    <t>Air Compressor Unit 1</t>
  </si>
  <si>
    <t>Atlas Copco</t>
  </si>
  <si>
    <t>HT-7001</t>
  </si>
  <si>
    <t>Heavy Fuel Tanker</t>
  </si>
  <si>
    <t>Isuzu</t>
  </si>
  <si>
    <t>EL-8001</t>
  </si>
  <si>
    <t>Site Electrical Panel</t>
  </si>
  <si>
    <t>MType</t>
  </si>
  <si>
    <t>Log ID</t>
  </si>
  <si>
    <t>Date</t>
  </si>
  <si>
    <t>Asset Name</t>
  </si>
  <si>
    <t>Operable Hr</t>
  </si>
  <si>
    <t>Idle Hr</t>
  </si>
  <si>
    <t>Down Hr</t>
  </si>
  <si>
    <t>Availability %</t>
  </si>
  <si>
    <t>Utilization %</t>
  </si>
  <si>
    <t>Down %</t>
  </si>
  <si>
    <t>Reason for Down</t>
  </si>
  <si>
    <t>Reason for Idle</t>
  </si>
  <si>
    <t>Actual Fuel (L)</t>
  </si>
  <si>
    <t>Expected Fuel (L)</t>
  </si>
  <si>
    <t>Fuel Variance (L)</t>
  </si>
  <si>
    <t>Fuel Variance %</t>
  </si>
  <si>
    <t>Total Revenue (ETB)</t>
  </si>
  <si>
    <t>Idle % (of Operable)</t>
  </si>
  <si>
    <t>2026-07-06</t>
  </si>
  <si>
    <t>Under Carriage Damage (since 2026-06-12) - awaiting parts</t>
  </si>
  <si>
    <t>ECM Electrical Fault (2026-07-05)</t>
  </si>
  <si>
    <t>2026-07-09</t>
  </si>
  <si>
    <t>Maintenance Task</t>
  </si>
  <si>
    <t>Standard Time Ref (Hrs)</t>
  </si>
  <si>
    <t>Time Used (Hrs)</t>
  </si>
  <si>
    <t>Technicians Assigned</t>
  </si>
  <si>
    <t>Technician Rate/Hr (ETB)</t>
  </si>
  <si>
    <t>Labor Cost (ETB)</t>
  </si>
  <si>
    <t>Part 1 Name</t>
  </si>
  <si>
    <t>Part 1 Qty</t>
  </si>
  <si>
    <t>Part 1 Unit Cost (ETB)</t>
  </si>
  <si>
    <t>Part 1 Line Cost (ETB)</t>
  </si>
  <si>
    <t>Part 2 Name</t>
  </si>
  <si>
    <t>Part 2 Qty</t>
  </si>
  <si>
    <t>Part 2 Unit Cost (ETB)</t>
  </si>
  <si>
    <t>Part 2 Line Cost (ETB)</t>
  </si>
  <si>
    <t>Part 3 Name</t>
  </si>
  <si>
    <t>Part 3 Qty</t>
  </si>
  <si>
    <t>Part 3 Unit Cost (ETB)</t>
  </si>
  <si>
    <t>Part 3 Line Cost (ETB)</t>
  </si>
  <si>
    <t>Other Cost (ETB)</t>
  </si>
  <si>
    <t>Total Parts Cost (ETB)</t>
  </si>
  <si>
    <t>Total Cost (ETB)</t>
  </si>
  <si>
    <t>Cost per Hour (ETB)</t>
  </si>
  <si>
    <t>Remarks</t>
  </si>
  <si>
    <t>TypeKey (helper)</t>
  </si>
  <si>
    <t>2026-07-02</t>
  </si>
  <si>
    <t>Track link assembly</t>
  </si>
  <si>
    <t>Awaiting parts allocation</t>
  </si>
  <si>
    <t>2026-07-05</t>
  </si>
  <si>
    <t>Injector set</t>
  </si>
  <si>
    <t>Spark/glow plugs (set of 4)</t>
  </si>
  <si>
    <t>Calibrated by engineer</t>
  </si>
  <si>
    <t>Routine check, no issues</t>
  </si>
  <si>
    <t>Grease cartridge</t>
  </si>
  <si>
    <t>Operable status</t>
  </si>
  <si>
    <t>2026-07-07</t>
  </si>
  <si>
    <t>Engine oil 5L</t>
  </si>
  <si>
    <t>Oil filter</t>
  </si>
  <si>
    <t>Standard 5,000 km service</t>
  </si>
  <si>
    <t>Brake pad set (front)</t>
  </si>
  <si>
    <t>Pads replaced</t>
  </si>
  <si>
    <t>2026-07-08</t>
  </si>
  <si>
    <t>Track chain + shoe set</t>
  </si>
  <si>
    <t>Major repair, 2-day job</t>
  </si>
  <si>
    <t>Circle drive motor</t>
  </si>
  <si>
    <t>Seal kit</t>
  </si>
  <si>
    <t>Hydraulic drive motor rebuilt</t>
  </si>
  <si>
    <t>Brake pad set</t>
  </si>
  <si>
    <t>Scheduled brake service</t>
  </si>
  <si>
    <t>Engine oil 4L</t>
  </si>
  <si>
    <t>Monthly PM</t>
  </si>
  <si>
    <t>Compressor oil 4L</t>
  </si>
  <si>
    <t>Quarterly PM</t>
  </si>
  <si>
    <t>2026-07-10</t>
  </si>
  <si>
    <t>Spark plug set (4)</t>
  </si>
  <si>
    <t>Minor tune-up</t>
  </si>
  <si>
    <t>Drive sprocket</t>
  </si>
  <si>
    <t>Sprocket replaced</t>
  </si>
  <si>
    <t>Transmission oil</t>
  </si>
  <si>
    <t>Differential oil</t>
  </si>
  <si>
    <t>Full service</t>
  </si>
  <si>
    <t>Terminal cleaner &amp; clamps</t>
  </si>
  <si>
    <t>Battery terminals cleaned</t>
  </si>
  <si>
    <t>🚜  FLEET MAINTENANCE &amp; FINANCIAL DASHBOARD</t>
  </si>
  <si>
    <t>🚜  FLEET SIZE</t>
  </si>
  <si>
    <t>✅  AVG AVAILABILITY</t>
  </si>
  <si>
    <t>⚙️  AVG UTILIZATION</t>
  </si>
  <si>
    <t>⏱️  TOTAL DOWNTIME (Hr)</t>
  </si>
  <si>
    <t>⚠️  CRITICAL ENTRIES</t>
  </si>
  <si>
    <t>💰  TOTAL REVENUE (ETB)</t>
  </si>
  <si>
    <t>🔧  TOTAL MAINT. COST (ETB)</t>
  </si>
  <si>
    <t>📈  NET OPERATING RESULT (ETB)</t>
  </si>
  <si>
    <t>⛽  TOTAL FUEL (L)</t>
  </si>
  <si>
    <t>📊  FUEL VARIANCE vs NORM</t>
  </si>
  <si>
    <t>📊  1.  PRODUCTIVITY OVERVIEW — AVAILABILITY &amp; UTILIZATION BY ASSET</t>
  </si>
  <si>
    <t>Total Operable Hr</t>
  </si>
  <si>
    <t>Total Idle Hr</t>
  </si>
  <si>
    <t>Total Down Hr</t>
  </si>
  <si>
    <t>Avg Availability %</t>
  </si>
  <si>
    <t>Avg Utilization %</t>
  </si>
  <si>
    <t>🛠️  2.  DOWNTIME ANALYSIS BY ASSET</t>
  </si>
  <si>
    <t>🔩  3.  MAINTENANCE TREND — BY MAINTENANCE TYPE &amp; GROUP</t>
  </si>
  <si>
    <t>Job Count</t>
  </si>
  <si>
    <t>Total Time (Hrs)</t>
  </si>
  <si>
    <t>MAINTENANCE TREND — BY MAINTENANCE GROUP (top-level system)</t>
  </si>
  <si>
    <t>💵  4.  FUEL &amp; FINANCIAL ANALYSIS BY ASSET</t>
  </si>
  <si>
    <t>Lease Rate/Hr (ETB)</t>
  </si>
  <si>
    <t>Total Maint. Cost (ETB)</t>
  </si>
  <si>
    <t>Net Result (ETB)</t>
  </si>
  <si>
    <t>Cost per Operable Hr (ETB)</t>
  </si>
  <si>
    <t>🎯  5.  FLEET OPTIMIZATION RECOMMENDATIONS</t>
  </si>
  <si>
    <t>Availability Status</t>
  </si>
  <si>
    <t>Utilization Status</t>
  </si>
  <si>
    <t>Fuel Efficiency</t>
  </si>
  <si>
    <t>Maintenance Priority</t>
  </si>
  <si>
    <t>Recommendation</t>
  </si>
  <si>
    <t>Note: All figures are formula-driven from Asset Register, Daily Operations Log, and Maintenance Log. For a breakdown by individual task (which of the 858 standardized tasks recurs most), insert a PivotTable from the Maintenance Log table once real data is loaded -- see the Read Me sheet.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</si>
</sst>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yyyy\-mm\-dd"/>
    <numFmt numFmtId="166" formatCode="0.0%"/>
    <numFmt numFmtId="167" formatCode="#,##0.0"/>
  </numFmts>
  <fonts count="31" x14ac:knownFonts="1">
    <font>
      <sz val="11"/>
      <color theme="1"/>
      <name val="Calibri"/>
      <family val="2"/>
      <charset val="1"/>
    </font>
    <font>
      <b/>
      <sz val="16"/>
      <color rgb="FF1F3864"/>
      <name val="Arial"/>
      <family val="2"/>
    </font>
    <font>
      <i/>
      <sz val="10"/>
      <color rgb="FF595959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b/>
      <sz val="12"/>
      <color rgb="FF1F3864"/>
      <name val="Arial"/>
      <family val="2"/>
    </font>
    <font>
      <b/>
      <sz val="11"/>
      <color rgb="FFFFFFFF"/>
      <name val="Arial"/>
      <family val="2"/>
    </font>
    <font>
      <sz val="10"/>
      <color rgb="FF0000FF"/>
      <name val="Arial"/>
      <family val="2"/>
    </font>
    <font>
      <b/>
      <sz val="20"/>
      <color rgb="FFFFFFFF"/>
      <name val="Arial"/>
      <family val="2"/>
    </font>
    <font>
      <i/>
      <sz val="10"/>
      <color rgb="FFFFFFFF"/>
      <name val="Arial"/>
      <family val="2"/>
    </font>
    <font>
      <b/>
      <sz val="9"/>
      <color rgb="FF2E5395"/>
      <name val="Arial"/>
      <family val="2"/>
    </font>
    <font>
      <b/>
      <sz val="9"/>
      <color rgb="FF1F7A5C"/>
      <name val="Arial"/>
      <family val="2"/>
    </font>
    <font>
      <b/>
      <sz val="9"/>
      <color rgb="FF6B3FA0"/>
      <name val="Arial"/>
      <family val="2"/>
    </font>
    <font>
      <b/>
      <sz val="9"/>
      <color rgb="FFC1651B"/>
      <name val="Arial"/>
      <family val="2"/>
    </font>
    <font>
      <b/>
      <sz val="9"/>
      <color rgb="FFB23B3B"/>
      <name val="Arial"/>
      <family val="2"/>
    </font>
    <font>
      <b/>
      <sz val="18"/>
      <color rgb="FF2E5395"/>
      <name val="Arial"/>
      <family val="2"/>
    </font>
    <font>
      <b/>
      <sz val="18"/>
      <color rgb="FF1F7A5C"/>
      <name val="Arial"/>
      <family val="2"/>
    </font>
    <font>
      <b/>
      <sz val="18"/>
      <color rgb="FF6B3FA0"/>
      <name val="Arial"/>
      <family val="2"/>
    </font>
    <font>
      <b/>
      <sz val="18"/>
      <color rgb="FFC1651B"/>
      <name val="Arial"/>
      <family val="2"/>
    </font>
    <font>
      <b/>
      <sz val="18"/>
      <color rgb="FFB23B3B"/>
      <name val="Arial"/>
      <family val="2"/>
    </font>
    <font>
      <b/>
      <sz val="9"/>
      <color rgb="FF1E8449"/>
      <name val="Arial"/>
      <family val="2"/>
    </font>
    <font>
      <b/>
      <sz val="9"/>
      <color rgb="FFB4530A"/>
      <name val="Arial"/>
      <family val="2"/>
    </font>
    <font>
      <b/>
      <sz val="9"/>
      <color rgb="FF1F3864"/>
      <name val="Arial"/>
      <family val="2"/>
    </font>
    <font>
      <b/>
      <sz val="9"/>
      <color rgb="FFB7950B"/>
      <name val="Arial"/>
      <family val="2"/>
    </font>
    <font>
      <b/>
      <sz val="18"/>
      <color rgb="FF1E8449"/>
      <name val="Arial"/>
      <family val="2"/>
    </font>
    <font>
      <b/>
      <sz val="18"/>
      <color rgb="FFB4530A"/>
      <name val="Arial"/>
      <family val="2"/>
    </font>
    <font>
      <b/>
      <sz val="18"/>
      <color rgb="FF1F3864"/>
      <name val="Arial"/>
      <family val="2"/>
    </font>
    <font>
      <b/>
      <sz val="18"/>
      <color rgb="FFB7950B"/>
      <name val="Arial"/>
      <family val="2"/>
    </font>
    <font>
      <b/>
      <sz val="12"/>
      <color rgb="FFFFFFFF"/>
      <name val="Arial"/>
      <family val="2"/>
    </font>
    <font>
      <b/>
      <sz val="11"/>
      <color rgb="FF1F3864"/>
      <name val="Arial"/>
      <family val="2"/>
    </font>
    <font>
      <i/>
      <sz val="9"/>
      <color rgb="FF808080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rgb="FF1F3864"/>
        <bgColor rgb="FF2E5395"/>
      </patternFill>
    </fill>
    <fill>
      <patternFill patternType="solid">
        <fgColor rgb="FFD9E2F3"/>
        <bgColor rgb="FFDCE6F5"/>
      </patternFill>
    </fill>
    <fill>
      <patternFill patternType="solid">
        <fgColor rgb="FF2E5395"/>
        <bgColor rgb="FF1F3864"/>
      </patternFill>
    </fill>
    <fill>
      <patternFill patternType="solid">
        <fgColor rgb="FF1F7A5C"/>
        <bgColor rgb="FF1E8449"/>
      </patternFill>
    </fill>
    <fill>
      <patternFill patternType="solid">
        <fgColor rgb="FF6B3FA0"/>
        <bgColor rgb="FF595959"/>
      </patternFill>
    </fill>
    <fill>
      <patternFill patternType="solid">
        <fgColor rgb="FFC1651B"/>
        <bgColor rgb="FFB4530A"/>
      </patternFill>
    </fill>
    <fill>
      <patternFill patternType="solid">
        <fgColor rgb="FFB23B3B"/>
        <bgColor rgb="FFC0504D"/>
      </patternFill>
    </fill>
    <fill>
      <patternFill patternType="solid">
        <fgColor rgb="FFDCE6F5"/>
        <bgColor rgb="FFD9E2F3"/>
      </patternFill>
    </fill>
    <fill>
      <patternFill patternType="solid">
        <fgColor rgb="FFD9F2E6"/>
        <bgColor rgb="FFD6F5E3"/>
      </patternFill>
    </fill>
    <fill>
      <patternFill patternType="solid">
        <fgColor rgb="FFECE0F8"/>
        <bgColor rgb="FFDCE6F5"/>
      </patternFill>
    </fill>
    <fill>
      <patternFill patternType="solid">
        <fgColor rgb="FFFCE8D5"/>
        <bgColor rgb="FFFBE4D0"/>
      </patternFill>
    </fill>
    <fill>
      <patternFill patternType="solid">
        <fgColor rgb="FFFBE0E0"/>
        <bgColor rgb="FFFBE4D0"/>
      </patternFill>
    </fill>
    <fill>
      <patternFill patternType="solid">
        <fgColor rgb="FF1E8449"/>
        <bgColor rgb="FF1F7A5C"/>
      </patternFill>
    </fill>
    <fill>
      <patternFill patternType="solid">
        <fgColor rgb="FFB4530A"/>
        <bgColor rgb="FFC1651B"/>
      </patternFill>
    </fill>
    <fill>
      <patternFill patternType="solid">
        <fgColor rgb="FFB7950B"/>
        <bgColor rgb="FFC1651B"/>
      </patternFill>
    </fill>
    <fill>
      <patternFill patternType="solid">
        <fgColor rgb="FFD6F5E3"/>
        <bgColor rgb="FFD9F2E6"/>
      </patternFill>
    </fill>
    <fill>
      <patternFill patternType="solid">
        <fgColor rgb="FFFBE4D0"/>
        <bgColor rgb="FFFCE8D5"/>
      </patternFill>
    </fill>
    <fill>
      <patternFill patternType="solid">
        <fgColor rgb="FFFAF3D0"/>
        <bgColor rgb="FFFCE8D5"/>
      </patternFill>
    </fill>
  </fills>
  <borders count="29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medium">
        <color rgb="FF2E5395"/>
      </left>
      <right style="medium">
        <color rgb="FF2E5395"/>
      </right>
      <top style="medium">
        <color rgb="FF2E5395"/>
      </top>
      <bottom/>
      <diagonal/>
    </border>
    <border>
      <left style="medium">
        <color rgb="FF1F7A5C"/>
      </left>
      <right style="medium">
        <color rgb="FF1F7A5C"/>
      </right>
      <top style="medium">
        <color rgb="FF1F7A5C"/>
      </top>
      <bottom/>
      <diagonal/>
    </border>
    <border>
      <left style="medium">
        <color rgb="FF6B3FA0"/>
      </left>
      <right style="medium">
        <color rgb="FF6B3FA0"/>
      </right>
      <top style="medium">
        <color rgb="FF6B3FA0"/>
      </top>
      <bottom/>
      <diagonal/>
    </border>
    <border>
      <left style="medium">
        <color rgb="FFC1651B"/>
      </left>
      <right style="medium">
        <color rgb="FFC1651B"/>
      </right>
      <top style="medium">
        <color rgb="FFC1651B"/>
      </top>
      <bottom/>
      <diagonal/>
    </border>
    <border>
      <left style="medium">
        <color rgb="FFB23B3B"/>
      </left>
      <right style="medium">
        <color rgb="FFB23B3B"/>
      </right>
      <top style="medium">
        <color rgb="FFB23B3B"/>
      </top>
      <bottom/>
      <diagonal/>
    </border>
    <border>
      <left style="medium">
        <color rgb="FF2E5395"/>
      </left>
      <right style="medium">
        <color rgb="FF2E5395"/>
      </right>
      <top/>
      <bottom/>
      <diagonal/>
    </border>
    <border>
      <left style="medium">
        <color rgb="FF1F7A5C"/>
      </left>
      <right style="medium">
        <color rgb="FF1F7A5C"/>
      </right>
      <top/>
      <bottom/>
      <diagonal/>
    </border>
    <border>
      <left style="medium">
        <color rgb="FF6B3FA0"/>
      </left>
      <right style="medium">
        <color rgb="FF6B3FA0"/>
      </right>
      <top/>
      <bottom/>
      <diagonal/>
    </border>
    <border>
      <left style="medium">
        <color rgb="FFC1651B"/>
      </left>
      <right style="medium">
        <color rgb="FFC1651B"/>
      </right>
      <top/>
      <bottom/>
      <diagonal/>
    </border>
    <border>
      <left style="medium">
        <color rgb="FFB23B3B"/>
      </left>
      <right style="medium">
        <color rgb="FFB23B3B"/>
      </right>
      <top/>
      <bottom/>
      <diagonal/>
    </border>
    <border>
      <left style="medium">
        <color rgb="FF2E5395"/>
      </left>
      <right style="medium">
        <color rgb="FF2E5395"/>
      </right>
      <top/>
      <bottom style="medium">
        <color rgb="FF2E5395"/>
      </bottom>
      <diagonal/>
    </border>
    <border>
      <left style="medium">
        <color rgb="FF1F7A5C"/>
      </left>
      <right style="medium">
        <color rgb="FF1F7A5C"/>
      </right>
      <top/>
      <bottom style="medium">
        <color rgb="FF1F7A5C"/>
      </bottom>
      <diagonal/>
    </border>
    <border>
      <left style="medium">
        <color rgb="FF6B3FA0"/>
      </left>
      <right style="medium">
        <color rgb="FF6B3FA0"/>
      </right>
      <top/>
      <bottom style="medium">
        <color rgb="FF6B3FA0"/>
      </bottom>
      <diagonal/>
    </border>
    <border>
      <left style="medium">
        <color rgb="FFC1651B"/>
      </left>
      <right style="medium">
        <color rgb="FFC1651B"/>
      </right>
      <top/>
      <bottom style="medium">
        <color rgb="FFC1651B"/>
      </bottom>
      <diagonal/>
    </border>
    <border>
      <left style="medium">
        <color rgb="FFB23B3B"/>
      </left>
      <right style="medium">
        <color rgb="FFB23B3B"/>
      </right>
      <top/>
      <bottom style="medium">
        <color rgb="FFB23B3B"/>
      </bottom>
      <diagonal/>
    </border>
    <border>
      <left style="medium">
        <color rgb="FF1E8449"/>
      </left>
      <right style="medium">
        <color rgb="FF1E8449"/>
      </right>
      <top style="medium">
        <color rgb="FF1E8449"/>
      </top>
      <bottom/>
      <diagonal/>
    </border>
    <border>
      <left style="medium">
        <color rgb="FFB4530A"/>
      </left>
      <right style="medium">
        <color rgb="FFB4530A"/>
      </right>
      <top style="medium">
        <color rgb="FFB4530A"/>
      </top>
      <bottom/>
      <diagonal/>
    </border>
    <border>
      <left style="medium">
        <color rgb="FF1F3864"/>
      </left>
      <right style="medium">
        <color rgb="FF1F3864"/>
      </right>
      <top style="medium">
        <color rgb="FF1F3864"/>
      </top>
      <bottom/>
      <diagonal/>
    </border>
    <border>
      <left style="medium">
        <color rgb="FFB7950B"/>
      </left>
      <right style="medium">
        <color rgb="FFB7950B"/>
      </right>
      <top style="medium">
        <color rgb="FFB7950B"/>
      </top>
      <bottom/>
      <diagonal/>
    </border>
    <border>
      <left style="medium">
        <color rgb="FF1E8449"/>
      </left>
      <right style="medium">
        <color rgb="FF1E8449"/>
      </right>
      <top/>
      <bottom/>
      <diagonal/>
    </border>
    <border>
      <left style="medium">
        <color rgb="FFB4530A"/>
      </left>
      <right style="medium">
        <color rgb="FFB4530A"/>
      </right>
      <top/>
      <bottom/>
      <diagonal/>
    </border>
    <border>
      <left style="medium">
        <color rgb="FF1F3864"/>
      </left>
      <right style="medium">
        <color rgb="FF1F3864"/>
      </right>
      <top/>
      <bottom/>
      <diagonal/>
    </border>
    <border>
      <left style="medium">
        <color rgb="FFB7950B"/>
      </left>
      <right style="medium">
        <color rgb="FFB7950B"/>
      </right>
      <top/>
      <bottom/>
      <diagonal/>
    </border>
    <border>
      <left style="medium">
        <color rgb="FF1E8449"/>
      </left>
      <right style="medium">
        <color rgb="FF1E8449"/>
      </right>
      <top/>
      <bottom style="medium">
        <color rgb="FF1E8449"/>
      </bottom>
      <diagonal/>
    </border>
    <border>
      <left style="medium">
        <color rgb="FFB4530A"/>
      </left>
      <right style="medium">
        <color rgb="FFB4530A"/>
      </right>
      <top/>
      <bottom style="medium">
        <color rgb="FFB4530A"/>
      </bottom>
      <diagonal/>
    </border>
    <border>
      <left style="medium">
        <color rgb="FF1F3864"/>
      </left>
      <right style="medium">
        <color rgb="FF1F3864"/>
      </right>
      <top/>
      <bottom style="medium">
        <color rgb="FF1F3864"/>
      </bottom>
      <diagonal/>
    </border>
    <border>
      <left style="medium">
        <color rgb="FFB7950B"/>
      </left>
      <right style="medium">
        <color rgb="FFB7950B"/>
      </right>
      <top/>
      <bottom style="medium">
        <color rgb="FFB7950B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vertical="top" wrapText="1"/>
    </xf>
    <xf numFmtId="0" fontId="5" fillId="0" borderId="0" xfId="0" applyFont="1"/>
    <xf numFmtId="0" fontId="6" fillId="2" borderId="1" xfId="0" applyFont="1" applyFill="1" applyBorder="1" applyAlignment="1">
      <alignment horizontal="center" vertical="center" wrapText="1"/>
    </xf>
    <xf numFmtId="0" fontId="4" fillId="0" borderId="1" xfId="0" applyFont="1" applyBorder="1"/>
    <xf numFmtId="0" fontId="7" fillId="0" borderId="1" xfId="0" applyFont="1" applyBorder="1"/>
    <xf numFmtId="164" fontId="7" fillId="0" borderId="1" xfId="0" applyNumberFormat="1" applyFont="1" applyBorder="1"/>
    <xf numFmtId="3" fontId="7" fillId="0" borderId="1" xfId="0" applyNumberFormat="1" applyFont="1" applyBorder="1"/>
    <xf numFmtId="165" fontId="7" fillId="0" borderId="1" xfId="0" applyNumberFormat="1" applyFont="1" applyBorder="1"/>
    <xf numFmtId="0" fontId="7" fillId="3" borderId="1" xfId="0" applyFont="1" applyFill="1" applyBorder="1"/>
    <xf numFmtId="166" fontId="4" fillId="0" borderId="1" xfId="0" applyNumberFormat="1" applyFont="1" applyBorder="1"/>
    <xf numFmtId="164" fontId="4" fillId="0" borderId="1" xfId="0" applyNumberFormat="1" applyFont="1" applyBorder="1"/>
    <xf numFmtId="3" fontId="4" fillId="0" borderId="1" xfId="0" applyNumberFormat="1" applyFont="1" applyBorder="1"/>
    <xf numFmtId="165" fontId="0" fillId="0" borderId="0" xfId="0" applyNumberFormat="1"/>
    <xf numFmtId="166" fontId="0" fillId="0" borderId="0" xfId="0" applyNumberFormat="1"/>
    <xf numFmtId="3" fontId="0" fillId="0" borderId="0" xfId="0" applyNumberFormat="1"/>
    <xf numFmtId="0" fontId="0" fillId="0" borderId="0" xfId="0" applyFont="1"/>
    <xf numFmtId="0" fontId="29" fillId="0" borderId="0" xfId="0" applyFont="1"/>
    <xf numFmtId="0" fontId="30" fillId="0" borderId="0" xfId="0" applyFont="1" applyBorder="1" applyAlignment="1">
      <alignment wrapText="1"/>
    </xf>
    <xf numFmtId="0" fontId="28" fillId="4" borderId="0" xfId="0" applyFont="1" applyFill="1" applyBorder="1" applyAlignment="1">
      <alignment horizontal="left" vertical="center" indent="1"/>
    </xf>
    <xf numFmtId="0" fontId="28" fillId="7" borderId="0" xfId="0" applyFont="1" applyFill="1" applyBorder="1" applyAlignment="1">
      <alignment horizontal="left" vertical="center" indent="1"/>
    </xf>
    <xf numFmtId="0" fontId="28" fillId="6" borderId="0" xfId="0" applyFont="1" applyFill="1" applyBorder="1" applyAlignment="1">
      <alignment horizontal="left" vertical="center" indent="1"/>
    </xf>
    <xf numFmtId="0" fontId="28" fillId="14" borderId="0" xfId="0" applyFont="1" applyFill="1" applyBorder="1" applyAlignment="1">
      <alignment horizontal="left" vertical="center" indent="1"/>
    </xf>
    <xf numFmtId="0" fontId="28" fillId="2" borderId="0" xfId="0" applyFont="1" applyFill="1" applyBorder="1" applyAlignment="1">
      <alignment horizontal="left" vertical="center" indent="1"/>
    </xf>
    <xf numFmtId="3" fontId="24" fillId="17" borderId="25" xfId="0" applyNumberFormat="1" applyFont="1" applyFill="1" applyBorder="1" applyAlignment="1">
      <alignment horizontal="left" vertical="center" indent="1"/>
    </xf>
    <xf numFmtId="3" fontId="25" fillId="18" borderId="26" xfId="0" applyNumberFormat="1" applyFont="1" applyFill="1" applyBorder="1" applyAlignment="1">
      <alignment horizontal="left" vertical="center" indent="1"/>
    </xf>
    <xf numFmtId="3" fontId="26" fillId="9" borderId="27" xfId="0" applyNumberFormat="1" applyFont="1" applyFill="1" applyBorder="1" applyAlignment="1">
      <alignment horizontal="left" vertical="center" indent="1"/>
    </xf>
    <xf numFmtId="3" fontId="27" fillId="19" borderId="28" xfId="0" applyNumberFormat="1" applyFont="1" applyFill="1" applyBorder="1" applyAlignment="1">
      <alignment horizontal="left" vertical="center" indent="1"/>
    </xf>
    <xf numFmtId="166" fontId="27" fillId="19" borderId="28" xfId="0" applyNumberFormat="1" applyFont="1" applyFill="1" applyBorder="1" applyAlignment="1">
      <alignment horizontal="left" vertical="center" indent="1"/>
    </xf>
    <xf numFmtId="0" fontId="20" fillId="17" borderId="21" xfId="0" applyFont="1" applyFill="1" applyBorder="1" applyAlignment="1">
      <alignment horizontal="left" vertical="center" indent="1"/>
    </xf>
    <xf numFmtId="0" fontId="21" fillId="18" borderId="22" xfId="0" applyFont="1" applyFill="1" applyBorder="1" applyAlignment="1">
      <alignment horizontal="left" vertical="center" indent="1"/>
    </xf>
    <xf numFmtId="0" fontId="22" fillId="9" borderId="23" xfId="0" applyFont="1" applyFill="1" applyBorder="1" applyAlignment="1">
      <alignment horizontal="left" vertical="center" indent="1"/>
    </xf>
    <xf numFmtId="0" fontId="23" fillId="19" borderId="24" xfId="0" applyFont="1" applyFill="1" applyBorder="1" applyAlignment="1">
      <alignment horizontal="left" vertical="center" indent="1"/>
    </xf>
    <xf numFmtId="0" fontId="0" fillId="14" borderId="17" xfId="0" applyFill="1" applyBorder="1"/>
    <xf numFmtId="0" fontId="0" fillId="15" borderId="18" xfId="0" applyFill="1" applyBorder="1"/>
    <xf numFmtId="0" fontId="0" fillId="2" borderId="19" xfId="0" applyFill="1" applyBorder="1"/>
    <xf numFmtId="0" fontId="0" fillId="16" borderId="20" xfId="0" applyFill="1" applyBorder="1"/>
    <xf numFmtId="3" fontId="15" fillId="9" borderId="12" xfId="0" applyNumberFormat="1" applyFont="1" applyFill="1" applyBorder="1" applyAlignment="1">
      <alignment horizontal="left" vertical="center" indent="1"/>
    </xf>
    <xf numFmtId="166" fontId="16" fillId="10" borderId="13" xfId="0" applyNumberFormat="1" applyFont="1" applyFill="1" applyBorder="1" applyAlignment="1">
      <alignment horizontal="left" vertical="center" indent="1"/>
    </xf>
    <xf numFmtId="166" fontId="17" fillId="11" borderId="14" xfId="0" applyNumberFormat="1" applyFont="1" applyFill="1" applyBorder="1" applyAlignment="1">
      <alignment horizontal="left" vertical="center" indent="1"/>
    </xf>
    <xf numFmtId="167" fontId="18" fillId="12" borderId="15" xfId="0" applyNumberFormat="1" applyFont="1" applyFill="1" applyBorder="1" applyAlignment="1">
      <alignment horizontal="left" vertical="center" indent="1"/>
    </xf>
    <xf numFmtId="3" fontId="19" fillId="13" borderId="16" xfId="0" applyNumberFormat="1" applyFont="1" applyFill="1" applyBorder="1" applyAlignment="1">
      <alignment horizontal="left" vertical="center" indent="1"/>
    </xf>
    <xf numFmtId="0" fontId="10" fillId="9" borderId="7" xfId="0" applyFont="1" applyFill="1" applyBorder="1" applyAlignment="1">
      <alignment horizontal="left" vertical="center" indent="1"/>
    </xf>
    <xf numFmtId="0" fontId="11" fillId="10" borderId="8" xfId="0" applyFont="1" applyFill="1" applyBorder="1" applyAlignment="1">
      <alignment horizontal="left" vertical="center" indent="1"/>
    </xf>
    <xf numFmtId="0" fontId="12" fillId="11" borderId="9" xfId="0" applyFont="1" applyFill="1" applyBorder="1" applyAlignment="1">
      <alignment horizontal="left" vertical="center" indent="1"/>
    </xf>
    <xf numFmtId="0" fontId="13" fillId="12" borderId="10" xfId="0" applyFont="1" applyFill="1" applyBorder="1" applyAlignment="1">
      <alignment horizontal="left" vertical="center" indent="1"/>
    </xf>
    <xf numFmtId="0" fontId="14" fillId="13" borderId="11" xfId="0" applyFont="1" applyFill="1" applyBorder="1" applyAlignment="1">
      <alignment horizontal="left" vertical="center" indent="1"/>
    </xf>
    <xf numFmtId="0" fontId="8" fillId="2" borderId="0" xfId="0" applyFont="1" applyFill="1" applyBorder="1" applyAlignment="1">
      <alignment horizontal="left" vertical="center" indent="1"/>
    </xf>
    <xf numFmtId="0" fontId="9" fillId="4" borderId="0" xfId="0" applyFont="1" applyFill="1" applyBorder="1" applyAlignment="1">
      <alignment horizontal="left" vertical="center" indent="1"/>
    </xf>
    <xf numFmtId="0" fontId="0" fillId="4" borderId="2" xfId="0" applyFill="1" applyBorder="1"/>
    <xf numFmtId="0" fontId="0" fillId="5" borderId="3" xfId="0" applyFill="1" applyBorder="1"/>
    <xf numFmtId="0" fontId="0" fillId="6" borderId="4" xfId="0" applyFill="1" applyBorder="1"/>
    <xf numFmtId="0" fontId="0" fillId="7" borderId="5" xfId="0" applyFill="1" applyBorder="1"/>
    <xf numFmtId="0" fontId="0" fillId="8" borderId="6" xfId="0" applyFill="1" applyBorder="1"/>
  </cellXfs>
  <cellStyles count="1">
    <cellStyle name="Normal" xfId="0" builtinId="0"/>
  </cellStyles>
  <dxfs count="39">
    <dxf>
      <font>
        <sz val="10"/>
        <color rgb="FF9C0006"/>
        <name val="Arial"/>
        <charset val="1"/>
      </font>
      <fill>
        <patternFill>
          <bgColor rgb="FFFFC7CE"/>
        </patternFill>
      </fill>
    </dxf>
    <dxf>
      <font>
        <sz val="10"/>
        <color rgb="FF9C0006"/>
        <name val="Arial"/>
        <charset val="1"/>
      </font>
      <fill>
        <patternFill>
          <bgColor rgb="FFFFC7CE"/>
        </patternFill>
      </fill>
    </dxf>
    <dxf>
      <font>
        <sz val="10"/>
        <color rgb="FF9C0006"/>
        <name val="Arial"/>
        <charset val="1"/>
      </font>
      <fill>
        <patternFill>
          <bgColor rgb="FFFFC7CE"/>
        </patternFill>
      </fill>
    </dxf>
    <dxf>
      <font>
        <sz val="10"/>
        <color rgb="FF9C0006"/>
        <name val="Arial"/>
        <charset val="1"/>
      </font>
      <fill>
        <patternFill>
          <bgColor rgb="FFFFC7CE"/>
        </patternFill>
      </fill>
    </dxf>
    <dxf>
      <font>
        <sz val="10"/>
        <color rgb="FF9C6500"/>
        <name val="Arial"/>
        <charset val="1"/>
      </font>
      <fill>
        <patternFill>
          <bgColor rgb="FFFFEB9C"/>
        </patternFill>
      </fill>
    </dxf>
    <dxf>
      <font>
        <sz val="10"/>
        <color rgb="FF9C6500"/>
        <name val="Arial"/>
        <charset val="1"/>
      </font>
      <fill>
        <patternFill>
          <bgColor rgb="FFFFEB9C"/>
        </patternFill>
      </fill>
    </dxf>
    <dxf>
      <font>
        <sz val="10"/>
        <color rgb="FF1E6B3C"/>
        <name val="Arial"/>
        <charset val="1"/>
      </font>
      <fill>
        <patternFill>
          <bgColor rgb="FFC6EFCE"/>
        </patternFill>
      </fill>
    </dxf>
    <dxf>
      <font>
        <sz val="10"/>
        <color rgb="FF1E6B3C"/>
        <name val="Arial"/>
        <charset val="1"/>
      </font>
      <fill>
        <patternFill>
          <bgColor rgb="FFC6EFCE"/>
        </patternFill>
      </fill>
    </dxf>
    <dxf>
      <font>
        <sz val="10"/>
        <color rgb="FF1E6B3C"/>
        <name val="Arial"/>
        <charset val="1"/>
      </font>
      <fill>
        <patternFill>
          <bgColor rgb="FFC6EFCE"/>
        </patternFill>
      </fill>
    </dxf>
    <dxf>
      <font>
        <sz val="10"/>
        <color rgb="FF9C0006"/>
        <name val="Arial"/>
        <charset val="1"/>
      </font>
      <fill>
        <patternFill>
          <bgColor rgb="FFFFC7CE"/>
        </patternFill>
      </fill>
    </dxf>
    <dxf>
      <font>
        <sz val="10"/>
        <color rgb="FF9C0006"/>
        <name val="Arial"/>
        <charset val="1"/>
      </font>
      <fill>
        <patternFill>
          <bgColor rgb="FFFFC7CE"/>
        </patternFill>
      </fill>
    </dxf>
    <dxf>
      <font>
        <sz val="10"/>
        <color rgb="FF9C0006"/>
        <name val="Arial"/>
        <charset val="1"/>
      </font>
      <fill>
        <patternFill>
          <bgColor rgb="FFFFC7CE"/>
        </patternFill>
      </fill>
    </dxf>
    <dxf>
      <font>
        <sz val="10"/>
        <color rgb="FF9C0006"/>
        <name val="Arial"/>
        <charset val="1"/>
      </font>
      <fill>
        <patternFill>
          <bgColor rgb="FFFFC7CE"/>
        </patternFill>
      </fill>
    </dxf>
    <dxf>
      <font>
        <sz val="10"/>
        <color rgb="FF9C6500"/>
        <name val="Arial"/>
        <charset val="1"/>
      </font>
      <fill>
        <patternFill>
          <bgColor rgb="FFFFEB9C"/>
        </patternFill>
      </fill>
    </dxf>
    <dxf>
      <font>
        <sz val="10"/>
        <color rgb="FF9C6500"/>
        <name val="Arial"/>
        <charset val="1"/>
      </font>
      <fill>
        <patternFill>
          <bgColor rgb="FFFFEB9C"/>
        </patternFill>
      </fill>
    </dxf>
    <dxf>
      <font>
        <sz val="10"/>
        <color rgb="FF1E6B3C"/>
        <name val="Arial"/>
        <charset val="1"/>
      </font>
      <fill>
        <patternFill>
          <bgColor rgb="FFC6EFCE"/>
        </patternFill>
      </fill>
    </dxf>
    <dxf>
      <font>
        <sz val="10"/>
        <color rgb="FF1E6B3C"/>
        <name val="Arial"/>
        <charset val="1"/>
      </font>
      <fill>
        <patternFill>
          <bgColor rgb="FFC6EFCE"/>
        </patternFill>
      </fill>
    </dxf>
    <dxf>
      <font>
        <sz val="10"/>
        <color rgb="FF1E6B3C"/>
        <name val="Arial"/>
        <charset val="1"/>
      </font>
      <fill>
        <patternFill>
          <bgColor rgb="FFC6EFCE"/>
        </patternFill>
      </fill>
    </dxf>
    <dxf>
      <font>
        <sz val="10"/>
        <color rgb="FF9C0006"/>
        <name val="Arial"/>
        <charset val="1"/>
      </font>
      <fill>
        <patternFill>
          <bgColor rgb="FFFFC7CE"/>
        </patternFill>
      </fill>
    </dxf>
    <dxf>
      <font>
        <sz val="10"/>
        <color rgb="FF9C0006"/>
        <name val="Arial"/>
        <charset val="1"/>
      </font>
      <fill>
        <patternFill>
          <bgColor rgb="FFFFC7CE"/>
        </patternFill>
      </fill>
    </dxf>
    <dxf>
      <font>
        <sz val="10"/>
        <color rgb="FF9C0006"/>
        <name val="Arial"/>
        <charset val="1"/>
      </font>
      <fill>
        <patternFill>
          <bgColor rgb="FFFFC7CE"/>
        </patternFill>
      </fill>
    </dxf>
    <dxf>
      <font>
        <sz val="10"/>
        <color rgb="FF9C0006"/>
        <name val="Arial"/>
        <charset val="1"/>
      </font>
      <fill>
        <patternFill>
          <bgColor rgb="FFFFC7CE"/>
        </patternFill>
      </fill>
    </dxf>
    <dxf>
      <font>
        <sz val="10"/>
        <color rgb="FF9C6500"/>
        <name val="Arial"/>
        <charset val="1"/>
      </font>
      <fill>
        <patternFill>
          <bgColor rgb="FFFFEB9C"/>
        </patternFill>
      </fill>
    </dxf>
    <dxf>
      <font>
        <sz val="10"/>
        <color rgb="FF9C6500"/>
        <name val="Arial"/>
        <charset val="1"/>
      </font>
      <fill>
        <patternFill>
          <bgColor rgb="FFFFEB9C"/>
        </patternFill>
      </fill>
    </dxf>
    <dxf>
      <font>
        <sz val="10"/>
        <color rgb="FF1E6B3C"/>
        <name val="Arial"/>
        <charset val="1"/>
      </font>
      <fill>
        <patternFill>
          <bgColor rgb="FFC6EFCE"/>
        </patternFill>
      </fill>
    </dxf>
    <dxf>
      <font>
        <sz val="10"/>
        <color rgb="FF1E6B3C"/>
        <name val="Arial"/>
        <charset val="1"/>
      </font>
      <fill>
        <patternFill>
          <bgColor rgb="FFC6EFCE"/>
        </patternFill>
      </fill>
    </dxf>
    <dxf>
      <font>
        <sz val="10"/>
        <color rgb="FF1E6B3C"/>
        <name val="Arial"/>
        <charset val="1"/>
      </font>
      <fill>
        <patternFill>
          <bgColor rgb="FFC6EFCE"/>
        </patternFill>
      </fill>
    </dxf>
    <dxf>
      <font>
        <sz val="10"/>
        <color rgb="FF9C0006"/>
        <name val="Arial"/>
        <charset val="1"/>
      </font>
      <fill>
        <patternFill>
          <bgColor rgb="FFFFC7CE"/>
        </patternFill>
      </fill>
    </dxf>
    <dxf>
      <font>
        <sz val="10"/>
        <color rgb="FF9C0006"/>
        <name val="Arial"/>
        <charset val="1"/>
      </font>
      <fill>
        <patternFill>
          <bgColor rgb="FFFFC7CE"/>
        </patternFill>
      </fill>
    </dxf>
    <dxf>
      <font>
        <sz val="10"/>
        <color rgb="FF9C0006"/>
        <name val="Arial"/>
        <charset val="1"/>
      </font>
      <fill>
        <patternFill>
          <bgColor rgb="FFFFC7CE"/>
        </patternFill>
      </fill>
    </dxf>
    <dxf>
      <font>
        <sz val="10"/>
        <color rgb="FF9C0006"/>
        <name val="Arial"/>
        <charset val="1"/>
      </font>
      <fill>
        <patternFill>
          <bgColor rgb="FFFFC7CE"/>
        </patternFill>
      </fill>
    </dxf>
    <dxf>
      <font>
        <sz val="10"/>
        <color rgb="FF9C6500"/>
        <name val="Arial"/>
        <charset val="1"/>
      </font>
      <fill>
        <patternFill>
          <bgColor rgb="FFFFEB9C"/>
        </patternFill>
      </fill>
    </dxf>
    <dxf>
      <font>
        <sz val="10"/>
        <color rgb="FF9C6500"/>
        <name val="Arial"/>
        <charset val="1"/>
      </font>
      <fill>
        <patternFill>
          <bgColor rgb="FFFFEB9C"/>
        </patternFill>
      </fill>
    </dxf>
    <dxf>
      <font>
        <sz val="10"/>
        <color rgb="FF1E6B3C"/>
        <name val="Arial"/>
        <charset val="1"/>
      </font>
      <fill>
        <patternFill>
          <bgColor rgb="FFC6EFCE"/>
        </patternFill>
      </fill>
    </dxf>
    <dxf>
      <font>
        <sz val="10"/>
        <color rgb="FF1E6B3C"/>
        <name val="Arial"/>
        <charset val="1"/>
      </font>
      <fill>
        <patternFill>
          <bgColor rgb="FFC6EFCE"/>
        </patternFill>
      </fill>
    </dxf>
    <dxf>
      <font>
        <sz val="10"/>
        <color rgb="FF1E6B3C"/>
        <name val="Arial"/>
        <charset val="1"/>
      </font>
      <fill>
        <patternFill>
          <bgColor rgb="FFC6EFCE"/>
        </patternFill>
      </fill>
    </dxf>
    <dxf>
      <font>
        <sz val="10"/>
        <color rgb="FF1E6B3C"/>
        <name val="Arial"/>
        <charset val="1"/>
      </font>
      <fill>
        <patternFill>
          <bgColor rgb="FFC6EFCE"/>
        </patternFill>
      </fill>
    </dxf>
    <dxf>
      <font>
        <sz val="10"/>
        <color rgb="FF9C6500"/>
        <name val="Arial"/>
        <charset val="1"/>
      </font>
      <fill>
        <patternFill>
          <bgColor rgb="FFFFEB9C"/>
        </patternFill>
      </fill>
    </dxf>
    <dxf>
      <font>
        <sz val="10"/>
        <color rgb="FF9C0006"/>
        <name val="Arial"/>
        <charset val="1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CE8D5"/>
      <rgbColor rgb="FFFF00FF"/>
      <rgbColor rgb="FF00FFFF"/>
      <rgbColor rgb="FF9C0006"/>
      <rgbColor rgb="FF1E6B3C"/>
      <rgbColor rgb="FF000080"/>
      <rgbColor rgb="FF9C6500"/>
      <rgbColor rgb="FF800080"/>
      <rgbColor rgb="FF1F7A5C"/>
      <rgbColor rgb="FFB7B7B7"/>
      <rgbColor rgb="FF808080"/>
      <rgbColor rgb="FFDCE6F5"/>
      <rgbColor rgb="FFB23B3B"/>
      <rgbColor rgb="FFFAF3D0"/>
      <rgbColor rgb="FFD9F2E6"/>
      <rgbColor rgb="FF660066"/>
      <rgbColor rgb="FFFF8080"/>
      <rgbColor rgb="FF0066CC"/>
      <rgbColor rgb="FFD9D9D9"/>
      <rgbColor rgb="FF000080"/>
      <rgbColor rgb="FFFF00FF"/>
      <rgbColor rgb="FFF9F9F9"/>
      <rgbColor rgb="FF00FFFF"/>
      <rgbColor rgb="FF800080"/>
      <rgbColor rgb="FF800000"/>
      <rgbColor rgb="FF008080"/>
      <rgbColor rgb="FF0000FF"/>
      <rgbColor rgb="FF00CCFF"/>
      <rgbColor rgb="FFC6EFCE"/>
      <rgbColor rgb="FFD6F5E3"/>
      <rgbColor rgb="FFFFEB9C"/>
      <rgbColor rgb="FFD9E2F3"/>
      <rgbColor rgb="FFFBE0E0"/>
      <rgbColor rgb="FFECE0F8"/>
      <rgbColor rgb="FFFFC7CE"/>
      <rgbColor rgb="FF4F81BD"/>
      <rgbColor rgb="FF33CCCC"/>
      <rgbColor rgb="FF9BBB59"/>
      <rgbColor rgb="FFFBE4D0"/>
      <rgbColor rgb="FFB7950B"/>
      <rgbColor rgb="FFC1651B"/>
      <rgbColor rgb="FF595959"/>
      <rgbColor rgb="FF878787"/>
      <rgbColor rgb="FF1F3864"/>
      <rgbColor rgb="FF1E8449"/>
      <rgbColor rgb="FF003300"/>
      <rgbColor rgb="FF333300"/>
      <rgbColor rgb="FFB4530A"/>
      <rgbColor rgb="FFC0504D"/>
      <rgbColor rgb="FF2E5395"/>
      <rgbColor rgb="FF6B3FA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Revenue vs Maintenance Cost by Asset (ETB)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Dashboard!$I$108</c:f>
              <c:strCache>
                <c:ptCount val="1"/>
                <c:pt idx="0">
                  <c:v>Total Revenue (ETB)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Dashboard!$B$109:$B$123</c:f>
              <c:strCache>
                <c:ptCount val="15"/>
                <c:pt idx="0">
                  <c:v>AA-65266</c:v>
                </c:pt>
                <c:pt idx="1">
                  <c:v>AA-65265</c:v>
                </c:pt>
                <c:pt idx="2">
                  <c:v>AA-60042</c:v>
                </c:pt>
                <c:pt idx="3">
                  <c:v>AA-65585</c:v>
                </c:pt>
                <c:pt idx="4">
                  <c:v>AA-9018</c:v>
                </c:pt>
                <c:pt idx="5">
                  <c:v>LV-1001</c:v>
                </c:pt>
                <c:pt idx="6">
                  <c:v>LV-1002</c:v>
                </c:pt>
                <c:pt idx="7">
                  <c:v>LV-1003</c:v>
                </c:pt>
                <c:pt idx="8">
                  <c:v>EX-2001</c:v>
                </c:pt>
                <c:pt idx="9">
                  <c:v>GD-3001</c:v>
                </c:pt>
                <c:pt idx="10">
                  <c:v>LD-4001</c:v>
                </c:pt>
                <c:pt idx="11">
                  <c:v>GN-5001</c:v>
                </c:pt>
                <c:pt idx="12">
                  <c:v>AC-6001</c:v>
                </c:pt>
                <c:pt idx="13">
                  <c:v>HT-7001</c:v>
                </c:pt>
                <c:pt idx="14">
                  <c:v>EL-8001</c:v>
                </c:pt>
              </c:strCache>
            </c:strRef>
          </c:cat>
          <c:val>
            <c:numRef>
              <c:f>Dashboard!$I$109:$I$123</c:f>
              <c:numCache>
                <c:formatCode>#,##0</c:formatCode>
                <c:ptCount val="15"/>
                <c:pt idx="0">
                  <c:v>9900</c:v>
                </c:pt>
                <c:pt idx="1">
                  <c:v>0</c:v>
                </c:pt>
                <c:pt idx="2">
                  <c:v>7200</c:v>
                </c:pt>
                <c:pt idx="3">
                  <c:v>9750</c:v>
                </c:pt>
                <c:pt idx="4">
                  <c:v>9000</c:v>
                </c:pt>
                <c:pt idx="5">
                  <c:v>2700</c:v>
                </c:pt>
                <c:pt idx="6">
                  <c:v>2800</c:v>
                </c:pt>
                <c:pt idx="7">
                  <c:v>1750</c:v>
                </c:pt>
                <c:pt idx="8">
                  <c:v>15400</c:v>
                </c:pt>
                <c:pt idx="9">
                  <c:v>12000</c:v>
                </c:pt>
                <c:pt idx="10">
                  <c:v>12350</c:v>
                </c:pt>
                <c:pt idx="11">
                  <c:v>2400</c:v>
                </c:pt>
                <c:pt idx="12">
                  <c:v>2000</c:v>
                </c:pt>
                <c:pt idx="13">
                  <c:v>11200</c:v>
                </c:pt>
                <c:pt idx="14">
                  <c:v>1600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A9-47BF-B67F-3C32BA37EFBE}"/>
            </c:ext>
          </c:extLst>
        </c:ser>
        <c:ser>
          <c:idx val="1"/>
          <c:order val="1"/>
          <c:tx>
            <c:strRef>
              <c:f>Dashboard!$J$108</c:f>
              <c:strCache>
                <c:ptCount val="1"/>
                <c:pt idx="0">
                  <c:v>Total Maint. Cost (ETB)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Dashboard!$B$109:$B$123</c:f>
              <c:strCache>
                <c:ptCount val="15"/>
                <c:pt idx="0">
                  <c:v>AA-65266</c:v>
                </c:pt>
                <c:pt idx="1">
                  <c:v>AA-65265</c:v>
                </c:pt>
                <c:pt idx="2">
                  <c:v>AA-60042</c:v>
                </c:pt>
                <c:pt idx="3">
                  <c:v>AA-65585</c:v>
                </c:pt>
                <c:pt idx="4">
                  <c:v>AA-9018</c:v>
                </c:pt>
                <c:pt idx="5">
                  <c:v>LV-1001</c:v>
                </c:pt>
                <c:pt idx="6">
                  <c:v>LV-1002</c:v>
                </c:pt>
                <c:pt idx="7">
                  <c:v>LV-1003</c:v>
                </c:pt>
                <c:pt idx="8">
                  <c:v>EX-2001</c:v>
                </c:pt>
                <c:pt idx="9">
                  <c:v>GD-3001</c:v>
                </c:pt>
                <c:pt idx="10">
                  <c:v>LD-4001</c:v>
                </c:pt>
                <c:pt idx="11">
                  <c:v>GN-5001</c:v>
                </c:pt>
                <c:pt idx="12">
                  <c:v>AC-6001</c:v>
                </c:pt>
                <c:pt idx="13">
                  <c:v>HT-7001</c:v>
                </c:pt>
                <c:pt idx="14">
                  <c:v>EL-8001</c:v>
                </c:pt>
              </c:strCache>
            </c:strRef>
          </c:cat>
          <c:val>
            <c:numRef>
              <c:f>Dashboard!$J$109:$J$123</c:f>
              <c:numCache>
                <c:formatCode>#,##0</c:formatCode>
                <c:ptCount val="15"/>
                <c:pt idx="0">
                  <c:v>27300</c:v>
                </c:pt>
                <c:pt idx="1">
                  <c:v>0</c:v>
                </c:pt>
                <c:pt idx="2">
                  <c:v>800</c:v>
                </c:pt>
                <c:pt idx="3">
                  <c:v>1600</c:v>
                </c:pt>
                <c:pt idx="4">
                  <c:v>6200</c:v>
                </c:pt>
                <c:pt idx="5">
                  <c:v>1475</c:v>
                </c:pt>
                <c:pt idx="6">
                  <c:v>3300</c:v>
                </c:pt>
                <c:pt idx="7">
                  <c:v>450</c:v>
                </c:pt>
                <c:pt idx="8">
                  <c:v>84000</c:v>
                </c:pt>
                <c:pt idx="9">
                  <c:v>16840</c:v>
                </c:pt>
                <c:pt idx="10">
                  <c:v>7200</c:v>
                </c:pt>
                <c:pt idx="11">
                  <c:v>1620</c:v>
                </c:pt>
                <c:pt idx="12">
                  <c:v>1140</c:v>
                </c:pt>
                <c:pt idx="13">
                  <c:v>3920</c:v>
                </c:pt>
                <c:pt idx="14">
                  <c:v>330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6A9-47BF-B67F-3C32BA37EF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4063252"/>
        <c:axId val="53769353"/>
      </c:barChart>
      <c:catAx>
        <c:axId val="840632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3769353"/>
        <c:crosses val="autoZero"/>
        <c:auto val="1"/>
        <c:lblAlgn val="ctr"/>
        <c:lblOffset val="100"/>
        <c:noMultiLvlLbl val="0"/>
      </c:catAx>
      <c:valAx>
        <c:axId val="5376935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ETB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406325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Maintenance Cost Share by Type</a:t>
            </a:r>
          </a:p>
        </c:rich>
      </c:tx>
      <c:layout>
        <c:manualLayout>
          <c:xMode val="edge"/>
          <c:yMode val="edge"/>
          <c:x val="0.10361371340054565"/>
          <c:y val="5.0960093092453522E-2"/>
        </c:manualLayout>
      </c:layout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Dashboard!$E$56</c:f>
              <c:strCache>
                <c:ptCount val="1"/>
                <c:pt idx="0">
                  <c:v>Total Cost (ETB)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4F81B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8FA1-4FD9-9963-4BDF76138990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8FA1-4FD9-9963-4BDF76138990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8FA1-4FD9-9963-4BDF76138990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FA1-4FD9-9963-4BDF76138990}"/>
                </c:ext>
              </c:extLst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FA1-4FD9-9963-4BDF76138990}"/>
                </c:ext>
              </c:extLst>
            </c:dLbl>
            <c:dLbl>
              <c:idx val="2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FA1-4FD9-9963-4BDF7613899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Dashboard!$B$57:$B$59</c:f>
              <c:strCache>
                <c:ptCount val="3"/>
                <c:pt idx="0">
                  <c:v>Preventive</c:v>
                </c:pt>
                <c:pt idx="1">
                  <c:v>Corrective</c:v>
                </c:pt>
                <c:pt idx="2">
                  <c:v>Overhaul</c:v>
                </c:pt>
              </c:strCache>
            </c:strRef>
          </c:cat>
          <c:val>
            <c:numRef>
              <c:f>Dashboard!$E$57:$E$59</c:f>
              <c:numCache>
                <c:formatCode>#,##0</c:formatCode>
                <c:ptCount val="3"/>
                <c:pt idx="0">
                  <c:v>14305</c:v>
                </c:pt>
                <c:pt idx="1">
                  <c:v>141870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FA1-4FD9-9963-4BDF761389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Availability % by Asset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Dashboard!$H$16</c:f>
              <c:strCache>
                <c:ptCount val="1"/>
                <c:pt idx="0">
                  <c:v>Avg Availability %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Dashboard!$B$17:$B$31</c:f>
              <c:strCache>
                <c:ptCount val="15"/>
                <c:pt idx="0">
                  <c:v>AA-65266</c:v>
                </c:pt>
                <c:pt idx="1">
                  <c:v>AA-65265</c:v>
                </c:pt>
                <c:pt idx="2">
                  <c:v>AA-60042</c:v>
                </c:pt>
                <c:pt idx="3">
                  <c:v>AA-65585</c:v>
                </c:pt>
                <c:pt idx="4">
                  <c:v>AA-9018</c:v>
                </c:pt>
                <c:pt idx="5">
                  <c:v>LV-1001</c:v>
                </c:pt>
                <c:pt idx="6">
                  <c:v>LV-1002</c:v>
                </c:pt>
                <c:pt idx="7">
                  <c:v>LV-1003</c:v>
                </c:pt>
                <c:pt idx="8">
                  <c:v>EX-2001</c:v>
                </c:pt>
                <c:pt idx="9">
                  <c:v>GD-3001</c:v>
                </c:pt>
                <c:pt idx="10">
                  <c:v>LD-4001</c:v>
                </c:pt>
                <c:pt idx="11">
                  <c:v>GN-5001</c:v>
                </c:pt>
                <c:pt idx="12">
                  <c:v>AC-6001</c:v>
                </c:pt>
                <c:pt idx="13">
                  <c:v>HT-7001</c:v>
                </c:pt>
                <c:pt idx="14">
                  <c:v>EL-8001</c:v>
                </c:pt>
              </c:strCache>
            </c:strRef>
          </c:cat>
          <c:val>
            <c:numRef>
              <c:f>Dashboard!$H$17:$H$31</c:f>
              <c:numCache>
                <c:formatCode>0.0%</c:formatCode>
                <c:ptCount val="15"/>
                <c:pt idx="0">
                  <c:v>0.91666666666666663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0.7142857142857143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05-41AF-A824-794DEF960A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4524389"/>
        <c:axId val="31359302"/>
      </c:barChart>
      <c:catAx>
        <c:axId val="4452438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1359302"/>
        <c:crosses val="autoZero"/>
        <c:auto val="1"/>
        <c:lblAlgn val="ctr"/>
        <c:lblOffset val="100"/>
        <c:noMultiLvlLbl val="0"/>
      </c:catAx>
      <c:valAx>
        <c:axId val="31359302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452438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171450</xdr:colOff>
      <xdr:row>54</xdr:row>
      <xdr:rowOff>133350</xdr:rowOff>
    </xdr:from>
    <xdr:to>
      <xdr:col>9</xdr:col>
      <xdr:colOff>499980</xdr:colOff>
      <xdr:row>70</xdr:row>
      <xdr:rowOff>174600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552450</xdr:colOff>
      <xdr:row>34</xdr:row>
      <xdr:rowOff>11385</xdr:rowOff>
    </xdr:from>
    <xdr:to>
      <xdr:col>7</xdr:col>
      <xdr:colOff>646935</xdr:colOff>
      <xdr:row>51</xdr:row>
      <xdr:rowOff>12675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8</xdr:col>
      <xdr:colOff>361950</xdr:colOff>
      <xdr:row>34</xdr:row>
      <xdr:rowOff>39960</xdr:rowOff>
    </xdr:from>
    <xdr:to>
      <xdr:col>11</xdr:col>
      <xdr:colOff>608835</xdr:colOff>
      <xdr:row>51</xdr:row>
      <xdr:rowOff>41250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27"/>
  <sheetViews>
    <sheetView showGridLines="0" tabSelected="1" zoomScaleNormal="100" workbookViewId="0"/>
  </sheetViews>
  <sheetFormatPr defaultColWidth="8.7109375" defaultRowHeight="15" x14ac:dyDescent="0.25"/>
  <cols>
    <col min="2" max="2" width="22" customWidth="1"/>
    <col min="3" max="3" width="100" customWidth="1"/>
  </cols>
  <sheetData>
    <row r="2" spans="2:3" ht="20.25" x14ac:dyDescent="0.3">
      <c r="B2" s="1" t="s">
        <v>0</v>
      </c>
    </row>
    <row r="3" spans="2:3" x14ac:dyDescent="0.25">
      <c r="B3" s="2" t="s">
        <v>1</v>
      </c>
    </row>
    <row r="5" spans="2:3" ht="30" customHeight="1" x14ac:dyDescent="0.25">
      <c r="B5" s="3"/>
      <c r="C5" s="4"/>
    </row>
    <row r="6" spans="2:3" ht="30" customHeight="1" x14ac:dyDescent="0.25">
      <c r="B6" s="5" t="s">
        <v>2</v>
      </c>
    </row>
    <row r="7" spans="2:3" ht="30" customHeight="1" x14ac:dyDescent="0.25">
      <c r="B7" s="3" t="s">
        <v>3</v>
      </c>
      <c r="C7" s="4" t="s">
        <v>4</v>
      </c>
    </row>
    <row r="8" spans="2:3" ht="30" customHeight="1" x14ac:dyDescent="0.25">
      <c r="B8" s="3" t="s">
        <v>5</v>
      </c>
      <c r="C8" s="4" t="s">
        <v>6</v>
      </c>
    </row>
    <row r="9" spans="2:3" ht="30" customHeight="1" x14ac:dyDescent="0.25">
      <c r="B9" s="3" t="s">
        <v>7</v>
      </c>
      <c r="C9" s="4" t="s">
        <v>8</v>
      </c>
    </row>
    <row r="10" spans="2:3" ht="30" customHeight="1" x14ac:dyDescent="0.25">
      <c r="B10" s="3" t="s">
        <v>9</v>
      </c>
      <c r="C10" s="4" t="s">
        <v>10</v>
      </c>
    </row>
    <row r="11" spans="2:3" ht="30" customHeight="1" x14ac:dyDescent="0.25">
      <c r="B11" s="3" t="s">
        <v>11</v>
      </c>
      <c r="C11" s="4" t="s">
        <v>12</v>
      </c>
    </row>
    <row r="12" spans="2:3" ht="30" customHeight="1" x14ac:dyDescent="0.25">
      <c r="B12" s="3" t="s">
        <v>13</v>
      </c>
      <c r="C12" s="4" t="s">
        <v>14</v>
      </c>
    </row>
    <row r="13" spans="2:3" ht="30" customHeight="1" x14ac:dyDescent="0.25">
      <c r="B13" s="3"/>
      <c r="C13" s="4"/>
    </row>
    <row r="14" spans="2:3" ht="30" customHeight="1" x14ac:dyDescent="0.25">
      <c r="B14" s="5" t="s">
        <v>15</v>
      </c>
    </row>
    <row r="15" spans="2:3" ht="30" customHeight="1" x14ac:dyDescent="0.25">
      <c r="B15" s="3" t="s">
        <v>16</v>
      </c>
      <c r="C15" s="4" t="s">
        <v>17</v>
      </c>
    </row>
    <row r="16" spans="2:3" ht="30" customHeight="1" x14ac:dyDescent="0.25">
      <c r="B16" s="3" t="s">
        <v>18</v>
      </c>
      <c r="C16" s="4" t="s">
        <v>19</v>
      </c>
    </row>
    <row r="17" spans="2:3" ht="30" customHeight="1" x14ac:dyDescent="0.25">
      <c r="B17" s="3" t="s">
        <v>20</v>
      </c>
      <c r="C17" s="4" t="s">
        <v>21</v>
      </c>
    </row>
    <row r="18" spans="2:3" ht="30" customHeight="1" x14ac:dyDescent="0.25">
      <c r="B18" s="3"/>
      <c r="C18" s="4"/>
    </row>
    <row r="19" spans="2:3" ht="30" customHeight="1" x14ac:dyDescent="0.25">
      <c r="B19" s="5" t="s">
        <v>22</v>
      </c>
    </row>
    <row r="20" spans="2:3" ht="30" customHeight="1" x14ac:dyDescent="0.25">
      <c r="B20" s="3" t="s">
        <v>23</v>
      </c>
      <c r="C20" s="4" t="s">
        <v>24</v>
      </c>
    </row>
    <row r="21" spans="2:3" ht="30" customHeight="1" x14ac:dyDescent="0.25">
      <c r="B21" s="3" t="s">
        <v>25</v>
      </c>
      <c r="C21" s="4" t="s">
        <v>26</v>
      </c>
    </row>
    <row r="22" spans="2:3" ht="30" customHeight="1" x14ac:dyDescent="0.25">
      <c r="B22" s="3"/>
      <c r="C22" s="4"/>
    </row>
    <row r="23" spans="2:3" ht="30" customHeight="1" x14ac:dyDescent="0.25">
      <c r="B23" s="5" t="s">
        <v>27</v>
      </c>
    </row>
    <row r="24" spans="2:3" ht="30" customHeight="1" x14ac:dyDescent="0.25">
      <c r="B24" s="3" t="s">
        <v>28</v>
      </c>
      <c r="C24" s="4" t="s">
        <v>29</v>
      </c>
    </row>
    <row r="25" spans="2:3" ht="30" customHeight="1" x14ac:dyDescent="0.25">
      <c r="B25" s="3" t="s">
        <v>30</v>
      </c>
      <c r="C25" s="4" t="s">
        <v>31</v>
      </c>
    </row>
    <row r="26" spans="2:3" ht="30" customHeight="1" x14ac:dyDescent="0.25">
      <c r="B26" s="3" t="s">
        <v>32</v>
      </c>
      <c r="C26" s="4" t="s">
        <v>33</v>
      </c>
    </row>
    <row r="27" spans="2:3" ht="30" customHeight="1" x14ac:dyDescent="0.25">
      <c r="B27" s="3" t="s">
        <v>34</v>
      </c>
      <c r="C27" s="4" t="s">
        <v>35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859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8" customWidth="1"/>
    <col min="2" max="2" width="12" customWidth="1"/>
    <col min="3" max="3" width="38" customWidth="1"/>
    <col min="4" max="4" width="30" hidden="1" customWidth="1"/>
    <col min="5" max="5" width="40" customWidth="1"/>
    <col min="6" max="6" width="14" customWidth="1"/>
    <col min="7" max="7" width="55" customWidth="1"/>
    <col min="8" max="8" width="16" customWidth="1"/>
    <col min="9" max="10" width="14" customWidth="1"/>
    <col min="11" max="11" width="45" hidden="1" customWidth="1"/>
  </cols>
  <sheetData>
    <row r="1" spans="1:11" ht="30" x14ac:dyDescent="0.25">
      <c r="A1" s="6" t="s">
        <v>36</v>
      </c>
      <c r="B1" s="6" t="s">
        <v>37</v>
      </c>
      <c r="C1" s="6" t="s">
        <v>38</v>
      </c>
      <c r="D1" s="6" t="s">
        <v>39</v>
      </c>
      <c r="E1" s="6" t="s">
        <v>40</v>
      </c>
      <c r="F1" s="6" t="s">
        <v>25</v>
      </c>
      <c r="G1" s="6" t="s">
        <v>41</v>
      </c>
      <c r="H1" s="6" t="s">
        <v>42</v>
      </c>
      <c r="I1" s="6" t="s">
        <v>43</v>
      </c>
      <c r="J1" s="6" t="s">
        <v>44</v>
      </c>
      <c r="K1" s="6" t="s">
        <v>45</v>
      </c>
    </row>
    <row r="2" spans="1:11" x14ac:dyDescent="0.25">
      <c r="A2" s="7">
        <v>1</v>
      </c>
      <c r="B2" s="7" t="s">
        <v>46</v>
      </c>
      <c r="C2" s="7" t="s">
        <v>47</v>
      </c>
      <c r="D2" s="7" t="s">
        <v>47</v>
      </c>
      <c r="E2" s="7" t="s">
        <v>48</v>
      </c>
      <c r="F2" s="7" t="s">
        <v>49</v>
      </c>
      <c r="G2" s="7" t="s">
        <v>50</v>
      </c>
      <c r="H2" s="7">
        <v>1.5</v>
      </c>
      <c r="I2" s="7">
        <v>1</v>
      </c>
      <c r="J2" s="7">
        <v>1.5</v>
      </c>
      <c r="K2" s="7" t="s">
        <v>51</v>
      </c>
    </row>
    <row r="3" spans="1:11" x14ac:dyDescent="0.25">
      <c r="A3" s="7">
        <v>2</v>
      </c>
      <c r="B3" s="7" t="s">
        <v>46</v>
      </c>
      <c r="C3" s="7" t="s">
        <v>47</v>
      </c>
      <c r="D3" s="7" t="s">
        <v>47</v>
      </c>
      <c r="E3" s="7" t="s">
        <v>48</v>
      </c>
      <c r="F3" s="7" t="s">
        <v>49</v>
      </c>
      <c r="G3" s="7" t="s">
        <v>52</v>
      </c>
      <c r="H3" s="7">
        <v>0.5</v>
      </c>
      <c r="I3" s="7">
        <v>1</v>
      </c>
      <c r="J3" s="7">
        <v>0.5</v>
      </c>
      <c r="K3" s="7" t="s">
        <v>53</v>
      </c>
    </row>
    <row r="4" spans="1:11" x14ac:dyDescent="0.25">
      <c r="A4" s="7">
        <v>3</v>
      </c>
      <c r="B4" s="7" t="s">
        <v>46</v>
      </c>
      <c r="C4" s="7" t="s">
        <v>47</v>
      </c>
      <c r="D4" s="7" t="s">
        <v>47</v>
      </c>
      <c r="E4" s="7" t="s">
        <v>48</v>
      </c>
      <c r="F4" s="7" t="s">
        <v>49</v>
      </c>
      <c r="G4" s="7" t="s">
        <v>54</v>
      </c>
      <c r="H4" s="7">
        <v>0.5</v>
      </c>
      <c r="I4" s="7">
        <v>1</v>
      </c>
      <c r="J4" s="7">
        <v>0.5</v>
      </c>
      <c r="K4" s="7" t="s">
        <v>55</v>
      </c>
    </row>
    <row r="5" spans="1:11" x14ac:dyDescent="0.25">
      <c r="A5" s="7">
        <v>4</v>
      </c>
      <c r="B5" s="7" t="s">
        <v>46</v>
      </c>
      <c r="C5" s="7" t="s">
        <v>47</v>
      </c>
      <c r="D5" s="7" t="s">
        <v>47</v>
      </c>
      <c r="E5" s="7" t="s">
        <v>48</v>
      </c>
      <c r="F5" s="7" t="s">
        <v>49</v>
      </c>
      <c r="G5" s="7" t="s">
        <v>56</v>
      </c>
      <c r="H5" s="7">
        <v>1</v>
      </c>
      <c r="I5" s="7">
        <v>1</v>
      </c>
      <c r="J5" s="7">
        <v>1</v>
      </c>
      <c r="K5" s="7" t="s">
        <v>57</v>
      </c>
    </row>
    <row r="6" spans="1:11" x14ac:dyDescent="0.25">
      <c r="A6" s="7">
        <v>5</v>
      </c>
      <c r="B6" s="7" t="s">
        <v>46</v>
      </c>
      <c r="C6" s="7" t="s">
        <v>47</v>
      </c>
      <c r="D6" s="7" t="s">
        <v>47</v>
      </c>
      <c r="E6" s="7" t="s">
        <v>48</v>
      </c>
      <c r="F6" s="7" t="s">
        <v>49</v>
      </c>
      <c r="G6" s="7" t="s">
        <v>58</v>
      </c>
      <c r="H6" s="7">
        <v>1.5</v>
      </c>
      <c r="I6" s="7">
        <v>1</v>
      </c>
      <c r="J6" s="7">
        <v>1.5</v>
      </c>
      <c r="K6" s="7" t="s">
        <v>59</v>
      </c>
    </row>
    <row r="7" spans="1:11" x14ac:dyDescent="0.25">
      <c r="A7" s="7">
        <v>6</v>
      </c>
      <c r="B7" s="7" t="s">
        <v>46</v>
      </c>
      <c r="C7" s="7" t="s">
        <v>47</v>
      </c>
      <c r="D7" s="7" t="s">
        <v>47</v>
      </c>
      <c r="E7" s="7" t="s">
        <v>48</v>
      </c>
      <c r="F7" s="7" t="s">
        <v>49</v>
      </c>
      <c r="G7" s="7" t="s">
        <v>60</v>
      </c>
      <c r="H7" s="7">
        <v>2</v>
      </c>
      <c r="I7" s="7">
        <v>1</v>
      </c>
      <c r="J7" s="7">
        <v>2</v>
      </c>
      <c r="K7" s="7" t="s">
        <v>61</v>
      </c>
    </row>
    <row r="8" spans="1:11" x14ac:dyDescent="0.25">
      <c r="A8" s="7">
        <v>7</v>
      </c>
      <c r="B8" s="7" t="s">
        <v>46</v>
      </c>
      <c r="C8" s="7" t="s">
        <v>47</v>
      </c>
      <c r="D8" s="7" t="s">
        <v>47</v>
      </c>
      <c r="E8" s="7" t="s">
        <v>48</v>
      </c>
      <c r="F8" s="7" t="s">
        <v>49</v>
      </c>
      <c r="G8" s="7" t="s">
        <v>62</v>
      </c>
      <c r="H8" s="7">
        <v>1</v>
      </c>
      <c r="I8" s="7">
        <v>2</v>
      </c>
      <c r="J8" s="7">
        <v>2</v>
      </c>
      <c r="K8" s="7" t="s">
        <v>63</v>
      </c>
    </row>
    <row r="9" spans="1:11" x14ac:dyDescent="0.25">
      <c r="A9" s="7">
        <v>8</v>
      </c>
      <c r="B9" s="7" t="s">
        <v>46</v>
      </c>
      <c r="C9" s="7" t="s">
        <v>47</v>
      </c>
      <c r="D9" s="7" t="s">
        <v>47</v>
      </c>
      <c r="E9" s="7" t="s">
        <v>48</v>
      </c>
      <c r="F9" s="7" t="s">
        <v>49</v>
      </c>
      <c r="G9" s="7" t="s">
        <v>64</v>
      </c>
      <c r="H9" s="7">
        <v>0.5</v>
      </c>
      <c r="I9" s="7">
        <v>1</v>
      </c>
      <c r="J9" s="7">
        <v>0.5</v>
      </c>
      <c r="K9" s="7" t="s">
        <v>65</v>
      </c>
    </row>
    <row r="10" spans="1:11" x14ac:dyDescent="0.25">
      <c r="A10" s="7">
        <v>9</v>
      </c>
      <c r="B10" s="7" t="s">
        <v>46</v>
      </c>
      <c r="C10" s="7" t="s">
        <v>47</v>
      </c>
      <c r="D10" s="7" t="s">
        <v>47</v>
      </c>
      <c r="E10" s="7" t="s">
        <v>48</v>
      </c>
      <c r="F10" s="7" t="s">
        <v>49</v>
      </c>
      <c r="G10" s="7" t="s">
        <v>66</v>
      </c>
      <c r="H10" s="7">
        <v>0.5</v>
      </c>
      <c r="I10" s="7">
        <v>1</v>
      </c>
      <c r="J10" s="7">
        <v>0.5</v>
      </c>
      <c r="K10" s="7" t="s">
        <v>67</v>
      </c>
    </row>
    <row r="11" spans="1:11" x14ac:dyDescent="0.25">
      <c r="A11" s="7">
        <v>10</v>
      </c>
      <c r="B11" s="7" t="s">
        <v>46</v>
      </c>
      <c r="C11" s="7" t="s">
        <v>47</v>
      </c>
      <c r="D11" s="7" t="s">
        <v>47</v>
      </c>
      <c r="E11" s="7" t="s">
        <v>68</v>
      </c>
      <c r="F11" s="7" t="s">
        <v>49</v>
      </c>
      <c r="G11" s="7" t="s">
        <v>69</v>
      </c>
      <c r="H11" s="7">
        <v>9</v>
      </c>
      <c r="I11" s="7" t="s">
        <v>70</v>
      </c>
      <c r="J11" s="7">
        <v>10</v>
      </c>
      <c r="K11" s="7" t="s">
        <v>71</v>
      </c>
    </row>
    <row r="12" spans="1:11" x14ac:dyDescent="0.25">
      <c r="A12" s="7">
        <v>11</v>
      </c>
      <c r="B12" s="7" t="s">
        <v>46</v>
      </c>
      <c r="C12" s="7" t="s">
        <v>47</v>
      </c>
      <c r="D12" s="7" t="s">
        <v>47</v>
      </c>
      <c r="E12" s="7" t="s">
        <v>68</v>
      </c>
      <c r="F12" s="7" t="s">
        <v>49</v>
      </c>
      <c r="G12" s="7" t="s">
        <v>72</v>
      </c>
      <c r="H12" s="7">
        <v>1</v>
      </c>
      <c r="I12" s="7">
        <v>1</v>
      </c>
      <c r="J12" s="7">
        <v>1</v>
      </c>
      <c r="K12" s="7" t="s">
        <v>73</v>
      </c>
    </row>
    <row r="13" spans="1:11" x14ac:dyDescent="0.25">
      <c r="A13" s="7">
        <v>12</v>
      </c>
      <c r="B13" s="7" t="s">
        <v>46</v>
      </c>
      <c r="C13" s="7" t="s">
        <v>47</v>
      </c>
      <c r="D13" s="7" t="s">
        <v>47</v>
      </c>
      <c r="E13" s="7" t="s">
        <v>68</v>
      </c>
      <c r="F13" s="7" t="s">
        <v>49</v>
      </c>
      <c r="G13" s="7" t="s">
        <v>74</v>
      </c>
      <c r="H13" s="7">
        <v>1</v>
      </c>
      <c r="I13" s="7">
        <v>1</v>
      </c>
      <c r="J13" s="7">
        <v>1</v>
      </c>
      <c r="K13" s="7" t="s">
        <v>75</v>
      </c>
    </row>
    <row r="14" spans="1:11" x14ac:dyDescent="0.25">
      <c r="A14" s="7">
        <v>13</v>
      </c>
      <c r="B14" s="7" t="s">
        <v>46</v>
      </c>
      <c r="C14" s="7" t="s">
        <v>47</v>
      </c>
      <c r="D14" s="7" t="s">
        <v>47</v>
      </c>
      <c r="E14" s="7" t="s">
        <v>68</v>
      </c>
      <c r="F14" s="7" t="s">
        <v>49</v>
      </c>
      <c r="G14" s="7" t="s">
        <v>76</v>
      </c>
      <c r="H14" s="7">
        <v>0.5</v>
      </c>
      <c r="I14" s="7">
        <v>1</v>
      </c>
      <c r="J14" s="7">
        <v>0.5</v>
      </c>
      <c r="K14" s="7" t="s">
        <v>77</v>
      </c>
    </row>
    <row r="15" spans="1:11" x14ac:dyDescent="0.25">
      <c r="A15" s="7">
        <v>14</v>
      </c>
      <c r="B15" s="7" t="s">
        <v>46</v>
      </c>
      <c r="C15" s="7" t="s">
        <v>47</v>
      </c>
      <c r="D15" s="7" t="s">
        <v>47</v>
      </c>
      <c r="E15" s="7" t="s">
        <v>68</v>
      </c>
      <c r="F15" s="7" t="s">
        <v>49</v>
      </c>
      <c r="G15" s="7" t="s">
        <v>78</v>
      </c>
      <c r="H15" s="7">
        <v>1</v>
      </c>
      <c r="I15" s="7">
        <v>1</v>
      </c>
      <c r="J15" s="7">
        <v>1</v>
      </c>
      <c r="K15" s="7" t="s">
        <v>79</v>
      </c>
    </row>
    <row r="16" spans="1:11" x14ac:dyDescent="0.25">
      <c r="A16" s="7">
        <v>15</v>
      </c>
      <c r="B16" s="7" t="s">
        <v>46</v>
      </c>
      <c r="C16" s="7" t="s">
        <v>47</v>
      </c>
      <c r="D16" s="7" t="s">
        <v>47</v>
      </c>
      <c r="E16" s="7" t="s">
        <v>68</v>
      </c>
      <c r="F16" s="7" t="s">
        <v>49</v>
      </c>
      <c r="G16" s="7" t="s">
        <v>80</v>
      </c>
      <c r="H16" s="7">
        <v>8</v>
      </c>
      <c r="I16" s="7">
        <v>2</v>
      </c>
      <c r="J16" s="7">
        <v>16</v>
      </c>
      <c r="K16" s="7" t="s">
        <v>81</v>
      </c>
    </row>
    <row r="17" spans="1:11" x14ac:dyDescent="0.25">
      <c r="A17" s="7">
        <v>16</v>
      </c>
      <c r="B17" s="7" t="s">
        <v>46</v>
      </c>
      <c r="C17" s="7" t="s">
        <v>47</v>
      </c>
      <c r="D17" s="7" t="s">
        <v>47</v>
      </c>
      <c r="E17" s="7" t="s">
        <v>68</v>
      </c>
      <c r="F17" s="7" t="s">
        <v>49</v>
      </c>
      <c r="G17" s="7" t="s">
        <v>82</v>
      </c>
      <c r="H17" s="7">
        <v>2</v>
      </c>
      <c r="I17" s="7">
        <v>2</v>
      </c>
      <c r="J17" s="7">
        <v>4</v>
      </c>
      <c r="K17" s="7" t="s">
        <v>83</v>
      </c>
    </row>
    <row r="18" spans="1:11" x14ac:dyDescent="0.25">
      <c r="A18" s="7">
        <v>17</v>
      </c>
      <c r="B18" s="7" t="s">
        <v>46</v>
      </c>
      <c r="C18" s="7" t="s">
        <v>47</v>
      </c>
      <c r="D18" s="7" t="s">
        <v>47</v>
      </c>
      <c r="E18" s="7" t="s">
        <v>68</v>
      </c>
      <c r="F18" s="7" t="s">
        <v>49</v>
      </c>
      <c r="G18" s="7" t="s">
        <v>84</v>
      </c>
      <c r="H18" s="7">
        <v>1</v>
      </c>
      <c r="I18" s="7">
        <v>2</v>
      </c>
      <c r="J18" s="7">
        <v>2</v>
      </c>
      <c r="K18" s="7" t="s">
        <v>85</v>
      </c>
    </row>
    <row r="19" spans="1:11" x14ac:dyDescent="0.25">
      <c r="A19" s="7">
        <v>18</v>
      </c>
      <c r="B19" s="7" t="s">
        <v>46</v>
      </c>
      <c r="C19" s="7" t="s">
        <v>47</v>
      </c>
      <c r="D19" s="7" t="s">
        <v>47</v>
      </c>
      <c r="E19" s="7" t="s">
        <v>68</v>
      </c>
      <c r="F19" s="7" t="s">
        <v>49</v>
      </c>
      <c r="G19" s="7" t="s">
        <v>86</v>
      </c>
      <c r="H19" s="7">
        <v>1</v>
      </c>
      <c r="I19" s="7">
        <v>1</v>
      </c>
      <c r="J19" s="7">
        <v>1</v>
      </c>
      <c r="K19" s="7" t="s">
        <v>87</v>
      </c>
    </row>
    <row r="20" spans="1:11" x14ac:dyDescent="0.25">
      <c r="A20" s="7">
        <v>19</v>
      </c>
      <c r="B20" s="7" t="s">
        <v>46</v>
      </c>
      <c r="C20" s="7" t="s">
        <v>47</v>
      </c>
      <c r="D20" s="7" t="s">
        <v>47</v>
      </c>
      <c r="E20" s="7" t="s">
        <v>88</v>
      </c>
      <c r="F20" s="7" t="s">
        <v>49</v>
      </c>
      <c r="G20" s="7" t="s">
        <v>89</v>
      </c>
      <c r="H20" s="7">
        <v>24.5</v>
      </c>
      <c r="I20" s="7" t="s">
        <v>70</v>
      </c>
      <c r="J20" s="7">
        <v>36.5</v>
      </c>
      <c r="K20" s="7" t="s">
        <v>90</v>
      </c>
    </row>
    <row r="21" spans="1:11" x14ac:dyDescent="0.25">
      <c r="A21" s="7">
        <v>20</v>
      </c>
      <c r="B21" s="7" t="s">
        <v>46</v>
      </c>
      <c r="C21" s="7" t="s">
        <v>47</v>
      </c>
      <c r="D21" s="7" t="s">
        <v>47</v>
      </c>
      <c r="E21" s="7" t="s">
        <v>88</v>
      </c>
      <c r="F21" s="7" t="s">
        <v>49</v>
      </c>
      <c r="G21" s="7" t="s">
        <v>91</v>
      </c>
      <c r="H21" s="7">
        <v>2</v>
      </c>
      <c r="I21" s="7">
        <v>1</v>
      </c>
      <c r="J21" s="7">
        <v>2</v>
      </c>
      <c r="K21" s="7" t="s">
        <v>92</v>
      </c>
    </row>
    <row r="22" spans="1:11" x14ac:dyDescent="0.25">
      <c r="A22" s="7">
        <v>21</v>
      </c>
      <c r="B22" s="7" t="s">
        <v>46</v>
      </c>
      <c r="C22" s="7" t="s">
        <v>47</v>
      </c>
      <c r="D22" s="7" t="s">
        <v>47</v>
      </c>
      <c r="E22" s="7" t="s">
        <v>88</v>
      </c>
      <c r="F22" s="7" t="s">
        <v>49</v>
      </c>
      <c r="G22" s="7" t="s">
        <v>93</v>
      </c>
      <c r="H22" s="7">
        <v>1</v>
      </c>
      <c r="I22" s="7">
        <v>1</v>
      </c>
      <c r="J22" s="7">
        <v>1</v>
      </c>
      <c r="K22" s="7" t="s">
        <v>94</v>
      </c>
    </row>
    <row r="23" spans="1:11" x14ac:dyDescent="0.25">
      <c r="A23" s="7">
        <v>22</v>
      </c>
      <c r="B23" s="7" t="s">
        <v>46</v>
      </c>
      <c r="C23" s="7" t="s">
        <v>47</v>
      </c>
      <c r="D23" s="7" t="s">
        <v>47</v>
      </c>
      <c r="E23" s="7" t="s">
        <v>88</v>
      </c>
      <c r="F23" s="7" t="s">
        <v>49</v>
      </c>
      <c r="G23" s="7" t="s">
        <v>95</v>
      </c>
      <c r="H23" s="7">
        <v>1</v>
      </c>
      <c r="I23" s="7">
        <v>1</v>
      </c>
      <c r="J23" s="7">
        <v>1</v>
      </c>
      <c r="K23" s="7" t="s">
        <v>96</v>
      </c>
    </row>
    <row r="24" spans="1:11" x14ac:dyDescent="0.25">
      <c r="A24" s="7">
        <v>23</v>
      </c>
      <c r="B24" s="7" t="s">
        <v>46</v>
      </c>
      <c r="C24" s="7" t="s">
        <v>47</v>
      </c>
      <c r="D24" s="7" t="s">
        <v>47</v>
      </c>
      <c r="E24" s="7" t="s">
        <v>88</v>
      </c>
      <c r="F24" s="7" t="s">
        <v>49</v>
      </c>
      <c r="G24" s="7" t="s">
        <v>97</v>
      </c>
      <c r="H24" s="7">
        <v>2</v>
      </c>
      <c r="I24" s="7">
        <v>1</v>
      </c>
      <c r="J24" s="7">
        <v>2</v>
      </c>
      <c r="K24" s="7" t="s">
        <v>98</v>
      </c>
    </row>
    <row r="25" spans="1:11" x14ac:dyDescent="0.25">
      <c r="A25" s="7">
        <v>24</v>
      </c>
      <c r="B25" s="7" t="s">
        <v>46</v>
      </c>
      <c r="C25" s="7" t="s">
        <v>47</v>
      </c>
      <c r="D25" s="7" t="s">
        <v>47</v>
      </c>
      <c r="E25" s="7" t="s">
        <v>88</v>
      </c>
      <c r="F25" s="7" t="s">
        <v>49</v>
      </c>
      <c r="G25" s="7" t="s">
        <v>99</v>
      </c>
      <c r="H25" s="7">
        <v>2</v>
      </c>
      <c r="I25" s="7">
        <v>2</v>
      </c>
      <c r="J25" s="7">
        <v>4</v>
      </c>
      <c r="K25" s="7" t="s">
        <v>100</v>
      </c>
    </row>
    <row r="26" spans="1:11" x14ac:dyDescent="0.25">
      <c r="A26" s="7">
        <v>25</v>
      </c>
      <c r="B26" s="7" t="s">
        <v>46</v>
      </c>
      <c r="C26" s="7" t="s">
        <v>47</v>
      </c>
      <c r="D26" s="7" t="s">
        <v>47</v>
      </c>
      <c r="E26" s="7" t="s">
        <v>101</v>
      </c>
      <c r="F26" s="7" t="s">
        <v>49</v>
      </c>
      <c r="G26" s="7" t="s">
        <v>102</v>
      </c>
      <c r="H26" s="7">
        <v>32.5</v>
      </c>
      <c r="I26" s="7" t="s">
        <v>70</v>
      </c>
      <c r="J26" s="7">
        <v>46.5</v>
      </c>
      <c r="K26" s="7" t="s">
        <v>103</v>
      </c>
    </row>
    <row r="27" spans="1:11" x14ac:dyDescent="0.25">
      <c r="A27" s="7">
        <v>26</v>
      </c>
      <c r="B27" s="7" t="s">
        <v>46</v>
      </c>
      <c r="C27" s="7" t="s">
        <v>47</v>
      </c>
      <c r="D27" s="7" t="s">
        <v>47</v>
      </c>
      <c r="E27" s="7" t="s">
        <v>101</v>
      </c>
      <c r="F27" s="7" t="s">
        <v>49</v>
      </c>
      <c r="G27" s="7" t="s">
        <v>104</v>
      </c>
      <c r="H27" s="7">
        <v>4</v>
      </c>
      <c r="I27" s="7">
        <v>2</v>
      </c>
      <c r="J27" s="7">
        <v>8</v>
      </c>
      <c r="K27" s="7" t="s">
        <v>105</v>
      </c>
    </row>
    <row r="28" spans="1:11" x14ac:dyDescent="0.25">
      <c r="A28" s="7">
        <v>27</v>
      </c>
      <c r="B28" s="7" t="s">
        <v>46</v>
      </c>
      <c r="C28" s="7" t="s">
        <v>47</v>
      </c>
      <c r="D28" s="7" t="s">
        <v>47</v>
      </c>
      <c r="E28" s="7" t="s">
        <v>101</v>
      </c>
      <c r="F28" s="7" t="s">
        <v>49</v>
      </c>
      <c r="G28" s="7" t="s">
        <v>106</v>
      </c>
      <c r="H28" s="7">
        <v>1</v>
      </c>
      <c r="I28" s="7">
        <v>1</v>
      </c>
      <c r="J28" s="7">
        <v>1</v>
      </c>
      <c r="K28" s="7" t="s">
        <v>107</v>
      </c>
    </row>
    <row r="29" spans="1:11" x14ac:dyDescent="0.25">
      <c r="A29" s="7">
        <v>28</v>
      </c>
      <c r="B29" s="7" t="s">
        <v>46</v>
      </c>
      <c r="C29" s="7" t="s">
        <v>47</v>
      </c>
      <c r="D29" s="7" t="s">
        <v>47</v>
      </c>
      <c r="E29" s="7" t="s">
        <v>101</v>
      </c>
      <c r="F29" s="7" t="s">
        <v>49</v>
      </c>
      <c r="G29" s="7" t="s">
        <v>108</v>
      </c>
      <c r="H29" s="7">
        <v>1.5</v>
      </c>
      <c r="I29" s="7">
        <v>1</v>
      </c>
      <c r="J29" s="7">
        <v>1.5</v>
      </c>
      <c r="K29" s="7" t="s">
        <v>109</v>
      </c>
    </row>
    <row r="30" spans="1:11" x14ac:dyDescent="0.25">
      <c r="A30" s="7">
        <v>29</v>
      </c>
      <c r="B30" s="7" t="s">
        <v>46</v>
      </c>
      <c r="C30" s="7" t="s">
        <v>47</v>
      </c>
      <c r="D30" s="7" t="s">
        <v>47</v>
      </c>
      <c r="E30" s="7" t="s">
        <v>101</v>
      </c>
      <c r="F30" s="7" t="s">
        <v>49</v>
      </c>
      <c r="G30" s="7" t="s">
        <v>110</v>
      </c>
      <c r="H30" s="7">
        <v>2</v>
      </c>
      <c r="I30" s="7">
        <v>2</v>
      </c>
      <c r="J30" s="7">
        <v>4</v>
      </c>
      <c r="K30" s="7" t="s">
        <v>111</v>
      </c>
    </row>
    <row r="31" spans="1:11" x14ac:dyDescent="0.25">
      <c r="A31" s="7">
        <v>30</v>
      </c>
      <c r="B31" s="7" t="s">
        <v>46</v>
      </c>
      <c r="C31" s="7" t="s">
        <v>47</v>
      </c>
      <c r="D31" s="7" t="s">
        <v>47</v>
      </c>
      <c r="E31" s="7" t="s">
        <v>101</v>
      </c>
      <c r="F31" s="7" t="s">
        <v>49</v>
      </c>
      <c r="G31" s="7" t="s">
        <v>112</v>
      </c>
      <c r="H31" s="7">
        <v>2</v>
      </c>
      <c r="I31" s="7">
        <v>2</v>
      </c>
      <c r="J31" s="7">
        <v>4</v>
      </c>
      <c r="K31" s="7" t="s">
        <v>113</v>
      </c>
    </row>
    <row r="32" spans="1:11" x14ac:dyDescent="0.25">
      <c r="A32" s="7">
        <v>31</v>
      </c>
      <c r="B32" s="7" t="s">
        <v>46</v>
      </c>
      <c r="C32" s="7" t="s">
        <v>47</v>
      </c>
      <c r="D32" s="7" t="s">
        <v>47</v>
      </c>
      <c r="E32" s="7" t="s">
        <v>101</v>
      </c>
      <c r="F32" s="7" t="s">
        <v>49</v>
      </c>
      <c r="G32" s="7" t="s">
        <v>114</v>
      </c>
      <c r="H32" s="7">
        <v>1</v>
      </c>
      <c r="I32" s="7">
        <v>1</v>
      </c>
      <c r="J32" s="7">
        <v>1</v>
      </c>
      <c r="K32" s="7" t="s">
        <v>115</v>
      </c>
    </row>
    <row r="33" spans="1:11" x14ac:dyDescent="0.25">
      <c r="A33" s="7">
        <v>32</v>
      </c>
      <c r="B33" s="7" t="s">
        <v>46</v>
      </c>
      <c r="C33" s="7" t="s">
        <v>47</v>
      </c>
      <c r="D33" s="7" t="s">
        <v>47</v>
      </c>
      <c r="E33" s="7" t="s">
        <v>116</v>
      </c>
      <c r="F33" s="7" t="s">
        <v>117</v>
      </c>
      <c r="G33" s="7" t="s">
        <v>118</v>
      </c>
      <c r="H33" s="7">
        <v>6</v>
      </c>
      <c r="I33" s="7">
        <v>2</v>
      </c>
      <c r="J33" s="7">
        <v>12</v>
      </c>
      <c r="K33" s="7" t="s">
        <v>119</v>
      </c>
    </row>
    <row r="34" spans="1:11" x14ac:dyDescent="0.25">
      <c r="A34" s="7">
        <v>33</v>
      </c>
      <c r="B34" s="7" t="s">
        <v>46</v>
      </c>
      <c r="C34" s="7" t="s">
        <v>47</v>
      </c>
      <c r="D34" s="7" t="s">
        <v>47</v>
      </c>
      <c r="E34" s="7" t="s">
        <v>116</v>
      </c>
      <c r="F34" s="7" t="s">
        <v>117</v>
      </c>
      <c r="G34" s="7" t="s">
        <v>120</v>
      </c>
      <c r="H34" s="7">
        <v>52</v>
      </c>
      <c r="I34" s="7">
        <v>2</v>
      </c>
      <c r="J34" s="7">
        <v>104</v>
      </c>
      <c r="K34" s="7" t="s">
        <v>121</v>
      </c>
    </row>
    <row r="35" spans="1:11" x14ac:dyDescent="0.25">
      <c r="A35" s="7">
        <v>34</v>
      </c>
      <c r="B35" s="7" t="s">
        <v>46</v>
      </c>
      <c r="C35" s="7" t="s">
        <v>47</v>
      </c>
      <c r="D35" s="7" t="s">
        <v>47</v>
      </c>
      <c r="E35" s="7" t="s">
        <v>116</v>
      </c>
      <c r="F35" s="7" t="s">
        <v>117</v>
      </c>
      <c r="G35" s="7" t="s">
        <v>122</v>
      </c>
      <c r="H35" s="7">
        <v>12</v>
      </c>
      <c r="I35" s="7">
        <v>2</v>
      </c>
      <c r="J35" s="7">
        <v>24</v>
      </c>
      <c r="K35" s="7" t="s">
        <v>123</v>
      </c>
    </row>
    <row r="36" spans="1:11" x14ac:dyDescent="0.25">
      <c r="A36" s="7">
        <v>35</v>
      </c>
      <c r="B36" s="7" t="s">
        <v>46</v>
      </c>
      <c r="C36" s="7" t="s">
        <v>47</v>
      </c>
      <c r="D36" s="7" t="s">
        <v>47</v>
      </c>
      <c r="E36" s="7" t="s">
        <v>116</v>
      </c>
      <c r="F36" s="7" t="s">
        <v>117</v>
      </c>
      <c r="G36" s="7" t="s">
        <v>124</v>
      </c>
      <c r="H36" s="7">
        <v>18</v>
      </c>
      <c r="I36" s="7">
        <v>2</v>
      </c>
      <c r="J36" s="7">
        <v>36</v>
      </c>
      <c r="K36" s="7" t="s">
        <v>125</v>
      </c>
    </row>
    <row r="37" spans="1:11" x14ac:dyDescent="0.25">
      <c r="A37" s="7">
        <v>36</v>
      </c>
      <c r="B37" s="7" t="s">
        <v>46</v>
      </c>
      <c r="C37" s="7" t="s">
        <v>47</v>
      </c>
      <c r="D37" s="7" t="s">
        <v>47</v>
      </c>
      <c r="E37" s="7" t="s">
        <v>116</v>
      </c>
      <c r="F37" s="7" t="s">
        <v>117</v>
      </c>
      <c r="G37" s="7" t="s">
        <v>126</v>
      </c>
      <c r="H37" s="7">
        <v>9</v>
      </c>
      <c r="I37" s="7">
        <v>2</v>
      </c>
      <c r="J37" s="7">
        <v>18</v>
      </c>
      <c r="K37" s="7" t="s">
        <v>127</v>
      </c>
    </row>
    <row r="38" spans="1:11" x14ac:dyDescent="0.25">
      <c r="A38" s="7">
        <v>37</v>
      </c>
      <c r="B38" s="7" t="s">
        <v>46</v>
      </c>
      <c r="C38" s="7" t="s">
        <v>47</v>
      </c>
      <c r="D38" s="7" t="s">
        <v>47</v>
      </c>
      <c r="E38" s="7" t="s">
        <v>116</v>
      </c>
      <c r="F38" s="7" t="s">
        <v>117</v>
      </c>
      <c r="G38" s="7" t="s">
        <v>128</v>
      </c>
      <c r="H38" s="7">
        <v>12</v>
      </c>
      <c r="I38" s="7">
        <v>2</v>
      </c>
      <c r="J38" s="7">
        <v>24</v>
      </c>
      <c r="K38" s="7" t="s">
        <v>129</v>
      </c>
    </row>
    <row r="39" spans="1:11" x14ac:dyDescent="0.25">
      <c r="A39" s="7">
        <v>38</v>
      </c>
      <c r="B39" s="7" t="s">
        <v>46</v>
      </c>
      <c r="C39" s="7" t="s">
        <v>47</v>
      </c>
      <c r="D39" s="7" t="s">
        <v>47</v>
      </c>
      <c r="E39" s="7" t="s">
        <v>116</v>
      </c>
      <c r="F39" s="7" t="s">
        <v>117</v>
      </c>
      <c r="G39" s="7" t="s">
        <v>130</v>
      </c>
      <c r="H39" s="7">
        <v>6</v>
      </c>
      <c r="I39" s="7">
        <v>2</v>
      </c>
      <c r="J39" s="7">
        <v>12</v>
      </c>
      <c r="K39" s="7" t="s">
        <v>131</v>
      </c>
    </row>
    <row r="40" spans="1:11" x14ac:dyDescent="0.25">
      <c r="A40" s="7">
        <v>39</v>
      </c>
      <c r="B40" s="7" t="s">
        <v>46</v>
      </c>
      <c r="C40" s="7" t="s">
        <v>47</v>
      </c>
      <c r="D40" s="7" t="s">
        <v>47</v>
      </c>
      <c r="E40" s="7" t="s">
        <v>116</v>
      </c>
      <c r="F40" s="7" t="s">
        <v>117</v>
      </c>
      <c r="G40" s="7" t="s">
        <v>132</v>
      </c>
      <c r="H40" s="7">
        <v>4</v>
      </c>
      <c r="I40" s="7">
        <v>2</v>
      </c>
      <c r="J40" s="7">
        <v>8</v>
      </c>
      <c r="K40" s="7" t="s">
        <v>133</v>
      </c>
    </row>
    <row r="41" spans="1:11" x14ac:dyDescent="0.25">
      <c r="A41" s="7">
        <v>40</v>
      </c>
      <c r="B41" s="7" t="s">
        <v>46</v>
      </c>
      <c r="C41" s="7" t="s">
        <v>47</v>
      </c>
      <c r="D41" s="7" t="s">
        <v>47</v>
      </c>
      <c r="E41" s="7" t="s">
        <v>116</v>
      </c>
      <c r="F41" s="7" t="s">
        <v>117</v>
      </c>
      <c r="G41" s="7" t="s">
        <v>134</v>
      </c>
      <c r="H41" s="7">
        <v>3</v>
      </c>
      <c r="I41" s="7">
        <v>2</v>
      </c>
      <c r="J41" s="7">
        <v>6</v>
      </c>
      <c r="K41" s="7" t="s">
        <v>135</v>
      </c>
    </row>
    <row r="42" spans="1:11" x14ac:dyDescent="0.25">
      <c r="A42" s="7">
        <v>41</v>
      </c>
      <c r="B42" s="7" t="s">
        <v>46</v>
      </c>
      <c r="C42" s="7" t="s">
        <v>47</v>
      </c>
      <c r="D42" s="7" t="s">
        <v>47</v>
      </c>
      <c r="E42" s="7" t="s">
        <v>116</v>
      </c>
      <c r="F42" s="7" t="s">
        <v>117</v>
      </c>
      <c r="G42" s="7" t="s">
        <v>136</v>
      </c>
      <c r="H42" s="7">
        <v>6</v>
      </c>
      <c r="I42" s="7">
        <v>1</v>
      </c>
      <c r="J42" s="7">
        <v>6</v>
      </c>
      <c r="K42" s="7" t="s">
        <v>137</v>
      </c>
    </row>
    <row r="43" spans="1:11" x14ac:dyDescent="0.25">
      <c r="A43" s="7">
        <v>42</v>
      </c>
      <c r="B43" s="7" t="s">
        <v>46</v>
      </c>
      <c r="C43" s="7" t="s">
        <v>47</v>
      </c>
      <c r="D43" s="7" t="s">
        <v>47</v>
      </c>
      <c r="E43" s="7" t="s">
        <v>116</v>
      </c>
      <c r="F43" s="7" t="s">
        <v>117</v>
      </c>
      <c r="G43" s="7" t="s">
        <v>138</v>
      </c>
      <c r="H43" s="7">
        <v>14</v>
      </c>
      <c r="I43" s="7">
        <v>2</v>
      </c>
      <c r="J43" s="7">
        <v>28</v>
      </c>
      <c r="K43" s="7" t="s">
        <v>139</v>
      </c>
    </row>
    <row r="44" spans="1:11" x14ac:dyDescent="0.25">
      <c r="A44" s="7">
        <v>43</v>
      </c>
      <c r="B44" s="7" t="s">
        <v>46</v>
      </c>
      <c r="C44" s="7" t="s">
        <v>47</v>
      </c>
      <c r="D44" s="7" t="s">
        <v>47</v>
      </c>
      <c r="E44" s="7" t="s">
        <v>116</v>
      </c>
      <c r="F44" s="7" t="s">
        <v>117</v>
      </c>
      <c r="G44" s="7" t="s">
        <v>140</v>
      </c>
      <c r="H44" s="7">
        <v>18</v>
      </c>
      <c r="I44" s="7">
        <v>2</v>
      </c>
      <c r="J44" s="7">
        <v>36</v>
      </c>
      <c r="K44" s="7" t="s">
        <v>141</v>
      </c>
    </row>
    <row r="45" spans="1:11" x14ac:dyDescent="0.25">
      <c r="A45" s="7">
        <v>44</v>
      </c>
      <c r="B45" s="7" t="s">
        <v>46</v>
      </c>
      <c r="C45" s="7" t="s">
        <v>47</v>
      </c>
      <c r="D45" s="7" t="s">
        <v>47</v>
      </c>
      <c r="E45" s="7" t="s">
        <v>116</v>
      </c>
      <c r="F45" s="7" t="s">
        <v>117</v>
      </c>
      <c r="G45" s="7" t="s">
        <v>142</v>
      </c>
      <c r="H45" s="7">
        <v>2</v>
      </c>
      <c r="I45" s="7">
        <v>1</v>
      </c>
      <c r="J45" s="7">
        <v>2</v>
      </c>
      <c r="K45" s="7" t="s">
        <v>143</v>
      </c>
    </row>
    <row r="46" spans="1:11" x14ac:dyDescent="0.25">
      <c r="A46" s="7">
        <v>45</v>
      </c>
      <c r="B46" s="7" t="s">
        <v>46</v>
      </c>
      <c r="C46" s="7" t="s">
        <v>47</v>
      </c>
      <c r="D46" s="7" t="s">
        <v>47</v>
      </c>
      <c r="E46" s="7" t="s">
        <v>144</v>
      </c>
      <c r="F46" s="7" t="s">
        <v>145</v>
      </c>
      <c r="G46" s="7" t="s">
        <v>146</v>
      </c>
      <c r="H46" s="7">
        <v>16</v>
      </c>
      <c r="I46" s="7">
        <v>2</v>
      </c>
      <c r="J46" s="7">
        <v>32</v>
      </c>
      <c r="K46" s="7" t="s">
        <v>147</v>
      </c>
    </row>
    <row r="47" spans="1:11" x14ac:dyDescent="0.25">
      <c r="A47" s="7">
        <v>46</v>
      </c>
      <c r="B47" s="7" t="s">
        <v>46</v>
      </c>
      <c r="C47" s="7" t="s">
        <v>47</v>
      </c>
      <c r="D47" s="7" t="s">
        <v>47</v>
      </c>
      <c r="E47" s="7" t="s">
        <v>144</v>
      </c>
      <c r="F47" s="7" t="s">
        <v>145</v>
      </c>
      <c r="G47" s="7" t="s">
        <v>148</v>
      </c>
      <c r="H47" s="7">
        <v>18</v>
      </c>
      <c r="I47" s="7">
        <v>2</v>
      </c>
      <c r="J47" s="7">
        <v>36</v>
      </c>
      <c r="K47" s="7" t="s">
        <v>149</v>
      </c>
    </row>
    <row r="48" spans="1:11" x14ac:dyDescent="0.25">
      <c r="A48" s="7">
        <v>47</v>
      </c>
      <c r="B48" s="7" t="s">
        <v>46</v>
      </c>
      <c r="C48" s="7" t="s">
        <v>47</v>
      </c>
      <c r="D48" s="7" t="s">
        <v>47</v>
      </c>
      <c r="E48" s="7" t="s">
        <v>144</v>
      </c>
      <c r="F48" s="7" t="s">
        <v>145</v>
      </c>
      <c r="G48" s="7" t="s">
        <v>150</v>
      </c>
      <c r="H48" s="7">
        <v>2</v>
      </c>
      <c r="I48" s="7">
        <v>1</v>
      </c>
      <c r="J48" s="7">
        <v>2</v>
      </c>
      <c r="K48" s="7" t="s">
        <v>151</v>
      </c>
    </row>
    <row r="49" spans="1:11" x14ac:dyDescent="0.25">
      <c r="A49" s="7">
        <v>48</v>
      </c>
      <c r="B49" s="7" t="s">
        <v>46</v>
      </c>
      <c r="C49" s="7" t="s">
        <v>47</v>
      </c>
      <c r="D49" s="7" t="s">
        <v>47</v>
      </c>
      <c r="E49" s="7" t="s">
        <v>144</v>
      </c>
      <c r="F49" s="7" t="s">
        <v>145</v>
      </c>
      <c r="G49" s="7" t="s">
        <v>152</v>
      </c>
      <c r="H49" s="7">
        <v>2</v>
      </c>
      <c r="I49" s="7">
        <v>2</v>
      </c>
      <c r="J49" s="7">
        <v>4</v>
      </c>
      <c r="K49" s="7" t="s">
        <v>153</v>
      </c>
    </row>
    <row r="50" spans="1:11" x14ac:dyDescent="0.25">
      <c r="A50" s="7">
        <v>49</v>
      </c>
      <c r="B50" s="7" t="s">
        <v>46</v>
      </c>
      <c r="C50" s="7" t="s">
        <v>47</v>
      </c>
      <c r="D50" s="7" t="s">
        <v>47</v>
      </c>
      <c r="E50" s="7" t="s">
        <v>144</v>
      </c>
      <c r="F50" s="7" t="s">
        <v>145</v>
      </c>
      <c r="G50" s="7" t="s">
        <v>154</v>
      </c>
      <c r="H50" s="7">
        <v>2</v>
      </c>
      <c r="I50" s="7">
        <v>2</v>
      </c>
      <c r="J50" s="7">
        <v>4</v>
      </c>
      <c r="K50" s="7" t="s">
        <v>155</v>
      </c>
    </row>
    <row r="51" spans="1:11" x14ac:dyDescent="0.25">
      <c r="A51" s="7">
        <v>50</v>
      </c>
      <c r="B51" s="7" t="s">
        <v>46</v>
      </c>
      <c r="C51" s="7" t="s">
        <v>47</v>
      </c>
      <c r="D51" s="7" t="s">
        <v>47</v>
      </c>
      <c r="E51" s="7" t="s">
        <v>144</v>
      </c>
      <c r="F51" s="7" t="s">
        <v>145</v>
      </c>
      <c r="G51" s="7" t="s">
        <v>156</v>
      </c>
      <c r="H51" s="7">
        <v>2</v>
      </c>
      <c r="I51" s="7">
        <v>2</v>
      </c>
      <c r="J51" s="7">
        <v>4</v>
      </c>
      <c r="K51" s="7" t="s">
        <v>157</v>
      </c>
    </row>
    <row r="52" spans="1:11" x14ac:dyDescent="0.25">
      <c r="A52" s="7">
        <v>51</v>
      </c>
      <c r="B52" s="7" t="s">
        <v>46</v>
      </c>
      <c r="C52" s="7" t="s">
        <v>47</v>
      </c>
      <c r="D52" s="7" t="s">
        <v>47</v>
      </c>
      <c r="E52" s="7" t="s">
        <v>144</v>
      </c>
      <c r="F52" s="7" t="s">
        <v>145</v>
      </c>
      <c r="G52" s="7" t="s">
        <v>158</v>
      </c>
      <c r="H52" s="7">
        <v>3</v>
      </c>
      <c r="I52" s="7">
        <v>2</v>
      </c>
      <c r="J52" s="7">
        <v>6</v>
      </c>
      <c r="K52" s="7" t="s">
        <v>159</v>
      </c>
    </row>
    <row r="53" spans="1:11" x14ac:dyDescent="0.25">
      <c r="A53" s="7">
        <v>52</v>
      </c>
      <c r="B53" s="7" t="s">
        <v>46</v>
      </c>
      <c r="C53" s="7" t="s">
        <v>47</v>
      </c>
      <c r="D53" s="7" t="s">
        <v>47</v>
      </c>
      <c r="E53" s="7" t="s">
        <v>144</v>
      </c>
      <c r="F53" s="7" t="s">
        <v>145</v>
      </c>
      <c r="G53" s="7" t="s">
        <v>160</v>
      </c>
      <c r="H53" s="7">
        <v>3</v>
      </c>
      <c r="I53" s="7">
        <v>1</v>
      </c>
      <c r="J53" s="7">
        <v>3</v>
      </c>
      <c r="K53" s="7" t="s">
        <v>161</v>
      </c>
    </row>
    <row r="54" spans="1:11" x14ac:dyDescent="0.25">
      <c r="A54" s="7">
        <v>53</v>
      </c>
      <c r="B54" s="7" t="s">
        <v>46</v>
      </c>
      <c r="C54" s="7" t="s">
        <v>47</v>
      </c>
      <c r="D54" s="7" t="s">
        <v>47</v>
      </c>
      <c r="E54" s="7" t="s">
        <v>144</v>
      </c>
      <c r="F54" s="7" t="s">
        <v>145</v>
      </c>
      <c r="G54" s="7" t="s">
        <v>162</v>
      </c>
      <c r="H54" s="7">
        <v>3</v>
      </c>
      <c r="I54" s="7">
        <v>1</v>
      </c>
      <c r="J54" s="7">
        <v>3</v>
      </c>
      <c r="K54" s="7" t="s">
        <v>163</v>
      </c>
    </row>
    <row r="55" spans="1:11" x14ac:dyDescent="0.25">
      <c r="A55" s="7">
        <v>54</v>
      </c>
      <c r="B55" s="7" t="s">
        <v>46</v>
      </c>
      <c r="C55" s="7" t="s">
        <v>47</v>
      </c>
      <c r="D55" s="7" t="s">
        <v>47</v>
      </c>
      <c r="E55" s="7" t="s">
        <v>144</v>
      </c>
      <c r="F55" s="7" t="s">
        <v>145</v>
      </c>
      <c r="G55" s="7" t="s">
        <v>164</v>
      </c>
      <c r="H55" s="7">
        <v>3</v>
      </c>
      <c r="I55" s="7">
        <v>1</v>
      </c>
      <c r="J55" s="7">
        <v>3</v>
      </c>
      <c r="K55" s="7" t="s">
        <v>165</v>
      </c>
    </row>
    <row r="56" spans="1:11" x14ac:dyDescent="0.25">
      <c r="A56" s="7">
        <v>55</v>
      </c>
      <c r="B56" s="7" t="s">
        <v>46</v>
      </c>
      <c r="C56" s="7" t="s">
        <v>47</v>
      </c>
      <c r="D56" s="7" t="s">
        <v>47</v>
      </c>
      <c r="E56" s="7" t="s">
        <v>144</v>
      </c>
      <c r="F56" s="7" t="s">
        <v>145</v>
      </c>
      <c r="G56" s="7" t="s">
        <v>166</v>
      </c>
      <c r="H56" s="7">
        <v>3</v>
      </c>
      <c r="I56" s="7">
        <v>1</v>
      </c>
      <c r="J56" s="7">
        <v>3</v>
      </c>
      <c r="K56" s="7" t="s">
        <v>167</v>
      </c>
    </row>
    <row r="57" spans="1:11" x14ac:dyDescent="0.25">
      <c r="A57" s="7">
        <v>56</v>
      </c>
      <c r="B57" s="7" t="s">
        <v>46</v>
      </c>
      <c r="C57" s="7" t="s">
        <v>47</v>
      </c>
      <c r="D57" s="7" t="s">
        <v>47</v>
      </c>
      <c r="E57" s="7" t="s">
        <v>144</v>
      </c>
      <c r="F57" s="7" t="s">
        <v>145</v>
      </c>
      <c r="G57" s="7" t="s">
        <v>168</v>
      </c>
      <c r="H57" s="7">
        <v>3</v>
      </c>
      <c r="I57" s="7">
        <v>1</v>
      </c>
      <c r="J57" s="7">
        <v>3</v>
      </c>
      <c r="K57" s="7" t="s">
        <v>169</v>
      </c>
    </row>
    <row r="58" spans="1:11" x14ac:dyDescent="0.25">
      <c r="A58" s="7">
        <v>57</v>
      </c>
      <c r="B58" s="7" t="s">
        <v>46</v>
      </c>
      <c r="C58" s="7" t="s">
        <v>47</v>
      </c>
      <c r="D58" s="7" t="s">
        <v>47</v>
      </c>
      <c r="E58" s="7" t="s">
        <v>144</v>
      </c>
      <c r="F58" s="7" t="s">
        <v>145</v>
      </c>
      <c r="G58" s="7" t="s">
        <v>170</v>
      </c>
      <c r="H58" s="7">
        <v>3</v>
      </c>
      <c r="I58" s="7">
        <v>1</v>
      </c>
      <c r="J58" s="7">
        <v>3</v>
      </c>
      <c r="K58" s="7" t="s">
        <v>171</v>
      </c>
    </row>
    <row r="59" spans="1:11" x14ac:dyDescent="0.25">
      <c r="A59" s="7">
        <v>58</v>
      </c>
      <c r="B59" s="7" t="s">
        <v>46</v>
      </c>
      <c r="C59" s="7" t="s">
        <v>47</v>
      </c>
      <c r="D59" s="7" t="s">
        <v>47</v>
      </c>
      <c r="E59" s="7" t="s">
        <v>144</v>
      </c>
      <c r="F59" s="7" t="s">
        <v>145</v>
      </c>
      <c r="G59" s="7" t="s">
        <v>172</v>
      </c>
      <c r="H59" s="7">
        <v>8</v>
      </c>
      <c r="I59" s="7">
        <v>2</v>
      </c>
      <c r="J59" s="7">
        <v>16</v>
      </c>
      <c r="K59" s="7" t="s">
        <v>173</v>
      </c>
    </row>
    <row r="60" spans="1:11" x14ac:dyDescent="0.25">
      <c r="A60" s="7">
        <v>59</v>
      </c>
      <c r="B60" s="7" t="s">
        <v>46</v>
      </c>
      <c r="C60" s="7" t="s">
        <v>47</v>
      </c>
      <c r="D60" s="7" t="s">
        <v>47</v>
      </c>
      <c r="E60" s="7" t="s">
        <v>144</v>
      </c>
      <c r="F60" s="7" t="s">
        <v>145</v>
      </c>
      <c r="G60" s="7" t="s">
        <v>174</v>
      </c>
      <c r="H60" s="7">
        <v>3</v>
      </c>
      <c r="I60" s="7">
        <v>2</v>
      </c>
      <c r="J60" s="7">
        <v>6</v>
      </c>
      <c r="K60" s="7" t="s">
        <v>175</v>
      </c>
    </row>
    <row r="61" spans="1:11" x14ac:dyDescent="0.25">
      <c r="A61" s="7">
        <v>60</v>
      </c>
      <c r="B61" s="7" t="s">
        <v>46</v>
      </c>
      <c r="C61" s="7" t="s">
        <v>47</v>
      </c>
      <c r="D61" s="7" t="s">
        <v>47</v>
      </c>
      <c r="E61" s="7" t="s">
        <v>144</v>
      </c>
      <c r="F61" s="7" t="s">
        <v>145</v>
      </c>
      <c r="G61" s="7" t="s">
        <v>176</v>
      </c>
      <c r="H61" s="7">
        <v>3</v>
      </c>
      <c r="I61" s="7">
        <v>2</v>
      </c>
      <c r="J61" s="7">
        <v>6</v>
      </c>
      <c r="K61" s="7" t="s">
        <v>177</v>
      </c>
    </row>
    <row r="62" spans="1:11" x14ac:dyDescent="0.25">
      <c r="A62" s="7">
        <v>61</v>
      </c>
      <c r="B62" s="7" t="s">
        <v>46</v>
      </c>
      <c r="C62" s="7" t="s">
        <v>47</v>
      </c>
      <c r="D62" s="7" t="s">
        <v>47</v>
      </c>
      <c r="E62" s="7" t="s">
        <v>144</v>
      </c>
      <c r="F62" s="7" t="s">
        <v>145</v>
      </c>
      <c r="G62" s="7" t="s">
        <v>178</v>
      </c>
      <c r="H62" s="7">
        <v>2</v>
      </c>
      <c r="I62" s="7">
        <v>2</v>
      </c>
      <c r="J62" s="7">
        <v>4</v>
      </c>
      <c r="K62" s="7" t="s">
        <v>179</v>
      </c>
    </row>
    <row r="63" spans="1:11" x14ac:dyDescent="0.25">
      <c r="A63" s="7">
        <v>62</v>
      </c>
      <c r="B63" s="7" t="s">
        <v>46</v>
      </c>
      <c r="C63" s="7" t="s">
        <v>47</v>
      </c>
      <c r="D63" s="7" t="s">
        <v>47</v>
      </c>
      <c r="E63" s="7" t="s">
        <v>144</v>
      </c>
      <c r="F63" s="7" t="s">
        <v>145</v>
      </c>
      <c r="G63" s="7" t="s">
        <v>180</v>
      </c>
      <c r="H63" s="7">
        <v>1</v>
      </c>
      <c r="I63" s="7">
        <v>1</v>
      </c>
      <c r="J63" s="7">
        <v>1</v>
      </c>
      <c r="K63" s="7" t="s">
        <v>181</v>
      </c>
    </row>
    <row r="64" spans="1:11" x14ac:dyDescent="0.25">
      <c r="A64" s="7">
        <v>63</v>
      </c>
      <c r="B64" s="7" t="s">
        <v>46</v>
      </c>
      <c r="C64" s="7" t="s">
        <v>47</v>
      </c>
      <c r="D64" s="7" t="s">
        <v>47</v>
      </c>
      <c r="E64" s="7" t="s">
        <v>144</v>
      </c>
      <c r="F64" s="7" t="s">
        <v>145</v>
      </c>
      <c r="G64" s="7" t="s">
        <v>182</v>
      </c>
      <c r="H64" s="7">
        <v>3</v>
      </c>
      <c r="I64" s="7">
        <v>2</v>
      </c>
      <c r="J64" s="7">
        <v>6</v>
      </c>
      <c r="K64" s="7" t="s">
        <v>183</v>
      </c>
    </row>
    <row r="65" spans="1:11" x14ac:dyDescent="0.25">
      <c r="A65" s="7">
        <v>64</v>
      </c>
      <c r="B65" s="7" t="s">
        <v>46</v>
      </c>
      <c r="C65" s="7" t="s">
        <v>47</v>
      </c>
      <c r="D65" s="7" t="s">
        <v>47</v>
      </c>
      <c r="E65" s="7" t="s">
        <v>144</v>
      </c>
      <c r="F65" s="7" t="s">
        <v>145</v>
      </c>
      <c r="G65" s="7" t="s">
        <v>184</v>
      </c>
      <c r="H65" s="7">
        <v>4</v>
      </c>
      <c r="I65" s="7">
        <v>2</v>
      </c>
      <c r="J65" s="7">
        <v>8</v>
      </c>
      <c r="K65" s="7" t="s">
        <v>185</v>
      </c>
    </row>
    <row r="66" spans="1:11" x14ac:dyDescent="0.25">
      <c r="A66" s="7">
        <v>65</v>
      </c>
      <c r="B66" s="7" t="s">
        <v>46</v>
      </c>
      <c r="C66" s="7" t="s">
        <v>47</v>
      </c>
      <c r="D66" s="7" t="s">
        <v>47</v>
      </c>
      <c r="E66" s="7" t="s">
        <v>144</v>
      </c>
      <c r="F66" s="7" t="s">
        <v>145</v>
      </c>
      <c r="G66" s="7" t="s">
        <v>186</v>
      </c>
      <c r="H66" s="7">
        <v>3</v>
      </c>
      <c r="I66" s="7">
        <v>2</v>
      </c>
      <c r="J66" s="7">
        <v>6</v>
      </c>
      <c r="K66" s="7" t="s">
        <v>187</v>
      </c>
    </row>
    <row r="67" spans="1:11" x14ac:dyDescent="0.25">
      <c r="A67" s="7">
        <v>66</v>
      </c>
      <c r="B67" s="7" t="s">
        <v>46</v>
      </c>
      <c r="C67" s="7" t="s">
        <v>47</v>
      </c>
      <c r="D67" s="7" t="s">
        <v>47</v>
      </c>
      <c r="E67" s="7" t="s">
        <v>144</v>
      </c>
      <c r="F67" s="7" t="s">
        <v>145</v>
      </c>
      <c r="G67" s="7" t="s">
        <v>188</v>
      </c>
      <c r="H67" s="7">
        <v>2</v>
      </c>
      <c r="I67" s="7">
        <v>1</v>
      </c>
      <c r="J67" s="7">
        <v>2</v>
      </c>
      <c r="K67" s="7" t="s">
        <v>189</v>
      </c>
    </row>
    <row r="68" spans="1:11" x14ac:dyDescent="0.25">
      <c r="A68" s="7">
        <v>67</v>
      </c>
      <c r="B68" s="7" t="s">
        <v>46</v>
      </c>
      <c r="C68" s="7" t="s">
        <v>47</v>
      </c>
      <c r="D68" s="7" t="s">
        <v>47</v>
      </c>
      <c r="E68" s="7" t="s">
        <v>144</v>
      </c>
      <c r="F68" s="7" t="s">
        <v>145</v>
      </c>
      <c r="G68" s="7" t="s">
        <v>190</v>
      </c>
      <c r="H68" s="7">
        <v>3</v>
      </c>
      <c r="I68" s="7">
        <v>1</v>
      </c>
      <c r="J68" s="7">
        <v>3</v>
      </c>
      <c r="K68" s="7" t="s">
        <v>191</v>
      </c>
    </row>
    <row r="69" spans="1:11" x14ac:dyDescent="0.25">
      <c r="A69" s="7">
        <v>68</v>
      </c>
      <c r="B69" s="7" t="s">
        <v>46</v>
      </c>
      <c r="C69" s="7" t="s">
        <v>47</v>
      </c>
      <c r="D69" s="7" t="s">
        <v>47</v>
      </c>
      <c r="E69" s="7" t="s">
        <v>144</v>
      </c>
      <c r="F69" s="7" t="s">
        <v>145</v>
      </c>
      <c r="G69" s="7" t="s">
        <v>192</v>
      </c>
      <c r="H69" s="7">
        <v>2</v>
      </c>
      <c r="I69" s="7">
        <v>1</v>
      </c>
      <c r="J69" s="7">
        <v>2</v>
      </c>
      <c r="K69" s="7" t="s">
        <v>193</v>
      </c>
    </row>
    <row r="70" spans="1:11" x14ac:dyDescent="0.25">
      <c r="A70" s="7">
        <v>69</v>
      </c>
      <c r="B70" s="7" t="s">
        <v>46</v>
      </c>
      <c r="C70" s="7" t="s">
        <v>47</v>
      </c>
      <c r="D70" s="7" t="s">
        <v>47</v>
      </c>
      <c r="E70" s="7" t="s">
        <v>144</v>
      </c>
      <c r="F70" s="7" t="s">
        <v>145</v>
      </c>
      <c r="G70" s="7" t="s">
        <v>194</v>
      </c>
      <c r="H70" s="7">
        <v>4</v>
      </c>
      <c r="I70" s="7">
        <v>1</v>
      </c>
      <c r="J70" s="7">
        <v>4</v>
      </c>
      <c r="K70" s="7" t="s">
        <v>195</v>
      </c>
    </row>
    <row r="71" spans="1:11" x14ac:dyDescent="0.25">
      <c r="A71" s="7">
        <v>70</v>
      </c>
      <c r="B71" s="7" t="s">
        <v>46</v>
      </c>
      <c r="C71" s="7" t="s">
        <v>47</v>
      </c>
      <c r="D71" s="7" t="s">
        <v>47</v>
      </c>
      <c r="E71" s="7" t="s">
        <v>144</v>
      </c>
      <c r="F71" s="7" t="s">
        <v>145</v>
      </c>
      <c r="G71" s="7" t="s">
        <v>196</v>
      </c>
      <c r="H71" s="7">
        <v>2</v>
      </c>
      <c r="I71" s="7">
        <v>1</v>
      </c>
      <c r="J71" s="7">
        <v>2</v>
      </c>
      <c r="K71" s="7" t="s">
        <v>197</v>
      </c>
    </row>
    <row r="72" spans="1:11" x14ac:dyDescent="0.25">
      <c r="A72" s="7">
        <v>71</v>
      </c>
      <c r="B72" s="7" t="s">
        <v>46</v>
      </c>
      <c r="C72" s="7" t="s">
        <v>47</v>
      </c>
      <c r="D72" s="7" t="s">
        <v>47</v>
      </c>
      <c r="E72" s="7" t="s">
        <v>144</v>
      </c>
      <c r="F72" s="7" t="s">
        <v>145</v>
      </c>
      <c r="G72" s="7" t="s">
        <v>198</v>
      </c>
      <c r="H72" s="7">
        <v>2</v>
      </c>
      <c r="I72" s="7">
        <v>2</v>
      </c>
      <c r="J72" s="7">
        <v>4</v>
      </c>
      <c r="K72" s="7" t="s">
        <v>199</v>
      </c>
    </row>
    <row r="73" spans="1:11" x14ac:dyDescent="0.25">
      <c r="A73" s="7">
        <v>72</v>
      </c>
      <c r="B73" s="7" t="s">
        <v>46</v>
      </c>
      <c r="C73" s="7" t="s">
        <v>47</v>
      </c>
      <c r="D73" s="7" t="s">
        <v>47</v>
      </c>
      <c r="E73" s="7" t="s">
        <v>144</v>
      </c>
      <c r="F73" s="7" t="s">
        <v>145</v>
      </c>
      <c r="G73" s="7" t="s">
        <v>200</v>
      </c>
      <c r="H73" s="7">
        <v>4</v>
      </c>
      <c r="I73" s="7">
        <v>2</v>
      </c>
      <c r="J73" s="7">
        <v>8</v>
      </c>
      <c r="K73" s="7" t="s">
        <v>201</v>
      </c>
    </row>
    <row r="74" spans="1:11" x14ac:dyDescent="0.25">
      <c r="A74" s="7">
        <v>73</v>
      </c>
      <c r="B74" s="7" t="s">
        <v>46</v>
      </c>
      <c r="C74" s="7" t="s">
        <v>47</v>
      </c>
      <c r="D74" s="7" t="s">
        <v>47</v>
      </c>
      <c r="E74" s="7" t="s">
        <v>202</v>
      </c>
      <c r="F74" s="7" t="s">
        <v>145</v>
      </c>
      <c r="G74" s="7" t="s">
        <v>203</v>
      </c>
      <c r="H74" s="7">
        <v>4</v>
      </c>
      <c r="I74" s="7">
        <v>1</v>
      </c>
      <c r="J74" s="7">
        <v>4</v>
      </c>
      <c r="K74" s="7" t="s">
        <v>204</v>
      </c>
    </row>
    <row r="75" spans="1:11" x14ac:dyDescent="0.25">
      <c r="A75" s="7">
        <v>74</v>
      </c>
      <c r="B75" s="7" t="s">
        <v>46</v>
      </c>
      <c r="C75" s="7" t="s">
        <v>47</v>
      </c>
      <c r="D75" s="7" t="s">
        <v>47</v>
      </c>
      <c r="E75" s="7" t="s">
        <v>202</v>
      </c>
      <c r="F75" s="7" t="s">
        <v>145</v>
      </c>
      <c r="G75" s="7" t="s">
        <v>205</v>
      </c>
      <c r="H75" s="7">
        <v>4</v>
      </c>
      <c r="I75" s="7">
        <v>2</v>
      </c>
      <c r="J75" s="7">
        <v>8</v>
      </c>
      <c r="K75" s="7" t="s">
        <v>206</v>
      </c>
    </row>
    <row r="76" spans="1:11" x14ac:dyDescent="0.25">
      <c r="A76" s="7">
        <v>75</v>
      </c>
      <c r="B76" s="7" t="s">
        <v>46</v>
      </c>
      <c r="C76" s="7" t="s">
        <v>47</v>
      </c>
      <c r="D76" s="7" t="s">
        <v>47</v>
      </c>
      <c r="E76" s="7" t="s">
        <v>202</v>
      </c>
      <c r="F76" s="7" t="s">
        <v>145</v>
      </c>
      <c r="G76" s="7" t="s">
        <v>207</v>
      </c>
      <c r="H76" s="7">
        <v>3</v>
      </c>
      <c r="I76" s="7">
        <v>2</v>
      </c>
      <c r="J76" s="7">
        <v>6</v>
      </c>
      <c r="K76" s="7" t="s">
        <v>208</v>
      </c>
    </row>
    <row r="77" spans="1:11" x14ac:dyDescent="0.25">
      <c r="A77" s="7">
        <v>76</v>
      </c>
      <c r="B77" s="7" t="s">
        <v>46</v>
      </c>
      <c r="C77" s="7" t="s">
        <v>47</v>
      </c>
      <c r="D77" s="7" t="s">
        <v>47</v>
      </c>
      <c r="E77" s="7" t="s">
        <v>202</v>
      </c>
      <c r="F77" s="7" t="s">
        <v>145</v>
      </c>
      <c r="G77" s="7" t="s">
        <v>209</v>
      </c>
      <c r="H77" s="7">
        <v>2</v>
      </c>
      <c r="I77" s="7">
        <v>2</v>
      </c>
      <c r="J77" s="7">
        <v>4</v>
      </c>
      <c r="K77" s="7" t="s">
        <v>210</v>
      </c>
    </row>
    <row r="78" spans="1:11" x14ac:dyDescent="0.25">
      <c r="A78" s="7">
        <v>77</v>
      </c>
      <c r="B78" s="7" t="s">
        <v>46</v>
      </c>
      <c r="C78" s="7" t="s">
        <v>47</v>
      </c>
      <c r="D78" s="7" t="s">
        <v>47</v>
      </c>
      <c r="E78" s="7" t="s">
        <v>202</v>
      </c>
      <c r="F78" s="7" t="s">
        <v>145</v>
      </c>
      <c r="G78" s="7" t="s">
        <v>211</v>
      </c>
      <c r="H78" s="7">
        <v>4</v>
      </c>
      <c r="I78" s="7">
        <v>1</v>
      </c>
      <c r="J78" s="7">
        <v>4</v>
      </c>
      <c r="K78" s="7" t="s">
        <v>212</v>
      </c>
    </row>
    <row r="79" spans="1:11" x14ac:dyDescent="0.25">
      <c r="A79" s="7">
        <v>78</v>
      </c>
      <c r="B79" s="7" t="s">
        <v>46</v>
      </c>
      <c r="C79" s="7" t="s">
        <v>47</v>
      </c>
      <c r="D79" s="7" t="s">
        <v>47</v>
      </c>
      <c r="E79" s="7" t="s">
        <v>202</v>
      </c>
      <c r="F79" s="7" t="s">
        <v>145</v>
      </c>
      <c r="G79" s="7" t="s">
        <v>213</v>
      </c>
      <c r="H79" s="7">
        <v>4</v>
      </c>
      <c r="I79" s="7">
        <v>2</v>
      </c>
      <c r="J79" s="7">
        <v>8</v>
      </c>
      <c r="K79" s="7" t="s">
        <v>214</v>
      </c>
    </row>
    <row r="80" spans="1:11" x14ac:dyDescent="0.25">
      <c r="A80" s="7">
        <v>79</v>
      </c>
      <c r="B80" s="7" t="s">
        <v>46</v>
      </c>
      <c r="C80" s="7" t="s">
        <v>47</v>
      </c>
      <c r="D80" s="7" t="s">
        <v>47</v>
      </c>
      <c r="E80" s="7" t="s">
        <v>202</v>
      </c>
      <c r="F80" s="7" t="s">
        <v>145</v>
      </c>
      <c r="G80" s="7" t="s">
        <v>215</v>
      </c>
      <c r="H80" s="7">
        <v>4</v>
      </c>
      <c r="I80" s="7">
        <v>2</v>
      </c>
      <c r="J80" s="7">
        <v>8</v>
      </c>
      <c r="K80" s="7" t="s">
        <v>216</v>
      </c>
    </row>
    <row r="81" spans="1:11" x14ac:dyDescent="0.25">
      <c r="A81" s="7">
        <v>80</v>
      </c>
      <c r="B81" s="7" t="s">
        <v>46</v>
      </c>
      <c r="C81" s="7" t="s">
        <v>47</v>
      </c>
      <c r="D81" s="7" t="s">
        <v>47</v>
      </c>
      <c r="E81" s="7" t="s">
        <v>202</v>
      </c>
      <c r="F81" s="7" t="s">
        <v>145</v>
      </c>
      <c r="G81" s="7" t="s">
        <v>217</v>
      </c>
      <c r="H81" s="7">
        <v>6</v>
      </c>
      <c r="I81" s="7">
        <v>1</v>
      </c>
      <c r="J81" s="7">
        <v>6</v>
      </c>
      <c r="K81" s="7" t="s">
        <v>218</v>
      </c>
    </row>
    <row r="82" spans="1:11" x14ac:dyDescent="0.25">
      <c r="A82" s="7">
        <v>81</v>
      </c>
      <c r="B82" s="7" t="s">
        <v>46</v>
      </c>
      <c r="C82" s="7" t="s">
        <v>47</v>
      </c>
      <c r="D82" s="7" t="s">
        <v>47</v>
      </c>
      <c r="E82" s="7" t="s">
        <v>202</v>
      </c>
      <c r="F82" s="7" t="s">
        <v>145</v>
      </c>
      <c r="G82" s="7" t="s">
        <v>219</v>
      </c>
      <c r="H82" s="7">
        <v>5</v>
      </c>
      <c r="I82" s="7">
        <v>2</v>
      </c>
      <c r="J82" s="7">
        <v>10</v>
      </c>
      <c r="K82" s="7" t="s">
        <v>220</v>
      </c>
    </row>
    <row r="83" spans="1:11" x14ac:dyDescent="0.25">
      <c r="A83" s="7">
        <v>82</v>
      </c>
      <c r="B83" s="7" t="s">
        <v>46</v>
      </c>
      <c r="C83" s="7" t="s">
        <v>47</v>
      </c>
      <c r="D83" s="7" t="s">
        <v>47</v>
      </c>
      <c r="E83" s="7" t="s">
        <v>221</v>
      </c>
      <c r="F83" s="7" t="s">
        <v>145</v>
      </c>
      <c r="G83" s="7" t="s">
        <v>222</v>
      </c>
      <c r="H83" s="7">
        <v>4</v>
      </c>
      <c r="I83" s="7">
        <v>2</v>
      </c>
      <c r="J83" s="7">
        <v>8</v>
      </c>
      <c r="K83" s="7" t="s">
        <v>223</v>
      </c>
    </row>
    <row r="84" spans="1:11" x14ac:dyDescent="0.25">
      <c r="A84" s="7">
        <v>83</v>
      </c>
      <c r="B84" s="7" t="s">
        <v>46</v>
      </c>
      <c r="C84" s="7" t="s">
        <v>47</v>
      </c>
      <c r="D84" s="7" t="s">
        <v>47</v>
      </c>
      <c r="E84" s="7" t="s">
        <v>221</v>
      </c>
      <c r="F84" s="7" t="s">
        <v>145</v>
      </c>
      <c r="G84" s="7" t="s">
        <v>224</v>
      </c>
      <c r="H84" s="7">
        <v>4</v>
      </c>
      <c r="I84" s="7">
        <v>2</v>
      </c>
      <c r="J84" s="7">
        <v>8</v>
      </c>
      <c r="K84" s="7" t="s">
        <v>225</v>
      </c>
    </row>
    <row r="85" spans="1:11" x14ac:dyDescent="0.25">
      <c r="A85" s="7">
        <v>84</v>
      </c>
      <c r="B85" s="7" t="s">
        <v>46</v>
      </c>
      <c r="C85" s="7" t="s">
        <v>47</v>
      </c>
      <c r="D85" s="7" t="s">
        <v>47</v>
      </c>
      <c r="E85" s="7" t="s">
        <v>221</v>
      </c>
      <c r="F85" s="7" t="s">
        <v>145</v>
      </c>
      <c r="G85" s="7" t="s">
        <v>226</v>
      </c>
      <c r="H85" s="7">
        <v>2</v>
      </c>
      <c r="I85" s="7">
        <v>2</v>
      </c>
      <c r="J85" s="7">
        <v>4</v>
      </c>
      <c r="K85" s="7" t="s">
        <v>227</v>
      </c>
    </row>
    <row r="86" spans="1:11" x14ac:dyDescent="0.25">
      <c r="A86" s="7">
        <v>85</v>
      </c>
      <c r="B86" s="7" t="s">
        <v>46</v>
      </c>
      <c r="C86" s="7" t="s">
        <v>47</v>
      </c>
      <c r="D86" s="7" t="s">
        <v>47</v>
      </c>
      <c r="E86" s="7" t="s">
        <v>221</v>
      </c>
      <c r="F86" s="7" t="s">
        <v>145</v>
      </c>
      <c r="G86" s="7" t="s">
        <v>228</v>
      </c>
      <c r="H86" s="7">
        <v>1</v>
      </c>
      <c r="I86" s="7">
        <v>2</v>
      </c>
      <c r="J86" s="7">
        <v>2</v>
      </c>
      <c r="K86" s="7" t="s">
        <v>229</v>
      </c>
    </row>
    <row r="87" spans="1:11" x14ac:dyDescent="0.25">
      <c r="A87" s="7">
        <v>86</v>
      </c>
      <c r="B87" s="7" t="s">
        <v>46</v>
      </c>
      <c r="C87" s="7" t="s">
        <v>47</v>
      </c>
      <c r="D87" s="7" t="s">
        <v>47</v>
      </c>
      <c r="E87" s="7" t="s">
        <v>221</v>
      </c>
      <c r="F87" s="7" t="s">
        <v>145</v>
      </c>
      <c r="G87" s="7" t="s">
        <v>230</v>
      </c>
      <c r="H87" s="7">
        <v>3</v>
      </c>
      <c r="I87" s="7">
        <v>1</v>
      </c>
      <c r="J87" s="7">
        <v>3</v>
      </c>
      <c r="K87" s="7" t="s">
        <v>231</v>
      </c>
    </row>
    <row r="88" spans="1:11" x14ac:dyDescent="0.25">
      <c r="A88" s="7">
        <v>87</v>
      </c>
      <c r="B88" s="7" t="s">
        <v>46</v>
      </c>
      <c r="C88" s="7" t="s">
        <v>47</v>
      </c>
      <c r="D88" s="7" t="s">
        <v>47</v>
      </c>
      <c r="E88" s="7" t="s">
        <v>221</v>
      </c>
      <c r="F88" s="7" t="s">
        <v>145</v>
      </c>
      <c r="G88" s="7" t="s">
        <v>232</v>
      </c>
      <c r="H88" s="7">
        <v>4</v>
      </c>
      <c r="I88" s="7">
        <v>2</v>
      </c>
      <c r="J88" s="7">
        <v>8</v>
      </c>
      <c r="K88" s="7" t="s">
        <v>233</v>
      </c>
    </row>
    <row r="89" spans="1:11" x14ac:dyDescent="0.25">
      <c r="A89" s="7">
        <v>88</v>
      </c>
      <c r="B89" s="7" t="s">
        <v>46</v>
      </c>
      <c r="C89" s="7" t="s">
        <v>47</v>
      </c>
      <c r="D89" s="7" t="s">
        <v>47</v>
      </c>
      <c r="E89" s="7" t="s">
        <v>221</v>
      </c>
      <c r="F89" s="7" t="s">
        <v>145</v>
      </c>
      <c r="G89" s="7" t="s">
        <v>234</v>
      </c>
      <c r="H89" s="7">
        <v>2</v>
      </c>
      <c r="I89" s="7">
        <v>2</v>
      </c>
      <c r="J89" s="7">
        <v>4</v>
      </c>
      <c r="K89" s="7" t="s">
        <v>235</v>
      </c>
    </row>
    <row r="90" spans="1:11" x14ac:dyDescent="0.25">
      <c r="A90" s="7">
        <v>89</v>
      </c>
      <c r="B90" s="7" t="s">
        <v>46</v>
      </c>
      <c r="C90" s="7" t="s">
        <v>47</v>
      </c>
      <c r="D90" s="7" t="s">
        <v>47</v>
      </c>
      <c r="E90" s="7" t="s">
        <v>221</v>
      </c>
      <c r="F90" s="7" t="s">
        <v>145</v>
      </c>
      <c r="G90" s="7" t="s">
        <v>236</v>
      </c>
      <c r="H90" s="7">
        <v>8</v>
      </c>
      <c r="I90" s="7">
        <v>2</v>
      </c>
      <c r="J90" s="7">
        <v>16</v>
      </c>
      <c r="K90" s="7" t="s">
        <v>237</v>
      </c>
    </row>
    <row r="91" spans="1:11" x14ac:dyDescent="0.25">
      <c r="A91" s="7">
        <v>90</v>
      </c>
      <c r="B91" s="7" t="s">
        <v>46</v>
      </c>
      <c r="C91" s="7" t="s">
        <v>47</v>
      </c>
      <c r="D91" s="7" t="s">
        <v>47</v>
      </c>
      <c r="E91" s="7" t="s">
        <v>221</v>
      </c>
      <c r="F91" s="7" t="s">
        <v>145</v>
      </c>
      <c r="G91" s="7" t="s">
        <v>238</v>
      </c>
      <c r="H91" s="7">
        <v>10</v>
      </c>
      <c r="I91" s="7">
        <v>2</v>
      </c>
      <c r="J91" s="7">
        <v>20</v>
      </c>
      <c r="K91" s="7" t="s">
        <v>239</v>
      </c>
    </row>
    <row r="92" spans="1:11" x14ac:dyDescent="0.25">
      <c r="A92" s="7">
        <v>91</v>
      </c>
      <c r="B92" s="7" t="s">
        <v>46</v>
      </c>
      <c r="C92" s="7" t="s">
        <v>47</v>
      </c>
      <c r="D92" s="7" t="s">
        <v>47</v>
      </c>
      <c r="E92" s="7" t="s">
        <v>221</v>
      </c>
      <c r="F92" s="7" t="s">
        <v>145</v>
      </c>
      <c r="G92" s="7" t="s">
        <v>240</v>
      </c>
      <c r="H92" s="7">
        <v>3</v>
      </c>
      <c r="I92" s="7">
        <v>1</v>
      </c>
      <c r="J92" s="7">
        <v>3</v>
      </c>
      <c r="K92" s="7" t="s">
        <v>241</v>
      </c>
    </row>
    <row r="93" spans="1:11" x14ac:dyDescent="0.25">
      <c r="A93" s="7">
        <v>92</v>
      </c>
      <c r="B93" s="7" t="s">
        <v>46</v>
      </c>
      <c r="C93" s="7" t="s">
        <v>47</v>
      </c>
      <c r="D93" s="7" t="s">
        <v>47</v>
      </c>
      <c r="E93" s="7" t="s">
        <v>221</v>
      </c>
      <c r="F93" s="7" t="s">
        <v>145</v>
      </c>
      <c r="G93" s="7" t="s">
        <v>242</v>
      </c>
      <c r="H93" s="7">
        <v>2</v>
      </c>
      <c r="I93" s="7">
        <v>1</v>
      </c>
      <c r="J93" s="7">
        <v>2</v>
      </c>
      <c r="K93" s="7" t="s">
        <v>243</v>
      </c>
    </row>
    <row r="94" spans="1:11" x14ac:dyDescent="0.25">
      <c r="A94" s="7">
        <v>93</v>
      </c>
      <c r="B94" s="7" t="s">
        <v>46</v>
      </c>
      <c r="C94" s="7" t="s">
        <v>47</v>
      </c>
      <c r="D94" s="7" t="s">
        <v>47</v>
      </c>
      <c r="E94" s="7" t="s">
        <v>221</v>
      </c>
      <c r="F94" s="7" t="s">
        <v>145</v>
      </c>
      <c r="G94" s="7" t="s">
        <v>244</v>
      </c>
      <c r="H94" s="7">
        <v>2</v>
      </c>
      <c r="I94" s="7">
        <v>1</v>
      </c>
      <c r="J94" s="7">
        <v>2</v>
      </c>
      <c r="K94" s="7" t="s">
        <v>245</v>
      </c>
    </row>
    <row r="95" spans="1:11" x14ac:dyDescent="0.25">
      <c r="A95" s="7">
        <v>94</v>
      </c>
      <c r="B95" s="7" t="s">
        <v>46</v>
      </c>
      <c r="C95" s="7" t="s">
        <v>47</v>
      </c>
      <c r="D95" s="7" t="s">
        <v>47</v>
      </c>
      <c r="E95" s="7" t="s">
        <v>221</v>
      </c>
      <c r="F95" s="7" t="s">
        <v>145</v>
      </c>
      <c r="G95" s="7" t="s">
        <v>246</v>
      </c>
      <c r="H95" s="7">
        <v>2</v>
      </c>
      <c r="I95" s="7">
        <v>2</v>
      </c>
      <c r="J95" s="7">
        <v>4</v>
      </c>
      <c r="K95" s="7" t="s">
        <v>247</v>
      </c>
    </row>
    <row r="96" spans="1:11" x14ac:dyDescent="0.25">
      <c r="A96" s="7">
        <v>95</v>
      </c>
      <c r="B96" s="7" t="s">
        <v>46</v>
      </c>
      <c r="C96" s="7" t="s">
        <v>47</v>
      </c>
      <c r="D96" s="7" t="s">
        <v>47</v>
      </c>
      <c r="E96" s="7" t="s">
        <v>221</v>
      </c>
      <c r="F96" s="7" t="s">
        <v>145</v>
      </c>
      <c r="G96" s="7" t="s">
        <v>248</v>
      </c>
      <c r="H96" s="7">
        <v>2</v>
      </c>
      <c r="I96" s="7">
        <v>2</v>
      </c>
      <c r="J96" s="7">
        <v>4</v>
      </c>
      <c r="K96" s="7" t="s">
        <v>249</v>
      </c>
    </row>
    <row r="97" spans="1:11" x14ac:dyDescent="0.25">
      <c r="A97" s="7">
        <v>96</v>
      </c>
      <c r="B97" s="7" t="s">
        <v>46</v>
      </c>
      <c r="C97" s="7" t="s">
        <v>47</v>
      </c>
      <c r="D97" s="7" t="s">
        <v>47</v>
      </c>
      <c r="E97" s="7" t="s">
        <v>221</v>
      </c>
      <c r="F97" s="7" t="s">
        <v>145</v>
      </c>
      <c r="G97" s="7" t="s">
        <v>250</v>
      </c>
      <c r="H97" s="7">
        <v>8</v>
      </c>
      <c r="I97" s="7">
        <v>2</v>
      </c>
      <c r="J97" s="7">
        <v>16</v>
      </c>
      <c r="K97" s="7" t="s">
        <v>251</v>
      </c>
    </row>
    <row r="98" spans="1:11" x14ac:dyDescent="0.25">
      <c r="A98" s="7">
        <v>97</v>
      </c>
      <c r="B98" s="7" t="s">
        <v>46</v>
      </c>
      <c r="C98" s="7" t="s">
        <v>47</v>
      </c>
      <c r="D98" s="7" t="s">
        <v>47</v>
      </c>
      <c r="E98" s="7" t="s">
        <v>221</v>
      </c>
      <c r="F98" s="7" t="s">
        <v>145</v>
      </c>
      <c r="G98" s="7" t="s">
        <v>252</v>
      </c>
      <c r="H98" s="7">
        <v>1</v>
      </c>
      <c r="I98" s="7">
        <v>2</v>
      </c>
      <c r="J98" s="7">
        <v>2</v>
      </c>
      <c r="K98" s="7" t="s">
        <v>253</v>
      </c>
    </row>
    <row r="99" spans="1:11" x14ac:dyDescent="0.25">
      <c r="A99" s="7">
        <v>98</v>
      </c>
      <c r="B99" s="7" t="s">
        <v>46</v>
      </c>
      <c r="C99" s="7" t="s">
        <v>47</v>
      </c>
      <c r="D99" s="7" t="s">
        <v>47</v>
      </c>
      <c r="E99" s="7" t="s">
        <v>221</v>
      </c>
      <c r="F99" s="7" t="s">
        <v>145</v>
      </c>
      <c r="G99" s="7" t="s">
        <v>254</v>
      </c>
      <c r="H99" s="7">
        <v>1</v>
      </c>
      <c r="I99" s="7">
        <v>1</v>
      </c>
      <c r="J99" s="7">
        <v>1</v>
      </c>
      <c r="K99" s="7" t="s">
        <v>255</v>
      </c>
    </row>
    <row r="100" spans="1:11" x14ac:dyDescent="0.25">
      <c r="A100" s="7">
        <v>99</v>
      </c>
      <c r="B100" s="7" t="s">
        <v>46</v>
      </c>
      <c r="C100" s="7" t="s">
        <v>47</v>
      </c>
      <c r="D100" s="7" t="s">
        <v>47</v>
      </c>
      <c r="E100" s="7" t="s">
        <v>221</v>
      </c>
      <c r="F100" s="7" t="s">
        <v>145</v>
      </c>
      <c r="G100" s="7" t="s">
        <v>256</v>
      </c>
      <c r="H100" s="7">
        <v>6</v>
      </c>
      <c r="I100" s="7">
        <v>2</v>
      </c>
      <c r="J100" s="7">
        <v>12</v>
      </c>
      <c r="K100" s="7" t="s">
        <v>257</v>
      </c>
    </row>
    <row r="101" spans="1:11" x14ac:dyDescent="0.25">
      <c r="A101" s="7">
        <v>100</v>
      </c>
      <c r="B101" s="7" t="s">
        <v>46</v>
      </c>
      <c r="C101" s="7" t="s">
        <v>47</v>
      </c>
      <c r="D101" s="7" t="s">
        <v>47</v>
      </c>
      <c r="E101" s="7" t="s">
        <v>221</v>
      </c>
      <c r="F101" s="7" t="s">
        <v>145</v>
      </c>
      <c r="G101" s="7" t="s">
        <v>258</v>
      </c>
      <c r="H101" s="7">
        <v>3</v>
      </c>
      <c r="I101" s="7">
        <v>2</v>
      </c>
      <c r="J101" s="7">
        <v>6</v>
      </c>
      <c r="K101" s="7" t="s">
        <v>259</v>
      </c>
    </row>
    <row r="102" spans="1:11" x14ac:dyDescent="0.25">
      <c r="A102" s="7">
        <v>101</v>
      </c>
      <c r="B102" s="7" t="s">
        <v>46</v>
      </c>
      <c r="C102" s="7" t="s">
        <v>47</v>
      </c>
      <c r="D102" s="7" t="s">
        <v>47</v>
      </c>
      <c r="E102" s="7" t="s">
        <v>260</v>
      </c>
      <c r="F102" s="7" t="s">
        <v>145</v>
      </c>
      <c r="G102" s="7" t="s">
        <v>261</v>
      </c>
      <c r="H102" s="7">
        <v>1</v>
      </c>
      <c r="I102" s="7">
        <v>2</v>
      </c>
      <c r="J102" s="7">
        <v>2</v>
      </c>
      <c r="K102" s="7" t="s">
        <v>262</v>
      </c>
    </row>
    <row r="103" spans="1:11" x14ac:dyDescent="0.25">
      <c r="A103" s="7">
        <v>102</v>
      </c>
      <c r="B103" s="7" t="s">
        <v>46</v>
      </c>
      <c r="C103" s="7" t="s">
        <v>47</v>
      </c>
      <c r="D103" s="7" t="s">
        <v>47</v>
      </c>
      <c r="E103" s="7" t="s">
        <v>260</v>
      </c>
      <c r="F103" s="7" t="s">
        <v>145</v>
      </c>
      <c r="G103" s="7" t="s">
        <v>263</v>
      </c>
      <c r="H103" s="7">
        <v>1</v>
      </c>
      <c r="I103" s="7">
        <v>1</v>
      </c>
      <c r="J103" s="7">
        <v>1</v>
      </c>
      <c r="K103" s="7" t="s">
        <v>264</v>
      </c>
    </row>
    <row r="104" spans="1:11" x14ac:dyDescent="0.25">
      <c r="A104" s="7">
        <v>103</v>
      </c>
      <c r="B104" s="7" t="s">
        <v>46</v>
      </c>
      <c r="C104" s="7" t="s">
        <v>47</v>
      </c>
      <c r="D104" s="7" t="s">
        <v>47</v>
      </c>
      <c r="E104" s="7" t="s">
        <v>260</v>
      </c>
      <c r="F104" s="7" t="s">
        <v>145</v>
      </c>
      <c r="G104" s="7" t="s">
        <v>265</v>
      </c>
      <c r="H104" s="7">
        <v>3</v>
      </c>
      <c r="I104" s="7">
        <v>2</v>
      </c>
      <c r="J104" s="7">
        <v>6</v>
      </c>
      <c r="K104" s="7" t="s">
        <v>266</v>
      </c>
    </row>
    <row r="105" spans="1:11" x14ac:dyDescent="0.25">
      <c r="A105" s="7">
        <v>104</v>
      </c>
      <c r="B105" s="7" t="s">
        <v>46</v>
      </c>
      <c r="C105" s="7" t="s">
        <v>47</v>
      </c>
      <c r="D105" s="7" t="s">
        <v>47</v>
      </c>
      <c r="E105" s="7" t="s">
        <v>260</v>
      </c>
      <c r="F105" s="7" t="s">
        <v>145</v>
      </c>
      <c r="G105" s="7" t="s">
        <v>267</v>
      </c>
      <c r="H105" s="7">
        <v>3</v>
      </c>
      <c r="I105" s="7">
        <v>2</v>
      </c>
      <c r="J105" s="7">
        <v>6</v>
      </c>
      <c r="K105" s="7" t="s">
        <v>268</v>
      </c>
    </row>
    <row r="106" spans="1:11" x14ac:dyDescent="0.25">
      <c r="A106" s="7">
        <v>105</v>
      </c>
      <c r="B106" s="7" t="s">
        <v>46</v>
      </c>
      <c r="C106" s="7" t="s">
        <v>47</v>
      </c>
      <c r="D106" s="7" t="s">
        <v>47</v>
      </c>
      <c r="E106" s="7" t="s">
        <v>260</v>
      </c>
      <c r="F106" s="7" t="s">
        <v>145</v>
      </c>
      <c r="G106" s="7" t="s">
        <v>269</v>
      </c>
      <c r="H106" s="7">
        <v>6</v>
      </c>
      <c r="I106" s="7">
        <v>2</v>
      </c>
      <c r="J106" s="7">
        <v>12</v>
      </c>
      <c r="K106" s="7" t="s">
        <v>270</v>
      </c>
    </row>
    <row r="107" spans="1:11" x14ac:dyDescent="0.25">
      <c r="A107" s="7">
        <v>106</v>
      </c>
      <c r="B107" s="7" t="s">
        <v>46</v>
      </c>
      <c r="C107" s="7" t="s">
        <v>47</v>
      </c>
      <c r="D107" s="7" t="s">
        <v>47</v>
      </c>
      <c r="E107" s="7" t="s">
        <v>260</v>
      </c>
      <c r="F107" s="7" t="s">
        <v>145</v>
      </c>
      <c r="G107" s="7" t="s">
        <v>271</v>
      </c>
      <c r="H107" s="7">
        <v>3</v>
      </c>
      <c r="I107" s="7">
        <v>1</v>
      </c>
      <c r="J107" s="7">
        <v>3</v>
      </c>
      <c r="K107" s="7" t="s">
        <v>272</v>
      </c>
    </row>
    <row r="108" spans="1:11" x14ac:dyDescent="0.25">
      <c r="A108" s="7">
        <v>107</v>
      </c>
      <c r="B108" s="7" t="s">
        <v>46</v>
      </c>
      <c r="C108" s="7" t="s">
        <v>47</v>
      </c>
      <c r="D108" s="7" t="s">
        <v>47</v>
      </c>
      <c r="E108" s="7" t="s">
        <v>260</v>
      </c>
      <c r="F108" s="7" t="s">
        <v>145</v>
      </c>
      <c r="G108" s="7" t="s">
        <v>273</v>
      </c>
      <c r="H108" s="7">
        <v>2</v>
      </c>
      <c r="I108" s="7">
        <v>1</v>
      </c>
      <c r="J108" s="7">
        <v>2</v>
      </c>
      <c r="K108" s="7" t="s">
        <v>274</v>
      </c>
    </row>
    <row r="109" spans="1:11" x14ac:dyDescent="0.25">
      <c r="A109" s="7">
        <v>108</v>
      </c>
      <c r="B109" s="7" t="s">
        <v>46</v>
      </c>
      <c r="C109" s="7" t="s">
        <v>47</v>
      </c>
      <c r="D109" s="7" t="s">
        <v>47</v>
      </c>
      <c r="E109" s="7" t="s">
        <v>260</v>
      </c>
      <c r="F109" s="7" t="s">
        <v>145</v>
      </c>
      <c r="G109" s="7" t="s">
        <v>275</v>
      </c>
      <c r="H109" s="7">
        <v>3</v>
      </c>
      <c r="I109" s="7">
        <v>2</v>
      </c>
      <c r="J109" s="7">
        <v>6</v>
      </c>
      <c r="K109" s="7" t="s">
        <v>276</v>
      </c>
    </row>
    <row r="110" spans="1:11" x14ac:dyDescent="0.25">
      <c r="A110" s="7">
        <v>109</v>
      </c>
      <c r="B110" s="7" t="s">
        <v>46</v>
      </c>
      <c r="C110" s="7" t="s">
        <v>47</v>
      </c>
      <c r="D110" s="7" t="s">
        <v>47</v>
      </c>
      <c r="E110" s="7" t="s">
        <v>260</v>
      </c>
      <c r="F110" s="7" t="s">
        <v>145</v>
      </c>
      <c r="G110" s="7" t="s">
        <v>277</v>
      </c>
      <c r="H110" s="7">
        <v>6</v>
      </c>
      <c r="I110" s="7">
        <v>1</v>
      </c>
      <c r="J110" s="7">
        <v>6</v>
      </c>
      <c r="K110" s="7" t="s">
        <v>278</v>
      </c>
    </row>
    <row r="111" spans="1:11" x14ac:dyDescent="0.25">
      <c r="A111" s="7">
        <v>110</v>
      </c>
      <c r="B111" s="7" t="s">
        <v>46</v>
      </c>
      <c r="C111" s="7" t="s">
        <v>47</v>
      </c>
      <c r="D111" s="7" t="s">
        <v>47</v>
      </c>
      <c r="E111" s="7" t="s">
        <v>260</v>
      </c>
      <c r="F111" s="7" t="s">
        <v>145</v>
      </c>
      <c r="G111" s="7" t="s">
        <v>279</v>
      </c>
      <c r="H111" s="7">
        <v>3</v>
      </c>
      <c r="I111" s="7">
        <v>1</v>
      </c>
      <c r="J111" s="7">
        <v>3</v>
      </c>
      <c r="K111" s="7" t="s">
        <v>280</v>
      </c>
    </row>
    <row r="112" spans="1:11" x14ac:dyDescent="0.25">
      <c r="A112" s="7">
        <v>111</v>
      </c>
      <c r="B112" s="7" t="s">
        <v>46</v>
      </c>
      <c r="C112" s="7" t="s">
        <v>47</v>
      </c>
      <c r="D112" s="7" t="s">
        <v>47</v>
      </c>
      <c r="E112" s="7" t="s">
        <v>260</v>
      </c>
      <c r="F112" s="7" t="s">
        <v>145</v>
      </c>
      <c r="G112" s="7" t="s">
        <v>281</v>
      </c>
      <c r="H112" s="7">
        <v>6</v>
      </c>
      <c r="I112" s="7">
        <v>2</v>
      </c>
      <c r="J112" s="7">
        <v>12</v>
      </c>
      <c r="K112" s="7" t="s">
        <v>282</v>
      </c>
    </row>
    <row r="113" spans="1:11" x14ac:dyDescent="0.25">
      <c r="A113" s="7">
        <v>112</v>
      </c>
      <c r="B113" s="7" t="s">
        <v>46</v>
      </c>
      <c r="C113" s="7" t="s">
        <v>47</v>
      </c>
      <c r="D113" s="7" t="s">
        <v>47</v>
      </c>
      <c r="E113" s="7" t="s">
        <v>260</v>
      </c>
      <c r="F113" s="7" t="s">
        <v>145</v>
      </c>
      <c r="G113" s="7" t="s">
        <v>283</v>
      </c>
      <c r="H113" s="7">
        <v>3</v>
      </c>
      <c r="I113" s="7">
        <v>1</v>
      </c>
      <c r="J113" s="7">
        <v>3</v>
      </c>
      <c r="K113" s="7" t="s">
        <v>284</v>
      </c>
    </row>
    <row r="114" spans="1:11" x14ac:dyDescent="0.25">
      <c r="A114" s="7">
        <v>113</v>
      </c>
      <c r="B114" s="7" t="s">
        <v>46</v>
      </c>
      <c r="C114" s="7" t="s">
        <v>47</v>
      </c>
      <c r="D114" s="7" t="s">
        <v>47</v>
      </c>
      <c r="E114" s="7" t="s">
        <v>260</v>
      </c>
      <c r="F114" s="7" t="s">
        <v>145</v>
      </c>
      <c r="G114" s="7" t="s">
        <v>285</v>
      </c>
      <c r="H114" s="7">
        <v>1.5</v>
      </c>
      <c r="I114" s="7">
        <v>1</v>
      </c>
      <c r="J114" s="7">
        <v>1.5</v>
      </c>
      <c r="K114" s="7" t="s">
        <v>286</v>
      </c>
    </row>
    <row r="115" spans="1:11" x14ac:dyDescent="0.25">
      <c r="A115" s="7">
        <v>114</v>
      </c>
      <c r="B115" s="7" t="s">
        <v>46</v>
      </c>
      <c r="C115" s="7" t="s">
        <v>47</v>
      </c>
      <c r="D115" s="7" t="s">
        <v>47</v>
      </c>
      <c r="E115" s="7" t="s">
        <v>260</v>
      </c>
      <c r="F115" s="7" t="s">
        <v>145</v>
      </c>
      <c r="G115" s="7" t="s">
        <v>287</v>
      </c>
      <c r="H115" s="7">
        <v>3</v>
      </c>
      <c r="I115" s="7">
        <v>2</v>
      </c>
      <c r="J115" s="7">
        <v>6</v>
      </c>
      <c r="K115" s="7" t="s">
        <v>288</v>
      </c>
    </row>
    <row r="116" spans="1:11" x14ac:dyDescent="0.25">
      <c r="A116" s="7">
        <v>115</v>
      </c>
      <c r="B116" s="7" t="s">
        <v>46</v>
      </c>
      <c r="C116" s="7" t="s">
        <v>47</v>
      </c>
      <c r="D116" s="7" t="s">
        <v>47</v>
      </c>
      <c r="E116" s="7" t="s">
        <v>260</v>
      </c>
      <c r="F116" s="7" t="s">
        <v>145</v>
      </c>
      <c r="G116" s="7" t="s">
        <v>289</v>
      </c>
      <c r="H116" s="7">
        <v>4</v>
      </c>
      <c r="I116" s="7">
        <v>2</v>
      </c>
      <c r="J116" s="7">
        <v>8</v>
      </c>
      <c r="K116" s="7" t="s">
        <v>290</v>
      </c>
    </row>
    <row r="117" spans="1:11" x14ac:dyDescent="0.25">
      <c r="A117" s="7">
        <v>116</v>
      </c>
      <c r="B117" s="7" t="s">
        <v>46</v>
      </c>
      <c r="C117" s="7" t="s">
        <v>47</v>
      </c>
      <c r="D117" s="7" t="s">
        <v>47</v>
      </c>
      <c r="E117" s="7" t="s">
        <v>260</v>
      </c>
      <c r="F117" s="7" t="s">
        <v>145</v>
      </c>
      <c r="G117" s="7" t="s">
        <v>291</v>
      </c>
      <c r="H117" s="7">
        <v>6</v>
      </c>
      <c r="I117" s="7">
        <v>2</v>
      </c>
      <c r="J117" s="7">
        <v>12</v>
      </c>
      <c r="K117" s="7" t="s">
        <v>292</v>
      </c>
    </row>
    <row r="118" spans="1:11" x14ac:dyDescent="0.25">
      <c r="A118" s="7">
        <v>117</v>
      </c>
      <c r="B118" s="7" t="s">
        <v>46</v>
      </c>
      <c r="C118" s="7" t="s">
        <v>47</v>
      </c>
      <c r="D118" s="7" t="s">
        <v>47</v>
      </c>
      <c r="E118" s="7" t="s">
        <v>260</v>
      </c>
      <c r="F118" s="7" t="s">
        <v>145</v>
      </c>
      <c r="G118" s="7" t="s">
        <v>293</v>
      </c>
      <c r="H118" s="7">
        <v>6</v>
      </c>
      <c r="I118" s="7">
        <v>2</v>
      </c>
      <c r="J118" s="7">
        <v>12</v>
      </c>
      <c r="K118" s="7" t="s">
        <v>294</v>
      </c>
    </row>
    <row r="119" spans="1:11" x14ac:dyDescent="0.25">
      <c r="A119" s="7">
        <v>118</v>
      </c>
      <c r="B119" s="7" t="s">
        <v>46</v>
      </c>
      <c r="C119" s="7" t="s">
        <v>47</v>
      </c>
      <c r="D119" s="7" t="s">
        <v>47</v>
      </c>
      <c r="E119" s="7" t="s">
        <v>260</v>
      </c>
      <c r="F119" s="7" t="s">
        <v>145</v>
      </c>
      <c r="G119" s="7" t="s">
        <v>295</v>
      </c>
      <c r="H119" s="7">
        <v>4</v>
      </c>
      <c r="I119" s="7">
        <v>2</v>
      </c>
      <c r="J119" s="7">
        <v>8</v>
      </c>
      <c r="K119" s="7" t="s">
        <v>296</v>
      </c>
    </row>
    <row r="120" spans="1:11" x14ac:dyDescent="0.25">
      <c r="A120" s="7">
        <v>119</v>
      </c>
      <c r="B120" s="7" t="s">
        <v>46</v>
      </c>
      <c r="C120" s="7" t="s">
        <v>47</v>
      </c>
      <c r="D120" s="7" t="s">
        <v>47</v>
      </c>
      <c r="E120" s="7" t="s">
        <v>260</v>
      </c>
      <c r="F120" s="7" t="s">
        <v>145</v>
      </c>
      <c r="G120" s="7" t="s">
        <v>297</v>
      </c>
      <c r="H120" s="7">
        <v>2</v>
      </c>
      <c r="I120" s="7">
        <v>1</v>
      </c>
      <c r="J120" s="7">
        <v>2</v>
      </c>
      <c r="K120" s="7" t="s">
        <v>298</v>
      </c>
    </row>
    <row r="121" spans="1:11" x14ac:dyDescent="0.25">
      <c r="A121" s="7">
        <v>120</v>
      </c>
      <c r="B121" s="7" t="s">
        <v>46</v>
      </c>
      <c r="C121" s="7" t="s">
        <v>47</v>
      </c>
      <c r="D121" s="7" t="s">
        <v>47</v>
      </c>
      <c r="E121" s="7" t="s">
        <v>260</v>
      </c>
      <c r="F121" s="7" t="s">
        <v>145</v>
      </c>
      <c r="G121" s="7" t="s">
        <v>299</v>
      </c>
      <c r="H121" s="7">
        <v>3</v>
      </c>
      <c r="I121" s="7">
        <v>2</v>
      </c>
      <c r="J121" s="7">
        <v>6</v>
      </c>
      <c r="K121" s="7" t="s">
        <v>300</v>
      </c>
    </row>
    <row r="122" spans="1:11" x14ac:dyDescent="0.25">
      <c r="A122" s="7">
        <v>121</v>
      </c>
      <c r="B122" s="7" t="s">
        <v>46</v>
      </c>
      <c r="C122" s="7" t="s">
        <v>47</v>
      </c>
      <c r="D122" s="7" t="s">
        <v>47</v>
      </c>
      <c r="E122" s="7" t="s">
        <v>260</v>
      </c>
      <c r="F122" s="7" t="s">
        <v>145</v>
      </c>
      <c r="G122" s="7" t="s">
        <v>301</v>
      </c>
      <c r="H122" s="7">
        <v>3</v>
      </c>
      <c r="I122" s="7">
        <v>1</v>
      </c>
      <c r="J122" s="7">
        <v>3</v>
      </c>
      <c r="K122" s="7" t="s">
        <v>302</v>
      </c>
    </row>
    <row r="123" spans="1:11" x14ac:dyDescent="0.25">
      <c r="A123" s="7">
        <v>122</v>
      </c>
      <c r="B123" s="7" t="s">
        <v>46</v>
      </c>
      <c r="C123" s="7" t="s">
        <v>47</v>
      </c>
      <c r="D123" s="7" t="s">
        <v>47</v>
      </c>
      <c r="E123" s="7" t="s">
        <v>260</v>
      </c>
      <c r="F123" s="7" t="s">
        <v>145</v>
      </c>
      <c r="G123" s="7" t="s">
        <v>303</v>
      </c>
      <c r="H123" s="7">
        <v>6</v>
      </c>
      <c r="I123" s="7">
        <v>2</v>
      </c>
      <c r="J123" s="7">
        <v>12</v>
      </c>
      <c r="K123" s="7" t="s">
        <v>304</v>
      </c>
    </row>
    <row r="124" spans="1:11" x14ac:dyDescent="0.25">
      <c r="A124" s="7">
        <v>123</v>
      </c>
      <c r="B124" s="7" t="s">
        <v>46</v>
      </c>
      <c r="C124" s="7" t="s">
        <v>47</v>
      </c>
      <c r="D124" s="7" t="s">
        <v>47</v>
      </c>
      <c r="E124" s="7" t="s">
        <v>260</v>
      </c>
      <c r="F124" s="7" t="s">
        <v>145</v>
      </c>
      <c r="G124" s="7" t="s">
        <v>305</v>
      </c>
      <c r="H124" s="7">
        <v>18</v>
      </c>
      <c r="I124" s="7">
        <v>2</v>
      </c>
      <c r="J124" s="7">
        <v>36</v>
      </c>
      <c r="K124" s="7" t="s">
        <v>306</v>
      </c>
    </row>
    <row r="125" spans="1:11" x14ac:dyDescent="0.25">
      <c r="A125" s="7">
        <v>124</v>
      </c>
      <c r="B125" s="7" t="s">
        <v>46</v>
      </c>
      <c r="C125" s="7" t="s">
        <v>47</v>
      </c>
      <c r="D125" s="7" t="s">
        <v>47</v>
      </c>
      <c r="E125" s="7" t="s">
        <v>260</v>
      </c>
      <c r="F125" s="7" t="s">
        <v>145</v>
      </c>
      <c r="G125" s="7" t="s">
        <v>307</v>
      </c>
      <c r="H125" s="7">
        <v>8</v>
      </c>
      <c r="I125" s="7">
        <v>3</v>
      </c>
      <c r="J125" s="7">
        <v>24</v>
      </c>
      <c r="K125" s="7" t="s">
        <v>308</v>
      </c>
    </row>
    <row r="126" spans="1:11" x14ac:dyDescent="0.25">
      <c r="A126" s="7">
        <v>125</v>
      </c>
      <c r="B126" s="7" t="s">
        <v>46</v>
      </c>
      <c r="C126" s="7" t="s">
        <v>47</v>
      </c>
      <c r="D126" s="7" t="s">
        <v>47</v>
      </c>
      <c r="E126" s="7" t="s">
        <v>260</v>
      </c>
      <c r="F126" s="7" t="s">
        <v>145</v>
      </c>
      <c r="G126" s="7" t="s">
        <v>309</v>
      </c>
      <c r="H126" s="7">
        <v>1</v>
      </c>
      <c r="I126" s="7">
        <v>1</v>
      </c>
      <c r="J126" s="7">
        <v>1</v>
      </c>
      <c r="K126" s="7" t="s">
        <v>310</v>
      </c>
    </row>
    <row r="127" spans="1:11" x14ac:dyDescent="0.25">
      <c r="A127" s="7">
        <v>126</v>
      </c>
      <c r="B127" s="7" t="s">
        <v>46</v>
      </c>
      <c r="C127" s="7" t="s">
        <v>47</v>
      </c>
      <c r="D127" s="7" t="s">
        <v>47</v>
      </c>
      <c r="E127" s="7" t="s">
        <v>260</v>
      </c>
      <c r="F127" s="7" t="s">
        <v>145</v>
      </c>
      <c r="G127" s="7" t="s">
        <v>311</v>
      </c>
      <c r="H127" s="7">
        <v>3</v>
      </c>
      <c r="I127" s="7">
        <v>2</v>
      </c>
      <c r="J127" s="7">
        <v>6</v>
      </c>
      <c r="K127" s="7" t="s">
        <v>312</v>
      </c>
    </row>
    <row r="128" spans="1:11" x14ac:dyDescent="0.25">
      <c r="A128" s="7">
        <v>127</v>
      </c>
      <c r="B128" s="7" t="s">
        <v>46</v>
      </c>
      <c r="C128" s="7" t="s">
        <v>47</v>
      </c>
      <c r="D128" s="7" t="s">
        <v>47</v>
      </c>
      <c r="E128" s="7" t="s">
        <v>260</v>
      </c>
      <c r="F128" s="7" t="s">
        <v>145</v>
      </c>
      <c r="G128" s="7" t="s">
        <v>313</v>
      </c>
      <c r="H128" s="7">
        <v>2</v>
      </c>
      <c r="I128" s="7">
        <v>1</v>
      </c>
      <c r="J128" s="7">
        <v>2</v>
      </c>
      <c r="K128" s="7" t="s">
        <v>314</v>
      </c>
    </row>
    <row r="129" spans="1:11" x14ac:dyDescent="0.25">
      <c r="A129" s="7">
        <v>128</v>
      </c>
      <c r="B129" s="7" t="s">
        <v>46</v>
      </c>
      <c r="C129" s="7" t="s">
        <v>47</v>
      </c>
      <c r="D129" s="7" t="s">
        <v>47</v>
      </c>
      <c r="E129" s="7" t="s">
        <v>260</v>
      </c>
      <c r="F129" s="7" t="s">
        <v>145</v>
      </c>
      <c r="G129" s="7" t="s">
        <v>315</v>
      </c>
      <c r="H129" s="7">
        <v>2</v>
      </c>
      <c r="I129" s="7">
        <v>1</v>
      </c>
      <c r="J129" s="7">
        <v>2</v>
      </c>
      <c r="K129" s="7" t="s">
        <v>316</v>
      </c>
    </row>
    <row r="130" spans="1:11" x14ac:dyDescent="0.25">
      <c r="A130" s="7">
        <v>129</v>
      </c>
      <c r="B130" s="7" t="s">
        <v>46</v>
      </c>
      <c r="C130" s="7" t="s">
        <v>47</v>
      </c>
      <c r="D130" s="7" t="s">
        <v>47</v>
      </c>
      <c r="E130" s="7" t="s">
        <v>260</v>
      </c>
      <c r="F130" s="7" t="s">
        <v>145</v>
      </c>
      <c r="G130" s="7" t="s">
        <v>317</v>
      </c>
      <c r="H130" s="7">
        <v>4</v>
      </c>
      <c r="I130" s="7">
        <v>2</v>
      </c>
      <c r="J130" s="7">
        <v>8</v>
      </c>
      <c r="K130" s="7" t="s">
        <v>318</v>
      </c>
    </row>
    <row r="131" spans="1:11" x14ac:dyDescent="0.25">
      <c r="A131" s="7">
        <v>130</v>
      </c>
      <c r="B131" s="7" t="s">
        <v>46</v>
      </c>
      <c r="C131" s="7" t="s">
        <v>47</v>
      </c>
      <c r="D131" s="7" t="s">
        <v>47</v>
      </c>
      <c r="E131" s="7" t="s">
        <v>260</v>
      </c>
      <c r="F131" s="7" t="s">
        <v>145</v>
      </c>
      <c r="G131" s="7" t="s">
        <v>319</v>
      </c>
      <c r="H131" s="7">
        <v>3</v>
      </c>
      <c r="I131" s="7">
        <v>2</v>
      </c>
      <c r="J131" s="7">
        <v>6</v>
      </c>
      <c r="K131" s="7" t="s">
        <v>320</v>
      </c>
    </row>
    <row r="132" spans="1:11" x14ac:dyDescent="0.25">
      <c r="A132" s="7">
        <v>131</v>
      </c>
      <c r="B132" s="7" t="s">
        <v>46</v>
      </c>
      <c r="C132" s="7" t="s">
        <v>47</v>
      </c>
      <c r="D132" s="7" t="s">
        <v>47</v>
      </c>
      <c r="E132" s="7" t="s">
        <v>260</v>
      </c>
      <c r="F132" s="7" t="s">
        <v>145</v>
      </c>
      <c r="G132" s="7" t="s">
        <v>321</v>
      </c>
      <c r="H132" s="7">
        <v>6</v>
      </c>
      <c r="I132" s="7">
        <v>2</v>
      </c>
      <c r="J132" s="7">
        <v>12</v>
      </c>
      <c r="K132" s="7" t="s">
        <v>322</v>
      </c>
    </row>
    <row r="133" spans="1:11" x14ac:dyDescent="0.25">
      <c r="A133" s="7">
        <v>132</v>
      </c>
      <c r="B133" s="7" t="s">
        <v>46</v>
      </c>
      <c r="C133" s="7" t="s">
        <v>47</v>
      </c>
      <c r="D133" s="7" t="s">
        <v>47</v>
      </c>
      <c r="E133" s="7" t="s">
        <v>323</v>
      </c>
      <c r="F133" s="7" t="s">
        <v>145</v>
      </c>
      <c r="G133" s="7" t="s">
        <v>324</v>
      </c>
      <c r="H133" s="7">
        <v>8</v>
      </c>
      <c r="I133" s="7">
        <v>2</v>
      </c>
      <c r="J133" s="7">
        <v>16</v>
      </c>
      <c r="K133" s="7" t="s">
        <v>325</v>
      </c>
    </row>
    <row r="134" spans="1:11" x14ac:dyDescent="0.25">
      <c r="A134" s="7">
        <v>133</v>
      </c>
      <c r="B134" s="7" t="s">
        <v>46</v>
      </c>
      <c r="C134" s="7" t="s">
        <v>47</v>
      </c>
      <c r="D134" s="7" t="s">
        <v>47</v>
      </c>
      <c r="E134" s="7" t="s">
        <v>323</v>
      </c>
      <c r="F134" s="7" t="s">
        <v>145</v>
      </c>
      <c r="G134" s="7" t="s">
        <v>326</v>
      </c>
      <c r="H134" s="7">
        <v>2</v>
      </c>
      <c r="I134" s="7">
        <v>1</v>
      </c>
      <c r="J134" s="7">
        <v>2</v>
      </c>
      <c r="K134" s="7" t="s">
        <v>327</v>
      </c>
    </row>
    <row r="135" spans="1:11" x14ac:dyDescent="0.25">
      <c r="A135" s="7">
        <v>134</v>
      </c>
      <c r="B135" s="7" t="s">
        <v>46</v>
      </c>
      <c r="C135" s="7" t="s">
        <v>47</v>
      </c>
      <c r="D135" s="7" t="s">
        <v>47</v>
      </c>
      <c r="E135" s="7" t="s">
        <v>323</v>
      </c>
      <c r="F135" s="7" t="s">
        <v>145</v>
      </c>
      <c r="G135" s="7" t="s">
        <v>328</v>
      </c>
      <c r="H135" s="7">
        <v>0.5</v>
      </c>
      <c r="I135" s="7">
        <v>1</v>
      </c>
      <c r="J135" s="7">
        <v>0.5</v>
      </c>
      <c r="K135" s="7" t="s">
        <v>329</v>
      </c>
    </row>
    <row r="136" spans="1:11" x14ac:dyDescent="0.25">
      <c r="A136" s="7">
        <v>135</v>
      </c>
      <c r="B136" s="7" t="s">
        <v>46</v>
      </c>
      <c r="C136" s="7" t="s">
        <v>47</v>
      </c>
      <c r="D136" s="7" t="s">
        <v>47</v>
      </c>
      <c r="E136" s="7" t="s">
        <v>323</v>
      </c>
      <c r="F136" s="7" t="s">
        <v>145</v>
      </c>
      <c r="G136" s="7" t="s">
        <v>330</v>
      </c>
      <c r="H136" s="7">
        <v>1</v>
      </c>
      <c r="I136" s="7">
        <v>1</v>
      </c>
      <c r="J136" s="7">
        <v>1</v>
      </c>
      <c r="K136" s="7" t="s">
        <v>331</v>
      </c>
    </row>
    <row r="137" spans="1:11" x14ac:dyDescent="0.25">
      <c r="A137" s="7">
        <v>136</v>
      </c>
      <c r="B137" s="7" t="s">
        <v>46</v>
      </c>
      <c r="C137" s="7" t="s">
        <v>47</v>
      </c>
      <c r="D137" s="7" t="s">
        <v>47</v>
      </c>
      <c r="E137" s="7" t="s">
        <v>323</v>
      </c>
      <c r="F137" s="7" t="s">
        <v>145</v>
      </c>
      <c r="G137" s="7" t="s">
        <v>332</v>
      </c>
      <c r="H137" s="7">
        <v>2</v>
      </c>
      <c r="I137" s="7">
        <v>2</v>
      </c>
      <c r="J137" s="7">
        <v>4</v>
      </c>
      <c r="K137" s="7" t="s">
        <v>333</v>
      </c>
    </row>
    <row r="138" spans="1:11" x14ac:dyDescent="0.25">
      <c r="A138" s="7">
        <v>137</v>
      </c>
      <c r="B138" s="7" t="s">
        <v>46</v>
      </c>
      <c r="C138" s="7" t="s">
        <v>47</v>
      </c>
      <c r="D138" s="7" t="s">
        <v>47</v>
      </c>
      <c r="E138" s="7" t="s">
        <v>334</v>
      </c>
      <c r="F138" s="7" t="s">
        <v>145</v>
      </c>
      <c r="G138" s="7" t="s">
        <v>335</v>
      </c>
      <c r="H138" s="7">
        <v>4</v>
      </c>
      <c r="I138" s="7">
        <v>3</v>
      </c>
      <c r="J138" s="7">
        <v>12</v>
      </c>
      <c r="K138" s="7" t="s">
        <v>336</v>
      </c>
    </row>
    <row r="139" spans="1:11" x14ac:dyDescent="0.25">
      <c r="A139" s="7">
        <v>138</v>
      </c>
      <c r="B139" s="7" t="s">
        <v>46</v>
      </c>
      <c r="C139" s="7" t="s">
        <v>47</v>
      </c>
      <c r="D139" s="7" t="s">
        <v>47</v>
      </c>
      <c r="E139" s="7" t="s">
        <v>334</v>
      </c>
      <c r="F139" s="7" t="s">
        <v>145</v>
      </c>
      <c r="G139" s="7" t="s">
        <v>337</v>
      </c>
      <c r="H139" s="7">
        <v>2</v>
      </c>
      <c r="I139" s="7">
        <v>2</v>
      </c>
      <c r="J139" s="7">
        <v>4</v>
      </c>
      <c r="K139" s="7" t="s">
        <v>338</v>
      </c>
    </row>
    <row r="140" spans="1:11" x14ac:dyDescent="0.25">
      <c r="A140" s="7">
        <v>139</v>
      </c>
      <c r="B140" s="7" t="s">
        <v>46</v>
      </c>
      <c r="C140" s="7" t="s">
        <v>47</v>
      </c>
      <c r="D140" s="7" t="s">
        <v>47</v>
      </c>
      <c r="E140" s="7" t="s">
        <v>334</v>
      </c>
      <c r="F140" s="7" t="s">
        <v>145</v>
      </c>
      <c r="G140" s="7" t="s">
        <v>339</v>
      </c>
      <c r="H140" s="7">
        <v>3</v>
      </c>
      <c r="I140" s="7">
        <v>1</v>
      </c>
      <c r="J140" s="7">
        <v>3</v>
      </c>
      <c r="K140" s="7" t="s">
        <v>340</v>
      </c>
    </row>
    <row r="141" spans="1:11" x14ac:dyDescent="0.25">
      <c r="A141" s="7">
        <v>140</v>
      </c>
      <c r="B141" s="7" t="s">
        <v>46</v>
      </c>
      <c r="C141" s="7" t="s">
        <v>47</v>
      </c>
      <c r="D141" s="7" t="s">
        <v>47</v>
      </c>
      <c r="E141" s="7" t="s">
        <v>334</v>
      </c>
      <c r="F141" s="7" t="s">
        <v>145</v>
      </c>
      <c r="G141" s="7" t="s">
        <v>341</v>
      </c>
      <c r="H141" s="7">
        <v>4</v>
      </c>
      <c r="I141" s="7">
        <v>1</v>
      </c>
      <c r="J141" s="7">
        <v>4</v>
      </c>
      <c r="K141" s="7" t="s">
        <v>342</v>
      </c>
    </row>
    <row r="142" spans="1:11" x14ac:dyDescent="0.25">
      <c r="A142" s="7">
        <v>141</v>
      </c>
      <c r="B142" s="7" t="s">
        <v>46</v>
      </c>
      <c r="C142" s="7" t="s">
        <v>47</v>
      </c>
      <c r="D142" s="7" t="s">
        <v>47</v>
      </c>
      <c r="E142" s="7" t="s">
        <v>334</v>
      </c>
      <c r="F142" s="7" t="s">
        <v>145</v>
      </c>
      <c r="G142" s="7" t="s">
        <v>343</v>
      </c>
      <c r="H142" s="7">
        <v>1</v>
      </c>
      <c r="I142" s="7">
        <v>1</v>
      </c>
      <c r="J142" s="7">
        <v>1</v>
      </c>
      <c r="K142" s="7" t="s">
        <v>344</v>
      </c>
    </row>
    <row r="143" spans="1:11" x14ac:dyDescent="0.25">
      <c r="A143" s="7">
        <v>142</v>
      </c>
      <c r="B143" s="7" t="s">
        <v>46</v>
      </c>
      <c r="C143" s="7" t="s">
        <v>47</v>
      </c>
      <c r="D143" s="7" t="s">
        <v>47</v>
      </c>
      <c r="E143" s="7" t="s">
        <v>334</v>
      </c>
      <c r="F143" s="7" t="s">
        <v>145</v>
      </c>
      <c r="G143" s="7" t="s">
        <v>345</v>
      </c>
      <c r="H143" s="7">
        <v>3</v>
      </c>
      <c r="I143" s="7">
        <v>1</v>
      </c>
      <c r="J143" s="7">
        <v>3</v>
      </c>
      <c r="K143" s="7" t="s">
        <v>346</v>
      </c>
    </row>
    <row r="144" spans="1:11" x14ac:dyDescent="0.25">
      <c r="A144" s="7">
        <v>143</v>
      </c>
      <c r="B144" s="7" t="s">
        <v>46</v>
      </c>
      <c r="C144" s="7" t="s">
        <v>47</v>
      </c>
      <c r="D144" s="7" t="s">
        <v>47</v>
      </c>
      <c r="E144" s="7" t="s">
        <v>334</v>
      </c>
      <c r="F144" s="7" t="s">
        <v>145</v>
      </c>
      <c r="G144" s="7" t="s">
        <v>347</v>
      </c>
      <c r="H144" s="7">
        <v>4</v>
      </c>
      <c r="I144" s="7">
        <v>1</v>
      </c>
      <c r="J144" s="7">
        <v>4</v>
      </c>
      <c r="K144" s="7" t="s">
        <v>348</v>
      </c>
    </row>
    <row r="145" spans="1:11" x14ac:dyDescent="0.25">
      <c r="A145" s="7">
        <v>144</v>
      </c>
      <c r="B145" s="7" t="s">
        <v>46</v>
      </c>
      <c r="C145" s="7" t="s">
        <v>47</v>
      </c>
      <c r="D145" s="7" t="s">
        <v>47</v>
      </c>
      <c r="E145" s="7" t="s">
        <v>334</v>
      </c>
      <c r="F145" s="7" t="s">
        <v>145</v>
      </c>
      <c r="G145" s="7" t="s">
        <v>349</v>
      </c>
      <c r="H145" s="7">
        <v>1.5</v>
      </c>
      <c r="I145" s="7">
        <v>1</v>
      </c>
      <c r="J145" s="7">
        <v>1.5</v>
      </c>
      <c r="K145" s="7" t="s">
        <v>350</v>
      </c>
    </row>
    <row r="146" spans="1:11" x14ac:dyDescent="0.25">
      <c r="A146" s="7">
        <v>145</v>
      </c>
      <c r="B146" s="7" t="s">
        <v>46</v>
      </c>
      <c r="C146" s="7" t="s">
        <v>47</v>
      </c>
      <c r="D146" s="7" t="s">
        <v>47</v>
      </c>
      <c r="E146" s="7" t="s">
        <v>334</v>
      </c>
      <c r="F146" s="7" t="s">
        <v>145</v>
      </c>
      <c r="G146" s="7" t="s">
        <v>351</v>
      </c>
      <c r="H146" s="7">
        <v>3</v>
      </c>
      <c r="I146" s="7">
        <v>1</v>
      </c>
      <c r="J146" s="7">
        <v>3</v>
      </c>
      <c r="K146" s="7" t="s">
        <v>352</v>
      </c>
    </row>
    <row r="147" spans="1:11" x14ac:dyDescent="0.25">
      <c r="A147" s="7">
        <v>146</v>
      </c>
      <c r="B147" s="7" t="s">
        <v>46</v>
      </c>
      <c r="C147" s="7" t="s">
        <v>47</v>
      </c>
      <c r="D147" s="7" t="s">
        <v>47</v>
      </c>
      <c r="E147" s="7" t="s">
        <v>334</v>
      </c>
      <c r="F147" s="7" t="s">
        <v>145</v>
      </c>
      <c r="G147" s="7" t="s">
        <v>353</v>
      </c>
      <c r="H147" s="7">
        <v>1</v>
      </c>
      <c r="I147" s="7">
        <v>1</v>
      </c>
      <c r="J147" s="7">
        <v>1</v>
      </c>
      <c r="K147" s="7" t="s">
        <v>354</v>
      </c>
    </row>
    <row r="148" spans="1:11" x14ac:dyDescent="0.25">
      <c r="A148" s="7">
        <v>147</v>
      </c>
      <c r="B148" s="7" t="s">
        <v>46</v>
      </c>
      <c r="C148" s="7" t="s">
        <v>47</v>
      </c>
      <c r="D148" s="7" t="s">
        <v>47</v>
      </c>
      <c r="E148" s="7" t="s">
        <v>334</v>
      </c>
      <c r="F148" s="7" t="s">
        <v>145</v>
      </c>
      <c r="G148" s="7" t="s">
        <v>355</v>
      </c>
      <c r="H148" s="7">
        <v>2</v>
      </c>
      <c r="I148" s="7">
        <v>1</v>
      </c>
      <c r="J148" s="7">
        <v>2</v>
      </c>
      <c r="K148" s="7" t="s">
        <v>356</v>
      </c>
    </row>
    <row r="149" spans="1:11" x14ac:dyDescent="0.25">
      <c r="A149" s="7">
        <v>148</v>
      </c>
      <c r="B149" s="7" t="s">
        <v>46</v>
      </c>
      <c r="C149" s="7" t="s">
        <v>47</v>
      </c>
      <c r="D149" s="7" t="s">
        <v>47</v>
      </c>
      <c r="E149" s="7" t="s">
        <v>334</v>
      </c>
      <c r="F149" s="7" t="s">
        <v>145</v>
      </c>
      <c r="G149" s="7" t="s">
        <v>357</v>
      </c>
      <c r="H149" s="7">
        <v>1.5</v>
      </c>
      <c r="I149" s="7">
        <v>1</v>
      </c>
      <c r="J149" s="7">
        <v>1.5</v>
      </c>
      <c r="K149" s="7" t="s">
        <v>358</v>
      </c>
    </row>
    <row r="150" spans="1:11" x14ac:dyDescent="0.25">
      <c r="A150" s="7">
        <v>149</v>
      </c>
      <c r="B150" s="7" t="s">
        <v>46</v>
      </c>
      <c r="C150" s="7" t="s">
        <v>47</v>
      </c>
      <c r="D150" s="7" t="s">
        <v>47</v>
      </c>
      <c r="E150" s="7" t="s">
        <v>334</v>
      </c>
      <c r="F150" s="7" t="s">
        <v>145</v>
      </c>
      <c r="G150" s="7" t="s">
        <v>359</v>
      </c>
      <c r="H150" s="7">
        <v>2</v>
      </c>
      <c r="I150" s="7">
        <v>1</v>
      </c>
      <c r="J150" s="7">
        <v>2</v>
      </c>
      <c r="K150" s="7" t="s">
        <v>360</v>
      </c>
    </row>
    <row r="151" spans="1:11" x14ac:dyDescent="0.25">
      <c r="A151" s="7">
        <v>150</v>
      </c>
      <c r="B151" s="7" t="s">
        <v>46</v>
      </c>
      <c r="C151" s="7" t="s">
        <v>47</v>
      </c>
      <c r="D151" s="7" t="s">
        <v>47</v>
      </c>
      <c r="E151" s="7" t="s">
        <v>334</v>
      </c>
      <c r="F151" s="7" t="s">
        <v>145</v>
      </c>
      <c r="G151" s="7" t="s">
        <v>361</v>
      </c>
      <c r="H151" s="7">
        <v>1</v>
      </c>
      <c r="I151" s="7">
        <v>2</v>
      </c>
      <c r="J151" s="7">
        <v>2</v>
      </c>
      <c r="K151" s="7" t="s">
        <v>362</v>
      </c>
    </row>
    <row r="152" spans="1:11" x14ac:dyDescent="0.25">
      <c r="A152" s="7">
        <v>151</v>
      </c>
      <c r="B152" s="7" t="s">
        <v>46</v>
      </c>
      <c r="C152" s="7" t="s">
        <v>47</v>
      </c>
      <c r="D152" s="7" t="s">
        <v>47</v>
      </c>
      <c r="E152" s="7" t="s">
        <v>334</v>
      </c>
      <c r="F152" s="7" t="s">
        <v>145</v>
      </c>
      <c r="G152" s="7" t="s">
        <v>363</v>
      </c>
      <c r="H152" s="7">
        <v>2</v>
      </c>
      <c r="I152" s="7">
        <v>2</v>
      </c>
      <c r="J152" s="7">
        <v>4</v>
      </c>
      <c r="K152" s="7" t="s">
        <v>364</v>
      </c>
    </row>
    <row r="153" spans="1:11" x14ac:dyDescent="0.25">
      <c r="A153" s="7">
        <v>152</v>
      </c>
      <c r="B153" s="7" t="s">
        <v>46</v>
      </c>
      <c r="C153" s="7" t="s">
        <v>47</v>
      </c>
      <c r="D153" s="7" t="s">
        <v>47</v>
      </c>
      <c r="E153" s="7" t="s">
        <v>334</v>
      </c>
      <c r="F153" s="7" t="s">
        <v>145</v>
      </c>
      <c r="G153" s="7" t="s">
        <v>365</v>
      </c>
      <c r="H153" s="7">
        <v>12</v>
      </c>
      <c r="I153" s="7">
        <v>2</v>
      </c>
      <c r="J153" s="7">
        <v>24</v>
      </c>
      <c r="K153" s="7" t="s">
        <v>366</v>
      </c>
    </row>
    <row r="154" spans="1:11" x14ac:dyDescent="0.25">
      <c r="A154" s="7">
        <v>153</v>
      </c>
      <c r="B154" s="7" t="s">
        <v>46</v>
      </c>
      <c r="C154" s="7" t="s">
        <v>47</v>
      </c>
      <c r="D154" s="7" t="s">
        <v>47</v>
      </c>
      <c r="E154" s="7" t="s">
        <v>334</v>
      </c>
      <c r="F154" s="7" t="s">
        <v>145</v>
      </c>
      <c r="G154" s="7" t="s">
        <v>367</v>
      </c>
      <c r="H154" s="7">
        <v>4</v>
      </c>
      <c r="I154" s="7">
        <v>2</v>
      </c>
      <c r="J154" s="7">
        <v>8</v>
      </c>
      <c r="K154" s="7" t="s">
        <v>368</v>
      </c>
    </row>
    <row r="155" spans="1:11" x14ac:dyDescent="0.25">
      <c r="A155" s="7">
        <v>154</v>
      </c>
      <c r="B155" s="7" t="s">
        <v>46</v>
      </c>
      <c r="C155" s="7" t="s">
        <v>47</v>
      </c>
      <c r="D155" s="7" t="s">
        <v>47</v>
      </c>
      <c r="E155" s="7" t="s">
        <v>334</v>
      </c>
      <c r="F155" s="7" t="s">
        <v>145</v>
      </c>
      <c r="G155" s="7" t="s">
        <v>369</v>
      </c>
      <c r="H155" s="7">
        <v>4</v>
      </c>
      <c r="I155" s="7">
        <v>2</v>
      </c>
      <c r="J155" s="7">
        <v>8</v>
      </c>
      <c r="K155" s="7" t="s">
        <v>370</v>
      </c>
    </row>
    <row r="156" spans="1:11" x14ac:dyDescent="0.25">
      <c r="A156" s="7">
        <v>155</v>
      </c>
      <c r="B156" s="7" t="s">
        <v>46</v>
      </c>
      <c r="C156" s="7" t="s">
        <v>47</v>
      </c>
      <c r="D156" s="7" t="s">
        <v>47</v>
      </c>
      <c r="E156" s="7" t="s">
        <v>334</v>
      </c>
      <c r="F156" s="7" t="s">
        <v>145</v>
      </c>
      <c r="G156" s="7" t="s">
        <v>371</v>
      </c>
      <c r="H156" s="7">
        <v>2</v>
      </c>
      <c r="I156" s="7">
        <v>1</v>
      </c>
      <c r="J156" s="7">
        <v>2</v>
      </c>
      <c r="K156" s="7" t="s">
        <v>372</v>
      </c>
    </row>
    <row r="157" spans="1:11" x14ac:dyDescent="0.25">
      <c r="A157" s="7">
        <v>156</v>
      </c>
      <c r="B157" s="7" t="s">
        <v>46</v>
      </c>
      <c r="C157" s="7" t="s">
        <v>47</v>
      </c>
      <c r="D157" s="7" t="s">
        <v>47</v>
      </c>
      <c r="E157" s="7" t="s">
        <v>334</v>
      </c>
      <c r="F157" s="7" t="s">
        <v>145</v>
      </c>
      <c r="G157" s="7" t="s">
        <v>373</v>
      </c>
      <c r="H157" s="7">
        <v>4</v>
      </c>
      <c r="I157" s="7">
        <v>2</v>
      </c>
      <c r="J157" s="7">
        <v>8</v>
      </c>
      <c r="K157" s="7" t="s">
        <v>374</v>
      </c>
    </row>
    <row r="158" spans="1:11" x14ac:dyDescent="0.25">
      <c r="A158" s="7">
        <v>157</v>
      </c>
      <c r="B158" s="7" t="s">
        <v>46</v>
      </c>
      <c r="C158" s="7" t="s">
        <v>47</v>
      </c>
      <c r="D158" s="7" t="s">
        <v>47</v>
      </c>
      <c r="E158" s="7" t="s">
        <v>334</v>
      </c>
      <c r="F158" s="7" t="s">
        <v>145</v>
      </c>
      <c r="G158" s="7" t="s">
        <v>375</v>
      </c>
      <c r="H158" s="7">
        <v>6</v>
      </c>
      <c r="I158" s="7">
        <v>2</v>
      </c>
      <c r="J158" s="7">
        <v>12</v>
      </c>
      <c r="K158" s="7" t="s">
        <v>376</v>
      </c>
    </row>
    <row r="159" spans="1:11" x14ac:dyDescent="0.25">
      <c r="A159" s="7">
        <v>158</v>
      </c>
      <c r="B159" s="7" t="s">
        <v>46</v>
      </c>
      <c r="C159" s="7" t="s">
        <v>47</v>
      </c>
      <c r="D159" s="7" t="s">
        <v>47</v>
      </c>
      <c r="E159" s="7" t="s">
        <v>334</v>
      </c>
      <c r="F159" s="7" t="s">
        <v>145</v>
      </c>
      <c r="G159" s="7" t="s">
        <v>377</v>
      </c>
      <c r="H159" s="7">
        <v>1</v>
      </c>
      <c r="I159" s="7">
        <v>1</v>
      </c>
      <c r="J159" s="7">
        <v>1</v>
      </c>
      <c r="K159" s="7" t="s">
        <v>378</v>
      </c>
    </row>
    <row r="160" spans="1:11" x14ac:dyDescent="0.25">
      <c r="A160" s="7">
        <v>159</v>
      </c>
      <c r="B160" s="7" t="s">
        <v>46</v>
      </c>
      <c r="C160" s="7" t="s">
        <v>47</v>
      </c>
      <c r="D160" s="7" t="s">
        <v>47</v>
      </c>
      <c r="E160" s="7" t="s">
        <v>334</v>
      </c>
      <c r="F160" s="7" t="s">
        <v>145</v>
      </c>
      <c r="G160" s="7" t="s">
        <v>379</v>
      </c>
      <c r="H160" s="7">
        <v>1</v>
      </c>
      <c r="I160" s="7">
        <v>1</v>
      </c>
      <c r="J160" s="7">
        <v>1</v>
      </c>
      <c r="K160" s="7" t="s">
        <v>380</v>
      </c>
    </row>
    <row r="161" spans="1:11" x14ac:dyDescent="0.25">
      <c r="A161" s="7">
        <v>160</v>
      </c>
      <c r="B161" s="7" t="s">
        <v>46</v>
      </c>
      <c r="C161" s="7" t="s">
        <v>47</v>
      </c>
      <c r="D161" s="7" t="s">
        <v>47</v>
      </c>
      <c r="E161" s="7" t="s">
        <v>334</v>
      </c>
      <c r="F161" s="7" t="s">
        <v>145</v>
      </c>
      <c r="G161" s="7" t="s">
        <v>381</v>
      </c>
      <c r="H161" s="7">
        <v>4</v>
      </c>
      <c r="I161" s="7">
        <v>1</v>
      </c>
      <c r="J161" s="7">
        <v>4</v>
      </c>
      <c r="K161" s="7" t="s">
        <v>382</v>
      </c>
    </row>
    <row r="162" spans="1:11" x14ac:dyDescent="0.25">
      <c r="A162" s="7">
        <v>161</v>
      </c>
      <c r="B162" s="7" t="s">
        <v>46</v>
      </c>
      <c r="C162" s="7" t="s">
        <v>47</v>
      </c>
      <c r="D162" s="7" t="s">
        <v>47</v>
      </c>
      <c r="E162" s="7" t="s">
        <v>334</v>
      </c>
      <c r="F162" s="7" t="s">
        <v>145</v>
      </c>
      <c r="G162" s="7" t="s">
        <v>383</v>
      </c>
      <c r="H162" s="7">
        <v>1</v>
      </c>
      <c r="I162" s="7">
        <v>1</v>
      </c>
      <c r="J162" s="7">
        <v>1</v>
      </c>
      <c r="K162" s="7" t="s">
        <v>384</v>
      </c>
    </row>
    <row r="163" spans="1:11" x14ac:dyDescent="0.25">
      <c r="A163" s="7">
        <v>162</v>
      </c>
      <c r="B163" s="7" t="s">
        <v>46</v>
      </c>
      <c r="C163" s="7" t="s">
        <v>47</v>
      </c>
      <c r="D163" s="7" t="s">
        <v>47</v>
      </c>
      <c r="E163" s="7" t="s">
        <v>334</v>
      </c>
      <c r="F163" s="7" t="s">
        <v>145</v>
      </c>
      <c r="G163" s="7" t="s">
        <v>385</v>
      </c>
      <c r="H163" s="7">
        <v>4</v>
      </c>
      <c r="I163" s="7">
        <v>2</v>
      </c>
      <c r="J163" s="7">
        <v>8</v>
      </c>
      <c r="K163" s="7" t="s">
        <v>386</v>
      </c>
    </row>
    <row r="164" spans="1:11" x14ac:dyDescent="0.25">
      <c r="A164" s="7">
        <v>163</v>
      </c>
      <c r="B164" s="7" t="s">
        <v>46</v>
      </c>
      <c r="C164" s="7" t="s">
        <v>47</v>
      </c>
      <c r="D164" s="7" t="s">
        <v>47</v>
      </c>
      <c r="E164" s="7" t="s">
        <v>334</v>
      </c>
      <c r="F164" s="7" t="s">
        <v>145</v>
      </c>
      <c r="G164" s="7" t="s">
        <v>387</v>
      </c>
      <c r="H164" s="7">
        <v>1</v>
      </c>
      <c r="I164" s="7">
        <v>1</v>
      </c>
      <c r="J164" s="7">
        <v>1</v>
      </c>
      <c r="K164" s="7" t="s">
        <v>388</v>
      </c>
    </row>
    <row r="165" spans="1:11" x14ac:dyDescent="0.25">
      <c r="A165" s="7">
        <v>164</v>
      </c>
      <c r="B165" s="7" t="s">
        <v>46</v>
      </c>
      <c r="C165" s="7" t="s">
        <v>47</v>
      </c>
      <c r="D165" s="7" t="s">
        <v>47</v>
      </c>
      <c r="E165" s="7" t="s">
        <v>334</v>
      </c>
      <c r="F165" s="7" t="s">
        <v>145</v>
      </c>
      <c r="G165" s="7" t="s">
        <v>389</v>
      </c>
      <c r="H165" s="7">
        <v>0.5</v>
      </c>
      <c r="I165" s="7">
        <v>1</v>
      </c>
      <c r="J165" s="7">
        <v>0.5</v>
      </c>
      <c r="K165" s="7" t="s">
        <v>390</v>
      </c>
    </row>
    <row r="166" spans="1:11" x14ac:dyDescent="0.25">
      <c r="A166" s="7">
        <v>165</v>
      </c>
      <c r="B166" s="7" t="s">
        <v>46</v>
      </c>
      <c r="C166" s="7" t="s">
        <v>47</v>
      </c>
      <c r="D166" s="7" t="s">
        <v>47</v>
      </c>
      <c r="E166" s="7" t="s">
        <v>334</v>
      </c>
      <c r="F166" s="7" t="s">
        <v>145</v>
      </c>
      <c r="G166" s="7" t="s">
        <v>391</v>
      </c>
      <c r="H166" s="7">
        <v>4</v>
      </c>
      <c r="I166" s="7">
        <v>1</v>
      </c>
      <c r="J166" s="7">
        <v>4</v>
      </c>
      <c r="K166" s="7" t="s">
        <v>392</v>
      </c>
    </row>
    <row r="167" spans="1:11" x14ac:dyDescent="0.25">
      <c r="A167" s="7">
        <v>166</v>
      </c>
      <c r="B167" s="7" t="s">
        <v>46</v>
      </c>
      <c r="C167" s="7" t="s">
        <v>47</v>
      </c>
      <c r="D167" s="7" t="s">
        <v>47</v>
      </c>
      <c r="E167" s="7" t="s">
        <v>334</v>
      </c>
      <c r="F167" s="7" t="s">
        <v>145</v>
      </c>
      <c r="G167" s="7" t="s">
        <v>393</v>
      </c>
      <c r="H167" s="7">
        <v>6</v>
      </c>
      <c r="I167" s="7">
        <v>1</v>
      </c>
      <c r="J167" s="7">
        <v>6</v>
      </c>
      <c r="K167" s="7" t="s">
        <v>394</v>
      </c>
    </row>
    <row r="168" spans="1:11" x14ac:dyDescent="0.25">
      <c r="A168" s="7">
        <v>167</v>
      </c>
      <c r="B168" s="7" t="s">
        <v>46</v>
      </c>
      <c r="C168" s="7" t="s">
        <v>47</v>
      </c>
      <c r="D168" s="7" t="s">
        <v>47</v>
      </c>
      <c r="E168" s="7" t="s">
        <v>334</v>
      </c>
      <c r="F168" s="7" t="s">
        <v>145</v>
      </c>
      <c r="G168" s="7" t="s">
        <v>395</v>
      </c>
      <c r="H168" s="7">
        <v>12</v>
      </c>
      <c r="I168" s="7">
        <v>2</v>
      </c>
      <c r="J168" s="7">
        <v>24</v>
      </c>
      <c r="K168" s="7" t="s">
        <v>396</v>
      </c>
    </row>
    <row r="169" spans="1:11" x14ac:dyDescent="0.25">
      <c r="A169" s="7">
        <v>168</v>
      </c>
      <c r="B169" s="7" t="s">
        <v>46</v>
      </c>
      <c r="C169" s="7" t="s">
        <v>397</v>
      </c>
      <c r="D169" s="7" t="s">
        <v>398</v>
      </c>
      <c r="E169" s="7" t="s">
        <v>48</v>
      </c>
      <c r="F169" s="7" t="s">
        <v>49</v>
      </c>
      <c r="G169" s="7" t="s">
        <v>50</v>
      </c>
      <c r="H169" s="7">
        <v>2</v>
      </c>
      <c r="I169" s="7">
        <v>1</v>
      </c>
      <c r="J169" s="7">
        <v>2</v>
      </c>
      <c r="K169" s="7" t="s">
        <v>399</v>
      </c>
    </row>
    <row r="170" spans="1:11" x14ac:dyDescent="0.25">
      <c r="A170" s="7">
        <v>169</v>
      </c>
      <c r="B170" s="7" t="s">
        <v>46</v>
      </c>
      <c r="C170" s="7" t="s">
        <v>397</v>
      </c>
      <c r="D170" s="7" t="s">
        <v>398</v>
      </c>
      <c r="E170" s="7" t="s">
        <v>48</v>
      </c>
      <c r="F170" s="7" t="s">
        <v>49</v>
      </c>
      <c r="G170" s="7" t="s">
        <v>56</v>
      </c>
      <c r="H170" s="7">
        <v>0.5</v>
      </c>
      <c r="I170" s="7">
        <v>1</v>
      </c>
      <c r="J170" s="7">
        <v>0.5</v>
      </c>
      <c r="K170" s="7" t="s">
        <v>400</v>
      </c>
    </row>
    <row r="171" spans="1:11" x14ac:dyDescent="0.25">
      <c r="A171" s="7">
        <v>170</v>
      </c>
      <c r="B171" s="7" t="s">
        <v>46</v>
      </c>
      <c r="C171" s="7" t="s">
        <v>397</v>
      </c>
      <c r="D171" s="7" t="s">
        <v>398</v>
      </c>
      <c r="E171" s="7" t="s">
        <v>48</v>
      </c>
      <c r="F171" s="7" t="s">
        <v>49</v>
      </c>
      <c r="G171" s="7" t="s">
        <v>401</v>
      </c>
      <c r="H171" s="7">
        <v>4</v>
      </c>
      <c r="I171" s="7">
        <v>2</v>
      </c>
      <c r="J171" s="7">
        <v>8</v>
      </c>
      <c r="K171" s="7" t="s">
        <v>402</v>
      </c>
    </row>
    <row r="172" spans="1:11" x14ac:dyDescent="0.25">
      <c r="A172" s="7">
        <v>171</v>
      </c>
      <c r="B172" s="7" t="s">
        <v>46</v>
      </c>
      <c r="C172" s="7" t="s">
        <v>397</v>
      </c>
      <c r="D172" s="7" t="s">
        <v>398</v>
      </c>
      <c r="E172" s="7" t="s">
        <v>48</v>
      </c>
      <c r="F172" s="7" t="s">
        <v>49</v>
      </c>
      <c r="G172" s="7" t="s">
        <v>82</v>
      </c>
      <c r="H172" s="7">
        <v>4</v>
      </c>
      <c r="I172" s="7">
        <v>2</v>
      </c>
      <c r="J172" s="7">
        <v>8</v>
      </c>
      <c r="K172" s="7" t="s">
        <v>403</v>
      </c>
    </row>
    <row r="173" spans="1:11" x14ac:dyDescent="0.25">
      <c r="A173" s="7">
        <v>172</v>
      </c>
      <c r="B173" s="7" t="s">
        <v>46</v>
      </c>
      <c r="C173" s="7" t="s">
        <v>397</v>
      </c>
      <c r="D173" s="7" t="s">
        <v>398</v>
      </c>
      <c r="E173" s="7" t="s">
        <v>48</v>
      </c>
      <c r="F173" s="7" t="s">
        <v>49</v>
      </c>
      <c r="G173" s="7" t="s">
        <v>84</v>
      </c>
      <c r="H173" s="7">
        <v>3</v>
      </c>
      <c r="I173" s="7">
        <v>2</v>
      </c>
      <c r="J173" s="7">
        <v>6</v>
      </c>
      <c r="K173" s="7" t="s">
        <v>404</v>
      </c>
    </row>
    <row r="174" spans="1:11" x14ac:dyDescent="0.25">
      <c r="A174" s="7">
        <v>173</v>
      </c>
      <c r="B174" s="7" t="s">
        <v>46</v>
      </c>
      <c r="C174" s="7" t="s">
        <v>397</v>
      </c>
      <c r="D174" s="7" t="s">
        <v>398</v>
      </c>
      <c r="E174" s="7" t="s">
        <v>48</v>
      </c>
      <c r="F174" s="7" t="s">
        <v>49</v>
      </c>
      <c r="G174" s="7" t="s">
        <v>58</v>
      </c>
      <c r="H174" s="7">
        <v>2</v>
      </c>
      <c r="I174" s="7">
        <v>1</v>
      </c>
      <c r="J174" s="7">
        <v>2</v>
      </c>
      <c r="K174" s="7" t="s">
        <v>405</v>
      </c>
    </row>
    <row r="175" spans="1:11" x14ac:dyDescent="0.25">
      <c r="A175" s="7">
        <v>174</v>
      </c>
      <c r="B175" s="7" t="s">
        <v>46</v>
      </c>
      <c r="C175" s="7" t="s">
        <v>397</v>
      </c>
      <c r="D175" s="7" t="s">
        <v>398</v>
      </c>
      <c r="E175" s="7" t="s">
        <v>48</v>
      </c>
      <c r="F175" s="7" t="s">
        <v>49</v>
      </c>
      <c r="G175" s="7" t="s">
        <v>60</v>
      </c>
      <c r="H175" s="7">
        <v>1</v>
      </c>
      <c r="I175" s="7">
        <v>1</v>
      </c>
      <c r="J175" s="7">
        <v>1</v>
      </c>
      <c r="K175" s="7" t="s">
        <v>406</v>
      </c>
    </row>
    <row r="176" spans="1:11" x14ac:dyDescent="0.25">
      <c r="A176" s="7">
        <v>175</v>
      </c>
      <c r="B176" s="7" t="s">
        <v>46</v>
      </c>
      <c r="C176" s="7" t="s">
        <v>397</v>
      </c>
      <c r="D176" s="7" t="s">
        <v>398</v>
      </c>
      <c r="E176" s="7" t="s">
        <v>48</v>
      </c>
      <c r="F176" s="7" t="s">
        <v>49</v>
      </c>
      <c r="G176" s="7" t="s">
        <v>407</v>
      </c>
      <c r="H176" s="7">
        <v>2</v>
      </c>
      <c r="I176" s="7">
        <v>1</v>
      </c>
      <c r="J176" s="7">
        <v>2</v>
      </c>
      <c r="K176" s="7" t="s">
        <v>408</v>
      </c>
    </row>
    <row r="177" spans="1:11" x14ac:dyDescent="0.25">
      <c r="A177" s="7">
        <v>176</v>
      </c>
      <c r="B177" s="7" t="s">
        <v>46</v>
      </c>
      <c r="C177" s="7" t="s">
        <v>397</v>
      </c>
      <c r="D177" s="7" t="s">
        <v>398</v>
      </c>
      <c r="E177" s="7" t="s">
        <v>48</v>
      </c>
      <c r="F177" s="7" t="s">
        <v>49</v>
      </c>
      <c r="G177" s="7" t="s">
        <v>64</v>
      </c>
      <c r="H177" s="7">
        <v>1</v>
      </c>
      <c r="I177" s="7">
        <v>1</v>
      </c>
      <c r="J177" s="7">
        <v>1</v>
      </c>
      <c r="K177" s="7" t="s">
        <v>409</v>
      </c>
    </row>
    <row r="178" spans="1:11" x14ac:dyDescent="0.25">
      <c r="A178" s="7">
        <v>177</v>
      </c>
      <c r="B178" s="7" t="s">
        <v>46</v>
      </c>
      <c r="C178" s="7" t="s">
        <v>397</v>
      </c>
      <c r="D178" s="7" t="s">
        <v>398</v>
      </c>
      <c r="E178" s="7" t="s">
        <v>48</v>
      </c>
      <c r="F178" s="7" t="s">
        <v>49</v>
      </c>
      <c r="G178" s="7" t="s">
        <v>410</v>
      </c>
      <c r="H178" s="7">
        <v>1</v>
      </c>
      <c r="I178" s="7">
        <v>1</v>
      </c>
      <c r="J178" s="7">
        <v>1</v>
      </c>
      <c r="K178" s="7" t="s">
        <v>411</v>
      </c>
    </row>
    <row r="179" spans="1:11" x14ac:dyDescent="0.25">
      <c r="A179" s="7">
        <v>178</v>
      </c>
      <c r="B179" s="7" t="s">
        <v>46</v>
      </c>
      <c r="C179" s="7" t="s">
        <v>397</v>
      </c>
      <c r="D179" s="7" t="s">
        <v>398</v>
      </c>
      <c r="E179" s="7" t="s">
        <v>48</v>
      </c>
      <c r="F179" s="7" t="s">
        <v>49</v>
      </c>
      <c r="G179" s="7" t="s">
        <v>412</v>
      </c>
      <c r="H179" s="7">
        <v>1</v>
      </c>
      <c r="I179" s="7">
        <v>2</v>
      </c>
      <c r="J179" s="7">
        <v>2</v>
      </c>
      <c r="K179" s="7" t="s">
        <v>413</v>
      </c>
    </row>
    <row r="180" spans="1:11" x14ac:dyDescent="0.25">
      <c r="A180" s="7">
        <v>179</v>
      </c>
      <c r="B180" s="7" t="s">
        <v>46</v>
      </c>
      <c r="C180" s="7" t="s">
        <v>397</v>
      </c>
      <c r="D180" s="7" t="s">
        <v>398</v>
      </c>
      <c r="E180" s="7" t="s">
        <v>68</v>
      </c>
      <c r="F180" s="7" t="s">
        <v>49</v>
      </c>
      <c r="G180" s="7" t="s">
        <v>69</v>
      </c>
      <c r="H180" s="7">
        <v>21.5</v>
      </c>
      <c r="I180" s="7" t="s">
        <v>70</v>
      </c>
      <c r="J180" s="7">
        <v>33.5</v>
      </c>
      <c r="K180" s="7" t="s">
        <v>414</v>
      </c>
    </row>
    <row r="181" spans="1:11" x14ac:dyDescent="0.25">
      <c r="A181" s="7">
        <v>180</v>
      </c>
      <c r="B181" s="7" t="s">
        <v>46</v>
      </c>
      <c r="C181" s="7" t="s">
        <v>397</v>
      </c>
      <c r="D181" s="7" t="s">
        <v>398</v>
      </c>
      <c r="E181" s="7" t="s">
        <v>68</v>
      </c>
      <c r="F181" s="7" t="s">
        <v>49</v>
      </c>
      <c r="G181" s="7" t="s">
        <v>52</v>
      </c>
      <c r="H181" s="7">
        <v>1</v>
      </c>
      <c r="I181" s="7">
        <v>1</v>
      </c>
      <c r="J181" s="7">
        <v>1</v>
      </c>
      <c r="K181" s="7" t="s">
        <v>415</v>
      </c>
    </row>
    <row r="182" spans="1:11" x14ac:dyDescent="0.25">
      <c r="A182" s="7">
        <v>181</v>
      </c>
      <c r="B182" s="7" t="s">
        <v>46</v>
      </c>
      <c r="C182" s="7" t="s">
        <v>397</v>
      </c>
      <c r="D182" s="7" t="s">
        <v>398</v>
      </c>
      <c r="E182" s="7" t="s">
        <v>68</v>
      </c>
      <c r="F182" s="7" t="s">
        <v>49</v>
      </c>
      <c r="G182" s="7" t="s">
        <v>72</v>
      </c>
      <c r="H182" s="7">
        <v>1</v>
      </c>
      <c r="I182" s="7">
        <v>2</v>
      </c>
      <c r="J182" s="7">
        <v>2</v>
      </c>
      <c r="K182" s="7" t="s">
        <v>416</v>
      </c>
    </row>
    <row r="183" spans="1:11" x14ac:dyDescent="0.25">
      <c r="A183" s="7">
        <v>182</v>
      </c>
      <c r="B183" s="7" t="s">
        <v>46</v>
      </c>
      <c r="C183" s="7" t="s">
        <v>397</v>
      </c>
      <c r="D183" s="7" t="s">
        <v>398</v>
      </c>
      <c r="E183" s="7" t="s">
        <v>68</v>
      </c>
      <c r="F183" s="7" t="s">
        <v>49</v>
      </c>
      <c r="G183" s="7" t="s">
        <v>74</v>
      </c>
      <c r="H183" s="7">
        <v>2.5</v>
      </c>
      <c r="I183" s="7">
        <v>2</v>
      </c>
      <c r="J183" s="7">
        <v>5</v>
      </c>
      <c r="K183" s="7" t="s">
        <v>417</v>
      </c>
    </row>
    <row r="184" spans="1:11" x14ac:dyDescent="0.25">
      <c r="A184" s="7">
        <v>183</v>
      </c>
      <c r="B184" s="7" t="s">
        <v>46</v>
      </c>
      <c r="C184" s="7" t="s">
        <v>397</v>
      </c>
      <c r="D184" s="7" t="s">
        <v>398</v>
      </c>
      <c r="E184" s="7" t="s">
        <v>68</v>
      </c>
      <c r="F184" s="7" t="s">
        <v>49</v>
      </c>
      <c r="G184" s="7" t="s">
        <v>418</v>
      </c>
      <c r="H184" s="7">
        <v>2</v>
      </c>
      <c r="I184" s="7">
        <v>1</v>
      </c>
      <c r="J184" s="7">
        <v>2</v>
      </c>
      <c r="K184" s="7" t="s">
        <v>419</v>
      </c>
    </row>
    <row r="185" spans="1:11" x14ac:dyDescent="0.25">
      <c r="A185" s="7">
        <v>184</v>
      </c>
      <c r="B185" s="7" t="s">
        <v>46</v>
      </c>
      <c r="C185" s="7" t="s">
        <v>397</v>
      </c>
      <c r="D185" s="7" t="s">
        <v>398</v>
      </c>
      <c r="E185" s="7" t="s">
        <v>68</v>
      </c>
      <c r="F185" s="7" t="s">
        <v>49</v>
      </c>
      <c r="G185" s="7" t="s">
        <v>76</v>
      </c>
      <c r="H185" s="7">
        <v>0.5</v>
      </c>
      <c r="I185" s="7">
        <v>1</v>
      </c>
      <c r="J185" s="7">
        <v>0.5</v>
      </c>
      <c r="K185" s="7" t="s">
        <v>420</v>
      </c>
    </row>
    <row r="186" spans="1:11" x14ac:dyDescent="0.25">
      <c r="A186" s="7">
        <v>185</v>
      </c>
      <c r="B186" s="7" t="s">
        <v>46</v>
      </c>
      <c r="C186" s="7" t="s">
        <v>397</v>
      </c>
      <c r="D186" s="7" t="s">
        <v>398</v>
      </c>
      <c r="E186" s="7" t="s">
        <v>68</v>
      </c>
      <c r="F186" s="7" t="s">
        <v>49</v>
      </c>
      <c r="G186" s="7" t="s">
        <v>78</v>
      </c>
      <c r="H186" s="7">
        <v>1</v>
      </c>
      <c r="I186" s="7">
        <v>1</v>
      </c>
      <c r="J186" s="7">
        <v>1</v>
      </c>
      <c r="K186" s="7" t="s">
        <v>421</v>
      </c>
    </row>
    <row r="187" spans="1:11" x14ac:dyDescent="0.25">
      <c r="A187" s="7">
        <v>186</v>
      </c>
      <c r="B187" s="7" t="s">
        <v>46</v>
      </c>
      <c r="C187" s="7" t="s">
        <v>397</v>
      </c>
      <c r="D187" s="7" t="s">
        <v>398</v>
      </c>
      <c r="E187" s="7" t="s">
        <v>68</v>
      </c>
      <c r="F187" s="7" t="s">
        <v>49</v>
      </c>
      <c r="G187" s="7" t="s">
        <v>54</v>
      </c>
      <c r="H187" s="7">
        <v>0.5</v>
      </c>
      <c r="I187" s="7">
        <v>1</v>
      </c>
      <c r="J187" s="7">
        <v>0.5</v>
      </c>
      <c r="K187" s="7" t="s">
        <v>422</v>
      </c>
    </row>
    <row r="188" spans="1:11" x14ac:dyDescent="0.25">
      <c r="A188" s="7">
        <v>187</v>
      </c>
      <c r="B188" s="7" t="s">
        <v>46</v>
      </c>
      <c r="C188" s="7" t="s">
        <v>397</v>
      </c>
      <c r="D188" s="7" t="s">
        <v>398</v>
      </c>
      <c r="E188" s="7" t="s">
        <v>88</v>
      </c>
      <c r="F188" s="7" t="s">
        <v>49</v>
      </c>
      <c r="G188" s="7" t="s">
        <v>89</v>
      </c>
      <c r="H188" s="7">
        <v>30</v>
      </c>
      <c r="I188" s="7" t="s">
        <v>70</v>
      </c>
      <c r="J188" s="7">
        <v>45.5</v>
      </c>
      <c r="K188" s="7" t="s">
        <v>423</v>
      </c>
    </row>
    <row r="189" spans="1:11" x14ac:dyDescent="0.25">
      <c r="A189" s="7">
        <v>188</v>
      </c>
      <c r="B189" s="7" t="s">
        <v>46</v>
      </c>
      <c r="C189" s="7" t="s">
        <v>397</v>
      </c>
      <c r="D189" s="7" t="s">
        <v>398</v>
      </c>
      <c r="E189" s="7" t="s">
        <v>88</v>
      </c>
      <c r="F189" s="7" t="s">
        <v>49</v>
      </c>
      <c r="G189" s="7" t="s">
        <v>424</v>
      </c>
      <c r="H189" s="7">
        <v>8</v>
      </c>
      <c r="I189" s="7">
        <v>2</v>
      </c>
      <c r="J189" s="7">
        <v>16</v>
      </c>
      <c r="K189" s="7" t="s">
        <v>425</v>
      </c>
    </row>
    <row r="190" spans="1:11" x14ac:dyDescent="0.25">
      <c r="A190" s="7">
        <v>189</v>
      </c>
      <c r="B190" s="7" t="s">
        <v>46</v>
      </c>
      <c r="C190" s="7" t="s">
        <v>397</v>
      </c>
      <c r="D190" s="7" t="s">
        <v>398</v>
      </c>
      <c r="E190" s="7" t="s">
        <v>88</v>
      </c>
      <c r="F190" s="7" t="s">
        <v>49</v>
      </c>
      <c r="G190" s="7" t="s">
        <v>91</v>
      </c>
      <c r="H190" s="7">
        <v>3</v>
      </c>
      <c r="I190" s="7">
        <v>1</v>
      </c>
      <c r="J190" s="7">
        <v>3</v>
      </c>
      <c r="K190" s="7" t="s">
        <v>426</v>
      </c>
    </row>
    <row r="191" spans="1:11" x14ac:dyDescent="0.25">
      <c r="A191" s="7">
        <v>190</v>
      </c>
      <c r="B191" s="7" t="s">
        <v>46</v>
      </c>
      <c r="C191" s="7" t="s">
        <v>397</v>
      </c>
      <c r="D191" s="7" t="s">
        <v>398</v>
      </c>
      <c r="E191" s="7" t="s">
        <v>88</v>
      </c>
      <c r="F191" s="7" t="s">
        <v>49</v>
      </c>
      <c r="G191" s="7" t="s">
        <v>93</v>
      </c>
      <c r="H191" s="7">
        <v>1</v>
      </c>
      <c r="I191" s="7">
        <v>1</v>
      </c>
      <c r="J191" s="7">
        <v>1</v>
      </c>
      <c r="K191" s="7" t="s">
        <v>427</v>
      </c>
    </row>
    <row r="192" spans="1:11" x14ac:dyDescent="0.25">
      <c r="A192" s="7">
        <v>191</v>
      </c>
      <c r="B192" s="7" t="s">
        <v>46</v>
      </c>
      <c r="C192" s="7" t="s">
        <v>397</v>
      </c>
      <c r="D192" s="7" t="s">
        <v>398</v>
      </c>
      <c r="E192" s="7" t="s">
        <v>88</v>
      </c>
      <c r="F192" s="7" t="s">
        <v>49</v>
      </c>
      <c r="G192" s="7" t="s">
        <v>95</v>
      </c>
      <c r="H192" s="7">
        <v>1</v>
      </c>
      <c r="I192" s="7">
        <v>1</v>
      </c>
      <c r="J192" s="7">
        <v>1</v>
      </c>
      <c r="K192" s="7" t="s">
        <v>428</v>
      </c>
    </row>
    <row r="193" spans="1:11" x14ac:dyDescent="0.25">
      <c r="A193" s="7">
        <v>192</v>
      </c>
      <c r="B193" s="7" t="s">
        <v>46</v>
      </c>
      <c r="C193" s="7" t="s">
        <v>397</v>
      </c>
      <c r="D193" s="7" t="s">
        <v>398</v>
      </c>
      <c r="E193" s="7" t="s">
        <v>88</v>
      </c>
      <c r="F193" s="7" t="s">
        <v>49</v>
      </c>
      <c r="G193" s="7" t="s">
        <v>97</v>
      </c>
      <c r="H193" s="7">
        <v>4</v>
      </c>
      <c r="I193" s="7">
        <v>1</v>
      </c>
      <c r="J193" s="7">
        <v>4</v>
      </c>
      <c r="K193" s="7" t="s">
        <v>429</v>
      </c>
    </row>
    <row r="194" spans="1:11" x14ac:dyDescent="0.25">
      <c r="A194" s="7">
        <v>193</v>
      </c>
      <c r="B194" s="7" t="s">
        <v>46</v>
      </c>
      <c r="C194" s="7" t="s">
        <v>397</v>
      </c>
      <c r="D194" s="7" t="s">
        <v>398</v>
      </c>
      <c r="E194" s="7" t="s">
        <v>88</v>
      </c>
      <c r="F194" s="7" t="s">
        <v>49</v>
      </c>
      <c r="G194" s="7" t="s">
        <v>99</v>
      </c>
      <c r="H194" s="7">
        <v>4</v>
      </c>
      <c r="I194" s="7">
        <v>2</v>
      </c>
      <c r="J194" s="7">
        <v>8</v>
      </c>
      <c r="K194" s="7" t="s">
        <v>430</v>
      </c>
    </row>
    <row r="195" spans="1:11" x14ac:dyDescent="0.25">
      <c r="A195" s="7">
        <v>194</v>
      </c>
      <c r="B195" s="7" t="s">
        <v>46</v>
      </c>
      <c r="C195" s="7" t="s">
        <v>397</v>
      </c>
      <c r="D195" s="7" t="s">
        <v>398</v>
      </c>
      <c r="E195" s="7" t="s">
        <v>101</v>
      </c>
      <c r="F195" s="7" t="s">
        <v>49</v>
      </c>
      <c r="G195" s="7" t="s">
        <v>102</v>
      </c>
      <c r="H195" s="7">
        <v>51</v>
      </c>
      <c r="I195" s="7" t="s">
        <v>70</v>
      </c>
      <c r="J195" s="7">
        <v>78.5</v>
      </c>
      <c r="K195" s="7" t="s">
        <v>431</v>
      </c>
    </row>
    <row r="196" spans="1:11" x14ac:dyDescent="0.25">
      <c r="A196" s="7">
        <v>195</v>
      </c>
      <c r="B196" s="7" t="s">
        <v>46</v>
      </c>
      <c r="C196" s="7" t="s">
        <v>397</v>
      </c>
      <c r="D196" s="7" t="s">
        <v>398</v>
      </c>
      <c r="E196" s="7" t="s">
        <v>101</v>
      </c>
      <c r="F196" s="7" t="s">
        <v>49</v>
      </c>
      <c r="G196" s="7" t="s">
        <v>432</v>
      </c>
      <c r="H196" s="7">
        <v>4</v>
      </c>
      <c r="I196" s="7">
        <v>2</v>
      </c>
      <c r="J196" s="7">
        <v>8</v>
      </c>
      <c r="K196" s="7" t="s">
        <v>433</v>
      </c>
    </row>
    <row r="197" spans="1:11" x14ac:dyDescent="0.25">
      <c r="A197" s="7">
        <v>196</v>
      </c>
      <c r="B197" s="7" t="s">
        <v>46</v>
      </c>
      <c r="C197" s="7" t="s">
        <v>397</v>
      </c>
      <c r="D197" s="7" t="s">
        <v>398</v>
      </c>
      <c r="E197" s="7" t="s">
        <v>101</v>
      </c>
      <c r="F197" s="7" t="s">
        <v>49</v>
      </c>
      <c r="G197" s="7" t="s">
        <v>106</v>
      </c>
      <c r="H197" s="7">
        <v>1</v>
      </c>
      <c r="I197" s="7">
        <v>1</v>
      </c>
      <c r="J197" s="7">
        <v>1</v>
      </c>
      <c r="K197" s="7" t="s">
        <v>434</v>
      </c>
    </row>
    <row r="198" spans="1:11" x14ac:dyDescent="0.25">
      <c r="A198" s="7">
        <v>197</v>
      </c>
      <c r="B198" s="7" t="s">
        <v>46</v>
      </c>
      <c r="C198" s="7" t="s">
        <v>397</v>
      </c>
      <c r="D198" s="7" t="s">
        <v>398</v>
      </c>
      <c r="E198" s="7" t="s">
        <v>101</v>
      </c>
      <c r="F198" s="7" t="s">
        <v>49</v>
      </c>
      <c r="G198" s="7" t="s">
        <v>435</v>
      </c>
      <c r="H198" s="7">
        <v>1</v>
      </c>
      <c r="I198" s="7">
        <v>1</v>
      </c>
      <c r="J198" s="7">
        <v>1</v>
      </c>
      <c r="K198" s="7" t="s">
        <v>436</v>
      </c>
    </row>
    <row r="199" spans="1:11" x14ac:dyDescent="0.25">
      <c r="A199" s="7">
        <v>198</v>
      </c>
      <c r="B199" s="7" t="s">
        <v>46</v>
      </c>
      <c r="C199" s="7" t="s">
        <v>397</v>
      </c>
      <c r="D199" s="7" t="s">
        <v>398</v>
      </c>
      <c r="E199" s="7" t="s">
        <v>101</v>
      </c>
      <c r="F199" s="7" t="s">
        <v>49</v>
      </c>
      <c r="G199" s="7" t="s">
        <v>437</v>
      </c>
      <c r="H199" s="7">
        <v>3</v>
      </c>
      <c r="I199" s="7">
        <v>2</v>
      </c>
      <c r="J199" s="7">
        <v>6</v>
      </c>
      <c r="K199" s="7" t="s">
        <v>438</v>
      </c>
    </row>
    <row r="200" spans="1:11" x14ac:dyDescent="0.25">
      <c r="A200" s="7">
        <v>199</v>
      </c>
      <c r="B200" s="7" t="s">
        <v>46</v>
      </c>
      <c r="C200" s="7" t="s">
        <v>397</v>
      </c>
      <c r="D200" s="7" t="s">
        <v>398</v>
      </c>
      <c r="E200" s="7" t="s">
        <v>101</v>
      </c>
      <c r="F200" s="7" t="s">
        <v>49</v>
      </c>
      <c r="G200" s="7" t="s">
        <v>110</v>
      </c>
      <c r="H200" s="7">
        <v>4</v>
      </c>
      <c r="I200" s="7">
        <v>2</v>
      </c>
      <c r="J200" s="7">
        <v>8</v>
      </c>
      <c r="K200" s="7" t="s">
        <v>439</v>
      </c>
    </row>
    <row r="201" spans="1:11" x14ac:dyDescent="0.25">
      <c r="A201" s="7">
        <v>200</v>
      </c>
      <c r="B201" s="7" t="s">
        <v>46</v>
      </c>
      <c r="C201" s="7" t="s">
        <v>397</v>
      </c>
      <c r="D201" s="7" t="s">
        <v>398</v>
      </c>
      <c r="E201" s="7" t="s">
        <v>101</v>
      </c>
      <c r="F201" s="7" t="s">
        <v>49</v>
      </c>
      <c r="G201" s="7" t="s">
        <v>440</v>
      </c>
      <c r="H201" s="7">
        <v>1</v>
      </c>
      <c r="I201" s="7">
        <v>1</v>
      </c>
      <c r="J201" s="7">
        <v>1</v>
      </c>
      <c r="K201" s="7" t="s">
        <v>441</v>
      </c>
    </row>
    <row r="202" spans="1:11" x14ac:dyDescent="0.25">
      <c r="A202" s="7">
        <v>201</v>
      </c>
      <c r="B202" s="7" t="s">
        <v>46</v>
      </c>
      <c r="C202" s="7" t="s">
        <v>397</v>
      </c>
      <c r="D202" s="7" t="s">
        <v>398</v>
      </c>
      <c r="E202" s="7" t="s">
        <v>101</v>
      </c>
      <c r="F202" s="7" t="s">
        <v>49</v>
      </c>
      <c r="G202" s="7" t="s">
        <v>112</v>
      </c>
      <c r="H202" s="7">
        <v>2</v>
      </c>
      <c r="I202" s="7">
        <v>2</v>
      </c>
      <c r="J202" s="7">
        <v>4</v>
      </c>
      <c r="K202" s="7" t="s">
        <v>442</v>
      </c>
    </row>
    <row r="203" spans="1:11" x14ac:dyDescent="0.25">
      <c r="A203" s="7">
        <v>202</v>
      </c>
      <c r="B203" s="7" t="s">
        <v>46</v>
      </c>
      <c r="C203" s="7" t="s">
        <v>397</v>
      </c>
      <c r="D203" s="7" t="s">
        <v>398</v>
      </c>
      <c r="E203" s="7" t="s">
        <v>101</v>
      </c>
      <c r="F203" s="7" t="s">
        <v>49</v>
      </c>
      <c r="G203" s="7" t="s">
        <v>443</v>
      </c>
      <c r="H203" s="7">
        <v>1</v>
      </c>
      <c r="I203" s="7">
        <v>1</v>
      </c>
      <c r="J203" s="7">
        <v>1</v>
      </c>
      <c r="K203" s="7" t="s">
        <v>444</v>
      </c>
    </row>
    <row r="204" spans="1:11" x14ac:dyDescent="0.25">
      <c r="A204" s="7">
        <v>203</v>
      </c>
      <c r="B204" s="7" t="s">
        <v>46</v>
      </c>
      <c r="C204" s="7" t="s">
        <v>397</v>
      </c>
      <c r="D204" s="7" t="s">
        <v>398</v>
      </c>
      <c r="E204" s="7" t="s">
        <v>116</v>
      </c>
      <c r="F204" s="7" t="s">
        <v>117</v>
      </c>
      <c r="G204" s="7" t="s">
        <v>305</v>
      </c>
      <c r="H204" s="7">
        <v>8</v>
      </c>
      <c r="I204" s="7">
        <v>2</v>
      </c>
      <c r="J204" s="7">
        <v>16</v>
      </c>
      <c r="K204" s="7" t="s">
        <v>445</v>
      </c>
    </row>
    <row r="205" spans="1:11" x14ac:dyDescent="0.25">
      <c r="A205" s="7">
        <v>204</v>
      </c>
      <c r="B205" s="7" t="s">
        <v>46</v>
      </c>
      <c r="C205" s="7" t="s">
        <v>397</v>
      </c>
      <c r="D205" s="7" t="s">
        <v>398</v>
      </c>
      <c r="E205" s="7" t="s">
        <v>116</v>
      </c>
      <c r="F205" s="7" t="s">
        <v>117</v>
      </c>
      <c r="G205" s="7" t="s">
        <v>120</v>
      </c>
      <c r="H205" s="7">
        <v>66</v>
      </c>
      <c r="I205" s="7">
        <v>2</v>
      </c>
      <c r="J205" s="7">
        <v>132</v>
      </c>
      <c r="K205" s="7" t="s">
        <v>446</v>
      </c>
    </row>
    <row r="206" spans="1:11" x14ac:dyDescent="0.25">
      <c r="A206" s="7">
        <v>205</v>
      </c>
      <c r="B206" s="7" t="s">
        <v>46</v>
      </c>
      <c r="C206" s="7" t="s">
        <v>397</v>
      </c>
      <c r="D206" s="7" t="s">
        <v>398</v>
      </c>
      <c r="E206" s="7" t="s">
        <v>116</v>
      </c>
      <c r="F206" s="7" t="s">
        <v>117</v>
      </c>
      <c r="G206" s="7" t="s">
        <v>138</v>
      </c>
      <c r="H206" s="7">
        <v>24</v>
      </c>
      <c r="I206" s="7">
        <v>2</v>
      </c>
      <c r="J206" s="7">
        <v>48</v>
      </c>
      <c r="K206" s="7" t="s">
        <v>447</v>
      </c>
    </row>
    <row r="207" spans="1:11" x14ac:dyDescent="0.25">
      <c r="A207" s="7">
        <v>206</v>
      </c>
      <c r="B207" s="7" t="s">
        <v>46</v>
      </c>
      <c r="C207" s="7" t="s">
        <v>397</v>
      </c>
      <c r="D207" s="7" t="s">
        <v>398</v>
      </c>
      <c r="E207" s="7" t="s">
        <v>116</v>
      </c>
      <c r="F207" s="7" t="s">
        <v>117</v>
      </c>
      <c r="G207" s="7" t="s">
        <v>140</v>
      </c>
      <c r="H207" s="7">
        <v>18</v>
      </c>
      <c r="I207" s="7">
        <v>2</v>
      </c>
      <c r="J207" s="7">
        <v>36</v>
      </c>
      <c r="K207" s="7" t="s">
        <v>448</v>
      </c>
    </row>
    <row r="208" spans="1:11" x14ac:dyDescent="0.25">
      <c r="A208" s="7">
        <v>207</v>
      </c>
      <c r="B208" s="7" t="s">
        <v>46</v>
      </c>
      <c r="C208" s="7" t="s">
        <v>397</v>
      </c>
      <c r="D208" s="7" t="s">
        <v>398</v>
      </c>
      <c r="E208" s="7" t="s">
        <v>116</v>
      </c>
      <c r="F208" s="7" t="s">
        <v>117</v>
      </c>
      <c r="G208" s="7" t="s">
        <v>124</v>
      </c>
      <c r="H208" s="7">
        <v>18</v>
      </c>
      <c r="I208" s="7">
        <v>2</v>
      </c>
      <c r="J208" s="7">
        <v>36</v>
      </c>
      <c r="K208" s="7" t="s">
        <v>449</v>
      </c>
    </row>
    <row r="209" spans="1:11" x14ac:dyDescent="0.25">
      <c r="A209" s="7">
        <v>208</v>
      </c>
      <c r="B209" s="7" t="s">
        <v>46</v>
      </c>
      <c r="C209" s="7" t="s">
        <v>397</v>
      </c>
      <c r="D209" s="7" t="s">
        <v>398</v>
      </c>
      <c r="E209" s="7" t="s">
        <v>116</v>
      </c>
      <c r="F209" s="7" t="s">
        <v>117</v>
      </c>
      <c r="G209" s="7" t="s">
        <v>450</v>
      </c>
      <c r="H209" s="7">
        <v>12</v>
      </c>
      <c r="I209" s="7">
        <v>2</v>
      </c>
      <c r="J209" s="7">
        <v>24</v>
      </c>
      <c r="K209" s="7" t="s">
        <v>451</v>
      </c>
    </row>
    <row r="210" spans="1:11" x14ac:dyDescent="0.25">
      <c r="A210" s="7">
        <v>209</v>
      </c>
      <c r="B210" s="7" t="s">
        <v>46</v>
      </c>
      <c r="C210" s="7" t="s">
        <v>397</v>
      </c>
      <c r="D210" s="7" t="s">
        <v>398</v>
      </c>
      <c r="E210" s="7" t="s">
        <v>116</v>
      </c>
      <c r="F210" s="7" t="s">
        <v>117</v>
      </c>
      <c r="G210" s="7" t="s">
        <v>452</v>
      </c>
      <c r="H210" s="7">
        <v>12</v>
      </c>
      <c r="I210" s="7">
        <v>2</v>
      </c>
      <c r="J210" s="7">
        <v>24</v>
      </c>
      <c r="K210" s="7" t="s">
        <v>453</v>
      </c>
    </row>
    <row r="211" spans="1:11" x14ac:dyDescent="0.25">
      <c r="A211" s="7">
        <v>210</v>
      </c>
      <c r="B211" s="7" t="s">
        <v>46</v>
      </c>
      <c r="C211" s="7" t="s">
        <v>397</v>
      </c>
      <c r="D211" s="7" t="s">
        <v>398</v>
      </c>
      <c r="E211" s="7" t="s">
        <v>116</v>
      </c>
      <c r="F211" s="7" t="s">
        <v>117</v>
      </c>
      <c r="G211" s="7" t="s">
        <v>126</v>
      </c>
      <c r="H211" s="7">
        <v>16</v>
      </c>
      <c r="I211" s="7">
        <v>2</v>
      </c>
      <c r="J211" s="7">
        <v>32</v>
      </c>
      <c r="K211" s="7" t="s">
        <v>454</v>
      </c>
    </row>
    <row r="212" spans="1:11" x14ac:dyDescent="0.25">
      <c r="A212" s="7">
        <v>211</v>
      </c>
      <c r="B212" s="7" t="s">
        <v>46</v>
      </c>
      <c r="C212" s="7" t="s">
        <v>397</v>
      </c>
      <c r="D212" s="7" t="s">
        <v>398</v>
      </c>
      <c r="E212" s="7" t="s">
        <v>116</v>
      </c>
      <c r="F212" s="7" t="s">
        <v>117</v>
      </c>
      <c r="G212" s="7" t="s">
        <v>128</v>
      </c>
      <c r="H212" s="7">
        <v>18</v>
      </c>
      <c r="I212" s="7">
        <v>2</v>
      </c>
      <c r="J212" s="7">
        <v>36</v>
      </c>
      <c r="K212" s="7" t="s">
        <v>455</v>
      </c>
    </row>
    <row r="213" spans="1:11" x14ac:dyDescent="0.25">
      <c r="A213" s="7">
        <v>212</v>
      </c>
      <c r="B213" s="7" t="s">
        <v>46</v>
      </c>
      <c r="C213" s="7" t="s">
        <v>397</v>
      </c>
      <c r="D213" s="7" t="s">
        <v>398</v>
      </c>
      <c r="E213" s="7" t="s">
        <v>116</v>
      </c>
      <c r="F213" s="7" t="s">
        <v>117</v>
      </c>
      <c r="G213" s="7" t="s">
        <v>130</v>
      </c>
      <c r="H213" s="7">
        <v>8</v>
      </c>
      <c r="I213" s="7">
        <v>2</v>
      </c>
      <c r="J213" s="7">
        <v>16</v>
      </c>
      <c r="K213" s="7" t="s">
        <v>456</v>
      </c>
    </row>
    <row r="214" spans="1:11" x14ac:dyDescent="0.25">
      <c r="A214" s="7">
        <v>213</v>
      </c>
      <c r="B214" s="7" t="s">
        <v>46</v>
      </c>
      <c r="C214" s="7" t="s">
        <v>397</v>
      </c>
      <c r="D214" s="7" t="s">
        <v>398</v>
      </c>
      <c r="E214" s="7" t="s">
        <v>116</v>
      </c>
      <c r="F214" s="7" t="s">
        <v>117</v>
      </c>
      <c r="G214" s="7" t="s">
        <v>457</v>
      </c>
      <c r="H214" s="7">
        <v>6</v>
      </c>
      <c r="I214" s="7">
        <v>2</v>
      </c>
      <c r="J214" s="7">
        <v>12</v>
      </c>
      <c r="K214" s="7" t="s">
        <v>458</v>
      </c>
    </row>
    <row r="215" spans="1:11" x14ac:dyDescent="0.25">
      <c r="A215" s="7">
        <v>214</v>
      </c>
      <c r="B215" s="7" t="s">
        <v>46</v>
      </c>
      <c r="C215" s="7" t="s">
        <v>397</v>
      </c>
      <c r="D215" s="7" t="s">
        <v>398</v>
      </c>
      <c r="E215" s="7" t="s">
        <v>116</v>
      </c>
      <c r="F215" s="7" t="s">
        <v>117</v>
      </c>
      <c r="G215" s="7" t="s">
        <v>459</v>
      </c>
      <c r="H215" s="7">
        <v>6</v>
      </c>
      <c r="I215" s="7">
        <v>2</v>
      </c>
      <c r="J215" s="7">
        <v>12</v>
      </c>
      <c r="K215" s="7" t="s">
        <v>460</v>
      </c>
    </row>
    <row r="216" spans="1:11" x14ac:dyDescent="0.25">
      <c r="A216" s="7">
        <v>215</v>
      </c>
      <c r="B216" s="7" t="s">
        <v>46</v>
      </c>
      <c r="C216" s="7" t="s">
        <v>397</v>
      </c>
      <c r="D216" s="7" t="s">
        <v>398</v>
      </c>
      <c r="E216" s="7" t="s">
        <v>116</v>
      </c>
      <c r="F216" s="7" t="s">
        <v>117</v>
      </c>
      <c r="G216" s="7" t="s">
        <v>136</v>
      </c>
      <c r="H216" s="7">
        <v>6</v>
      </c>
      <c r="I216" s="7">
        <v>2</v>
      </c>
      <c r="J216" s="7">
        <v>12</v>
      </c>
      <c r="K216" s="7" t="s">
        <v>461</v>
      </c>
    </row>
    <row r="217" spans="1:11" x14ac:dyDescent="0.25">
      <c r="A217" s="7">
        <v>216</v>
      </c>
      <c r="B217" s="7" t="s">
        <v>46</v>
      </c>
      <c r="C217" s="7" t="s">
        <v>397</v>
      </c>
      <c r="D217" s="7" t="s">
        <v>398</v>
      </c>
      <c r="E217" s="7" t="s">
        <v>116</v>
      </c>
      <c r="F217" s="7" t="s">
        <v>117</v>
      </c>
      <c r="G217" s="7" t="s">
        <v>142</v>
      </c>
      <c r="H217" s="7">
        <v>2</v>
      </c>
      <c r="I217" s="7">
        <v>1</v>
      </c>
      <c r="J217" s="7">
        <v>2</v>
      </c>
      <c r="K217" s="7" t="s">
        <v>462</v>
      </c>
    </row>
    <row r="218" spans="1:11" x14ac:dyDescent="0.25">
      <c r="A218" s="7">
        <v>217</v>
      </c>
      <c r="B218" s="7" t="s">
        <v>46</v>
      </c>
      <c r="C218" s="7" t="s">
        <v>397</v>
      </c>
      <c r="D218" s="7" t="s">
        <v>398</v>
      </c>
      <c r="E218" s="7" t="s">
        <v>144</v>
      </c>
      <c r="F218" s="7" t="s">
        <v>145</v>
      </c>
      <c r="G218" s="7" t="s">
        <v>146</v>
      </c>
      <c r="H218" s="7">
        <v>16</v>
      </c>
      <c r="I218" s="7">
        <v>2</v>
      </c>
      <c r="J218" s="7">
        <v>32</v>
      </c>
      <c r="K218" s="7" t="s">
        <v>463</v>
      </c>
    </row>
    <row r="219" spans="1:11" x14ac:dyDescent="0.25">
      <c r="A219" s="7">
        <v>218</v>
      </c>
      <c r="B219" s="7" t="s">
        <v>46</v>
      </c>
      <c r="C219" s="7" t="s">
        <v>397</v>
      </c>
      <c r="D219" s="7" t="s">
        <v>398</v>
      </c>
      <c r="E219" s="7" t="s">
        <v>144</v>
      </c>
      <c r="F219" s="7" t="s">
        <v>145</v>
      </c>
      <c r="G219" s="7" t="s">
        <v>148</v>
      </c>
      <c r="H219" s="7">
        <v>18</v>
      </c>
      <c r="I219" s="7">
        <v>2</v>
      </c>
      <c r="J219" s="7">
        <v>36</v>
      </c>
      <c r="K219" s="7" t="s">
        <v>464</v>
      </c>
    </row>
    <row r="220" spans="1:11" x14ac:dyDescent="0.25">
      <c r="A220" s="7">
        <v>219</v>
      </c>
      <c r="B220" s="7" t="s">
        <v>46</v>
      </c>
      <c r="C220" s="7" t="s">
        <v>397</v>
      </c>
      <c r="D220" s="7" t="s">
        <v>398</v>
      </c>
      <c r="E220" s="7" t="s">
        <v>144</v>
      </c>
      <c r="F220" s="7" t="s">
        <v>145</v>
      </c>
      <c r="G220" s="7" t="s">
        <v>150</v>
      </c>
      <c r="H220" s="7">
        <v>2</v>
      </c>
      <c r="I220" s="7">
        <v>1</v>
      </c>
      <c r="J220" s="7">
        <v>2</v>
      </c>
      <c r="K220" s="7" t="s">
        <v>465</v>
      </c>
    </row>
    <row r="221" spans="1:11" x14ac:dyDescent="0.25">
      <c r="A221" s="7">
        <v>220</v>
      </c>
      <c r="B221" s="7" t="s">
        <v>46</v>
      </c>
      <c r="C221" s="7" t="s">
        <v>397</v>
      </c>
      <c r="D221" s="7" t="s">
        <v>398</v>
      </c>
      <c r="E221" s="7" t="s">
        <v>144</v>
      </c>
      <c r="F221" s="7" t="s">
        <v>145</v>
      </c>
      <c r="G221" s="7" t="s">
        <v>466</v>
      </c>
      <c r="H221" s="7">
        <v>6</v>
      </c>
      <c r="I221" s="7">
        <v>2</v>
      </c>
      <c r="J221" s="7">
        <v>12</v>
      </c>
      <c r="K221" s="7" t="s">
        <v>467</v>
      </c>
    </row>
    <row r="222" spans="1:11" x14ac:dyDescent="0.25">
      <c r="A222" s="7">
        <v>221</v>
      </c>
      <c r="B222" s="7" t="s">
        <v>46</v>
      </c>
      <c r="C222" s="7" t="s">
        <v>397</v>
      </c>
      <c r="D222" s="7" t="s">
        <v>398</v>
      </c>
      <c r="E222" s="7" t="s">
        <v>144</v>
      </c>
      <c r="F222" s="7" t="s">
        <v>145</v>
      </c>
      <c r="G222" s="7" t="s">
        <v>468</v>
      </c>
      <c r="H222" s="7">
        <v>3</v>
      </c>
      <c r="I222" s="7">
        <v>2</v>
      </c>
      <c r="J222" s="7">
        <v>6</v>
      </c>
      <c r="K222" s="7" t="s">
        <v>469</v>
      </c>
    </row>
    <row r="223" spans="1:11" x14ac:dyDescent="0.25">
      <c r="A223" s="7">
        <v>222</v>
      </c>
      <c r="B223" s="7" t="s">
        <v>46</v>
      </c>
      <c r="C223" s="7" t="s">
        <v>397</v>
      </c>
      <c r="D223" s="7" t="s">
        <v>398</v>
      </c>
      <c r="E223" s="7" t="s">
        <v>144</v>
      </c>
      <c r="F223" s="7" t="s">
        <v>145</v>
      </c>
      <c r="G223" s="7" t="s">
        <v>470</v>
      </c>
      <c r="H223" s="7">
        <v>3</v>
      </c>
      <c r="I223" s="7">
        <v>1</v>
      </c>
      <c r="J223" s="7">
        <v>3</v>
      </c>
      <c r="K223" s="7" t="s">
        <v>471</v>
      </c>
    </row>
    <row r="224" spans="1:11" x14ac:dyDescent="0.25">
      <c r="A224" s="7">
        <v>223</v>
      </c>
      <c r="B224" s="7" t="s">
        <v>46</v>
      </c>
      <c r="C224" s="7" t="s">
        <v>397</v>
      </c>
      <c r="D224" s="7" t="s">
        <v>398</v>
      </c>
      <c r="E224" s="7" t="s">
        <v>144</v>
      </c>
      <c r="F224" s="7" t="s">
        <v>145</v>
      </c>
      <c r="G224" s="7" t="s">
        <v>472</v>
      </c>
      <c r="H224" s="7">
        <v>4</v>
      </c>
      <c r="I224" s="7">
        <v>2</v>
      </c>
      <c r="J224" s="7">
        <v>8</v>
      </c>
      <c r="K224" s="7" t="s">
        <v>473</v>
      </c>
    </row>
    <row r="225" spans="1:11" x14ac:dyDescent="0.25">
      <c r="A225" s="7">
        <v>224</v>
      </c>
      <c r="B225" s="7" t="s">
        <v>46</v>
      </c>
      <c r="C225" s="7" t="s">
        <v>397</v>
      </c>
      <c r="D225" s="7" t="s">
        <v>398</v>
      </c>
      <c r="E225" s="7" t="s">
        <v>144</v>
      </c>
      <c r="F225" s="7" t="s">
        <v>145</v>
      </c>
      <c r="G225" s="7" t="s">
        <v>474</v>
      </c>
      <c r="H225" s="7">
        <v>3</v>
      </c>
      <c r="I225" s="7">
        <v>2</v>
      </c>
      <c r="J225" s="7">
        <v>6</v>
      </c>
      <c r="K225" s="7" t="s">
        <v>475</v>
      </c>
    </row>
    <row r="226" spans="1:11" x14ac:dyDescent="0.25">
      <c r="A226" s="7">
        <v>225</v>
      </c>
      <c r="B226" s="7" t="s">
        <v>46</v>
      </c>
      <c r="C226" s="7" t="s">
        <v>397</v>
      </c>
      <c r="D226" s="7" t="s">
        <v>398</v>
      </c>
      <c r="E226" s="7" t="s">
        <v>144</v>
      </c>
      <c r="F226" s="7" t="s">
        <v>145</v>
      </c>
      <c r="G226" s="7" t="s">
        <v>476</v>
      </c>
      <c r="H226" s="7">
        <v>6</v>
      </c>
      <c r="I226" s="7">
        <v>2</v>
      </c>
      <c r="J226" s="7">
        <v>12</v>
      </c>
      <c r="K226" s="7" t="s">
        <v>477</v>
      </c>
    </row>
    <row r="227" spans="1:11" x14ac:dyDescent="0.25">
      <c r="A227" s="7">
        <v>226</v>
      </c>
      <c r="B227" s="7" t="s">
        <v>46</v>
      </c>
      <c r="C227" s="7" t="s">
        <v>397</v>
      </c>
      <c r="D227" s="7" t="s">
        <v>398</v>
      </c>
      <c r="E227" s="7" t="s">
        <v>144</v>
      </c>
      <c r="F227" s="7" t="s">
        <v>145</v>
      </c>
      <c r="G227" s="7" t="s">
        <v>478</v>
      </c>
      <c r="H227" s="7">
        <v>8</v>
      </c>
      <c r="I227" s="7">
        <v>2</v>
      </c>
      <c r="J227" s="7">
        <v>16</v>
      </c>
      <c r="K227" s="7" t="s">
        <v>479</v>
      </c>
    </row>
    <row r="228" spans="1:11" x14ac:dyDescent="0.25">
      <c r="A228" s="7">
        <v>227</v>
      </c>
      <c r="B228" s="7" t="s">
        <v>46</v>
      </c>
      <c r="C228" s="7" t="s">
        <v>397</v>
      </c>
      <c r="D228" s="7" t="s">
        <v>398</v>
      </c>
      <c r="E228" s="7" t="s">
        <v>144</v>
      </c>
      <c r="F228" s="7" t="s">
        <v>145</v>
      </c>
      <c r="G228" s="7" t="s">
        <v>480</v>
      </c>
      <c r="H228" s="7">
        <v>6</v>
      </c>
      <c r="I228" s="7">
        <v>2</v>
      </c>
      <c r="J228" s="7">
        <v>12</v>
      </c>
      <c r="K228" s="7" t="s">
        <v>481</v>
      </c>
    </row>
    <row r="229" spans="1:11" x14ac:dyDescent="0.25">
      <c r="A229" s="7">
        <v>228</v>
      </c>
      <c r="B229" s="7" t="s">
        <v>46</v>
      </c>
      <c r="C229" s="7" t="s">
        <v>397</v>
      </c>
      <c r="D229" s="7" t="s">
        <v>398</v>
      </c>
      <c r="E229" s="7" t="s">
        <v>144</v>
      </c>
      <c r="F229" s="7" t="s">
        <v>145</v>
      </c>
      <c r="G229" s="7" t="s">
        <v>482</v>
      </c>
      <c r="H229" s="7">
        <v>16</v>
      </c>
      <c r="I229" s="7">
        <v>2</v>
      </c>
      <c r="J229" s="7">
        <v>32</v>
      </c>
      <c r="K229" s="7" t="s">
        <v>483</v>
      </c>
    </row>
    <row r="230" spans="1:11" x14ac:dyDescent="0.25">
      <c r="A230" s="7">
        <v>229</v>
      </c>
      <c r="B230" s="7" t="s">
        <v>46</v>
      </c>
      <c r="C230" s="7" t="s">
        <v>397</v>
      </c>
      <c r="D230" s="7" t="s">
        <v>398</v>
      </c>
      <c r="E230" s="7" t="s">
        <v>144</v>
      </c>
      <c r="F230" s="7" t="s">
        <v>145</v>
      </c>
      <c r="G230" s="7" t="s">
        <v>484</v>
      </c>
      <c r="H230" s="7">
        <v>16</v>
      </c>
      <c r="I230" s="7">
        <v>2</v>
      </c>
      <c r="J230" s="7">
        <v>32</v>
      </c>
      <c r="K230" s="7" t="s">
        <v>485</v>
      </c>
    </row>
    <row r="231" spans="1:11" x14ac:dyDescent="0.25">
      <c r="A231" s="7">
        <v>230</v>
      </c>
      <c r="B231" s="7" t="s">
        <v>46</v>
      </c>
      <c r="C231" s="7" t="s">
        <v>397</v>
      </c>
      <c r="D231" s="7" t="s">
        <v>398</v>
      </c>
      <c r="E231" s="7" t="s">
        <v>144</v>
      </c>
      <c r="F231" s="7" t="s">
        <v>145</v>
      </c>
      <c r="G231" s="7" t="s">
        <v>168</v>
      </c>
      <c r="H231" s="7">
        <v>3</v>
      </c>
      <c r="I231" s="7">
        <v>1</v>
      </c>
      <c r="J231" s="7">
        <v>3</v>
      </c>
      <c r="K231" s="7" t="s">
        <v>486</v>
      </c>
    </row>
    <row r="232" spans="1:11" x14ac:dyDescent="0.25">
      <c r="A232" s="7">
        <v>231</v>
      </c>
      <c r="B232" s="7" t="s">
        <v>46</v>
      </c>
      <c r="C232" s="7" t="s">
        <v>397</v>
      </c>
      <c r="D232" s="7" t="s">
        <v>398</v>
      </c>
      <c r="E232" s="7" t="s">
        <v>144</v>
      </c>
      <c r="F232" s="7" t="s">
        <v>145</v>
      </c>
      <c r="G232" s="7" t="s">
        <v>170</v>
      </c>
      <c r="H232" s="7">
        <v>3</v>
      </c>
      <c r="I232" s="7">
        <v>1</v>
      </c>
      <c r="J232" s="7">
        <v>3</v>
      </c>
      <c r="K232" s="7" t="s">
        <v>487</v>
      </c>
    </row>
    <row r="233" spans="1:11" x14ac:dyDescent="0.25">
      <c r="A233" s="7">
        <v>232</v>
      </c>
      <c r="B233" s="7" t="s">
        <v>46</v>
      </c>
      <c r="C233" s="7" t="s">
        <v>397</v>
      </c>
      <c r="D233" s="7" t="s">
        <v>398</v>
      </c>
      <c r="E233" s="7" t="s">
        <v>144</v>
      </c>
      <c r="F233" s="7" t="s">
        <v>145</v>
      </c>
      <c r="G233" s="7" t="s">
        <v>172</v>
      </c>
      <c r="H233" s="7">
        <v>8</v>
      </c>
      <c r="I233" s="7">
        <v>2</v>
      </c>
      <c r="J233" s="7">
        <v>16</v>
      </c>
      <c r="K233" s="7" t="s">
        <v>488</v>
      </c>
    </row>
    <row r="234" spans="1:11" x14ac:dyDescent="0.25">
      <c r="A234" s="7">
        <v>233</v>
      </c>
      <c r="B234" s="7" t="s">
        <v>46</v>
      </c>
      <c r="C234" s="7" t="s">
        <v>397</v>
      </c>
      <c r="D234" s="7" t="s">
        <v>398</v>
      </c>
      <c r="E234" s="7" t="s">
        <v>144</v>
      </c>
      <c r="F234" s="7" t="s">
        <v>145</v>
      </c>
      <c r="G234" s="7" t="s">
        <v>489</v>
      </c>
      <c r="H234" s="7">
        <v>1</v>
      </c>
      <c r="I234" s="7">
        <v>2</v>
      </c>
      <c r="J234" s="7">
        <v>2</v>
      </c>
      <c r="K234" s="7" t="s">
        <v>490</v>
      </c>
    </row>
    <row r="235" spans="1:11" x14ac:dyDescent="0.25">
      <c r="A235" s="7">
        <v>234</v>
      </c>
      <c r="B235" s="7" t="s">
        <v>46</v>
      </c>
      <c r="C235" s="7" t="s">
        <v>397</v>
      </c>
      <c r="D235" s="7" t="s">
        <v>398</v>
      </c>
      <c r="E235" s="7" t="s">
        <v>144</v>
      </c>
      <c r="F235" s="7" t="s">
        <v>145</v>
      </c>
      <c r="G235" s="7" t="s">
        <v>174</v>
      </c>
      <c r="H235" s="7">
        <v>2</v>
      </c>
      <c r="I235" s="7">
        <v>2</v>
      </c>
      <c r="J235" s="7">
        <v>4</v>
      </c>
      <c r="K235" s="7" t="s">
        <v>491</v>
      </c>
    </row>
    <row r="236" spans="1:11" x14ac:dyDescent="0.25">
      <c r="A236" s="7">
        <v>235</v>
      </c>
      <c r="B236" s="7" t="s">
        <v>46</v>
      </c>
      <c r="C236" s="7" t="s">
        <v>397</v>
      </c>
      <c r="D236" s="7" t="s">
        <v>398</v>
      </c>
      <c r="E236" s="7" t="s">
        <v>144</v>
      </c>
      <c r="F236" s="7" t="s">
        <v>145</v>
      </c>
      <c r="G236" s="7" t="s">
        <v>176</v>
      </c>
      <c r="H236" s="7">
        <v>4</v>
      </c>
      <c r="I236" s="7">
        <v>1</v>
      </c>
      <c r="J236" s="7">
        <v>4</v>
      </c>
      <c r="K236" s="7" t="s">
        <v>492</v>
      </c>
    </row>
    <row r="237" spans="1:11" x14ac:dyDescent="0.25">
      <c r="A237" s="7">
        <v>236</v>
      </c>
      <c r="B237" s="7" t="s">
        <v>46</v>
      </c>
      <c r="C237" s="7" t="s">
        <v>397</v>
      </c>
      <c r="D237" s="7" t="s">
        <v>398</v>
      </c>
      <c r="E237" s="7" t="s">
        <v>144</v>
      </c>
      <c r="F237" s="7" t="s">
        <v>145</v>
      </c>
      <c r="G237" s="7" t="s">
        <v>178</v>
      </c>
      <c r="H237" s="7">
        <v>3</v>
      </c>
      <c r="I237" s="7">
        <v>1</v>
      </c>
      <c r="J237" s="7">
        <v>3</v>
      </c>
      <c r="K237" s="7" t="s">
        <v>493</v>
      </c>
    </row>
    <row r="238" spans="1:11" x14ac:dyDescent="0.25">
      <c r="A238" s="7">
        <v>237</v>
      </c>
      <c r="B238" s="7" t="s">
        <v>46</v>
      </c>
      <c r="C238" s="7" t="s">
        <v>397</v>
      </c>
      <c r="D238" s="7" t="s">
        <v>398</v>
      </c>
      <c r="E238" s="7" t="s">
        <v>144</v>
      </c>
      <c r="F238" s="7" t="s">
        <v>145</v>
      </c>
      <c r="G238" s="7" t="s">
        <v>494</v>
      </c>
      <c r="H238" s="7">
        <v>3</v>
      </c>
      <c r="I238" s="7">
        <v>2</v>
      </c>
      <c r="J238" s="7">
        <v>6</v>
      </c>
      <c r="K238" s="7" t="s">
        <v>495</v>
      </c>
    </row>
    <row r="239" spans="1:11" x14ac:dyDescent="0.25">
      <c r="A239" s="7">
        <v>238</v>
      </c>
      <c r="B239" s="7" t="s">
        <v>46</v>
      </c>
      <c r="C239" s="7" t="s">
        <v>397</v>
      </c>
      <c r="D239" s="7" t="s">
        <v>398</v>
      </c>
      <c r="E239" s="7" t="s">
        <v>144</v>
      </c>
      <c r="F239" s="7" t="s">
        <v>145</v>
      </c>
      <c r="G239" s="7" t="s">
        <v>182</v>
      </c>
      <c r="H239" s="7">
        <v>3</v>
      </c>
      <c r="I239" s="7">
        <v>2</v>
      </c>
      <c r="J239" s="7">
        <v>6</v>
      </c>
      <c r="K239" s="7" t="s">
        <v>496</v>
      </c>
    </row>
    <row r="240" spans="1:11" x14ac:dyDescent="0.25">
      <c r="A240" s="7">
        <v>239</v>
      </c>
      <c r="B240" s="7" t="s">
        <v>46</v>
      </c>
      <c r="C240" s="7" t="s">
        <v>397</v>
      </c>
      <c r="D240" s="7" t="s">
        <v>398</v>
      </c>
      <c r="E240" s="7" t="s">
        <v>144</v>
      </c>
      <c r="F240" s="7" t="s">
        <v>145</v>
      </c>
      <c r="G240" s="7" t="s">
        <v>497</v>
      </c>
      <c r="H240" s="7">
        <v>4</v>
      </c>
      <c r="I240" s="7">
        <v>2</v>
      </c>
      <c r="J240" s="7">
        <v>8</v>
      </c>
      <c r="K240" s="7" t="s">
        <v>498</v>
      </c>
    </row>
    <row r="241" spans="1:11" x14ac:dyDescent="0.25">
      <c r="A241" s="7">
        <v>240</v>
      </c>
      <c r="B241" s="7" t="s">
        <v>46</v>
      </c>
      <c r="C241" s="7" t="s">
        <v>397</v>
      </c>
      <c r="D241" s="7" t="s">
        <v>398</v>
      </c>
      <c r="E241" s="7" t="s">
        <v>144</v>
      </c>
      <c r="F241" s="7" t="s">
        <v>145</v>
      </c>
      <c r="G241" s="7" t="s">
        <v>499</v>
      </c>
      <c r="H241" s="7">
        <v>5</v>
      </c>
      <c r="I241" s="7">
        <v>2</v>
      </c>
      <c r="J241" s="7">
        <v>10</v>
      </c>
      <c r="K241" s="7" t="s">
        <v>500</v>
      </c>
    </row>
    <row r="242" spans="1:11" x14ac:dyDescent="0.25">
      <c r="A242" s="7">
        <v>241</v>
      </c>
      <c r="B242" s="7" t="s">
        <v>46</v>
      </c>
      <c r="C242" s="7" t="s">
        <v>397</v>
      </c>
      <c r="D242" s="7" t="s">
        <v>398</v>
      </c>
      <c r="E242" s="7" t="s">
        <v>144</v>
      </c>
      <c r="F242" s="7" t="s">
        <v>145</v>
      </c>
      <c r="G242" s="7" t="s">
        <v>186</v>
      </c>
      <c r="H242" s="7">
        <v>4</v>
      </c>
      <c r="I242" s="7">
        <v>2</v>
      </c>
      <c r="J242" s="7">
        <v>8</v>
      </c>
      <c r="K242" s="7" t="s">
        <v>501</v>
      </c>
    </row>
    <row r="243" spans="1:11" x14ac:dyDescent="0.25">
      <c r="A243" s="7">
        <v>242</v>
      </c>
      <c r="B243" s="7" t="s">
        <v>46</v>
      </c>
      <c r="C243" s="7" t="s">
        <v>397</v>
      </c>
      <c r="D243" s="7" t="s">
        <v>398</v>
      </c>
      <c r="E243" s="7" t="s">
        <v>144</v>
      </c>
      <c r="F243" s="7" t="s">
        <v>145</v>
      </c>
      <c r="G243" s="7" t="s">
        <v>188</v>
      </c>
      <c r="H243" s="7">
        <v>2</v>
      </c>
      <c r="I243" s="7">
        <v>1</v>
      </c>
      <c r="J243" s="7">
        <v>2</v>
      </c>
      <c r="K243" s="7" t="s">
        <v>502</v>
      </c>
    </row>
    <row r="244" spans="1:11" x14ac:dyDescent="0.25">
      <c r="A244" s="7">
        <v>243</v>
      </c>
      <c r="B244" s="7" t="s">
        <v>46</v>
      </c>
      <c r="C244" s="7" t="s">
        <v>397</v>
      </c>
      <c r="D244" s="7" t="s">
        <v>398</v>
      </c>
      <c r="E244" s="7" t="s">
        <v>144</v>
      </c>
      <c r="F244" s="7" t="s">
        <v>145</v>
      </c>
      <c r="G244" s="7" t="s">
        <v>190</v>
      </c>
      <c r="H244" s="7">
        <v>3</v>
      </c>
      <c r="I244" s="7">
        <v>1</v>
      </c>
      <c r="J244" s="7">
        <v>3</v>
      </c>
      <c r="K244" s="7" t="s">
        <v>503</v>
      </c>
    </row>
    <row r="245" spans="1:11" x14ac:dyDescent="0.25">
      <c r="A245" s="7">
        <v>244</v>
      </c>
      <c r="B245" s="7" t="s">
        <v>46</v>
      </c>
      <c r="C245" s="7" t="s">
        <v>397</v>
      </c>
      <c r="D245" s="7" t="s">
        <v>398</v>
      </c>
      <c r="E245" s="7" t="s">
        <v>144</v>
      </c>
      <c r="F245" s="7" t="s">
        <v>145</v>
      </c>
      <c r="G245" s="7" t="s">
        <v>192</v>
      </c>
      <c r="H245" s="7">
        <v>3</v>
      </c>
      <c r="I245" s="7">
        <v>1</v>
      </c>
      <c r="J245" s="7">
        <v>3</v>
      </c>
      <c r="K245" s="7" t="s">
        <v>504</v>
      </c>
    </row>
    <row r="246" spans="1:11" x14ac:dyDescent="0.25">
      <c r="A246" s="7">
        <v>245</v>
      </c>
      <c r="B246" s="7" t="s">
        <v>46</v>
      </c>
      <c r="C246" s="7" t="s">
        <v>397</v>
      </c>
      <c r="D246" s="7" t="s">
        <v>398</v>
      </c>
      <c r="E246" s="7" t="s">
        <v>144</v>
      </c>
      <c r="F246" s="7" t="s">
        <v>145</v>
      </c>
      <c r="G246" s="7" t="s">
        <v>194</v>
      </c>
      <c r="H246" s="7">
        <v>6</v>
      </c>
      <c r="I246" s="7">
        <v>2</v>
      </c>
      <c r="J246" s="7">
        <v>12</v>
      </c>
      <c r="K246" s="7" t="s">
        <v>505</v>
      </c>
    </row>
    <row r="247" spans="1:11" x14ac:dyDescent="0.25">
      <c r="A247" s="7">
        <v>246</v>
      </c>
      <c r="B247" s="7" t="s">
        <v>46</v>
      </c>
      <c r="C247" s="7" t="s">
        <v>397</v>
      </c>
      <c r="D247" s="7" t="s">
        <v>398</v>
      </c>
      <c r="E247" s="7" t="s">
        <v>144</v>
      </c>
      <c r="F247" s="7" t="s">
        <v>145</v>
      </c>
      <c r="G247" s="7" t="s">
        <v>196</v>
      </c>
      <c r="H247" s="7">
        <v>2</v>
      </c>
      <c r="I247" s="7">
        <v>1</v>
      </c>
      <c r="J247" s="7">
        <v>2</v>
      </c>
      <c r="K247" s="7" t="s">
        <v>506</v>
      </c>
    </row>
    <row r="248" spans="1:11" x14ac:dyDescent="0.25">
      <c r="A248" s="7">
        <v>247</v>
      </c>
      <c r="B248" s="7" t="s">
        <v>46</v>
      </c>
      <c r="C248" s="7" t="s">
        <v>397</v>
      </c>
      <c r="D248" s="7" t="s">
        <v>398</v>
      </c>
      <c r="E248" s="7" t="s">
        <v>144</v>
      </c>
      <c r="F248" s="7" t="s">
        <v>145</v>
      </c>
      <c r="G248" s="7" t="s">
        <v>198</v>
      </c>
      <c r="H248" s="7">
        <v>2</v>
      </c>
      <c r="I248" s="7">
        <v>2</v>
      </c>
      <c r="J248" s="7">
        <v>4</v>
      </c>
      <c r="K248" s="7" t="s">
        <v>507</v>
      </c>
    </row>
    <row r="249" spans="1:11" x14ac:dyDescent="0.25">
      <c r="A249" s="7">
        <v>248</v>
      </c>
      <c r="B249" s="7" t="s">
        <v>46</v>
      </c>
      <c r="C249" s="7" t="s">
        <v>397</v>
      </c>
      <c r="D249" s="7" t="s">
        <v>398</v>
      </c>
      <c r="E249" s="7" t="s">
        <v>144</v>
      </c>
      <c r="F249" s="7" t="s">
        <v>145</v>
      </c>
      <c r="G249" s="7" t="s">
        <v>200</v>
      </c>
      <c r="H249" s="7">
        <v>8</v>
      </c>
      <c r="I249" s="7">
        <v>2</v>
      </c>
      <c r="J249" s="7">
        <v>16</v>
      </c>
      <c r="K249" s="7" t="s">
        <v>508</v>
      </c>
    </row>
    <row r="250" spans="1:11" x14ac:dyDescent="0.25">
      <c r="A250" s="7">
        <v>249</v>
      </c>
      <c r="B250" s="7" t="s">
        <v>46</v>
      </c>
      <c r="C250" s="7" t="s">
        <v>397</v>
      </c>
      <c r="D250" s="7" t="s">
        <v>398</v>
      </c>
      <c r="E250" s="7" t="s">
        <v>202</v>
      </c>
      <c r="F250" s="7" t="s">
        <v>145</v>
      </c>
      <c r="G250" s="7" t="s">
        <v>203</v>
      </c>
      <c r="H250" s="7">
        <v>4</v>
      </c>
      <c r="I250" s="7">
        <v>1</v>
      </c>
      <c r="J250" s="7">
        <v>4</v>
      </c>
      <c r="K250" s="7" t="s">
        <v>509</v>
      </c>
    </row>
    <row r="251" spans="1:11" x14ac:dyDescent="0.25">
      <c r="A251" s="7">
        <v>250</v>
      </c>
      <c r="B251" s="7" t="s">
        <v>46</v>
      </c>
      <c r="C251" s="7" t="s">
        <v>397</v>
      </c>
      <c r="D251" s="7" t="s">
        <v>398</v>
      </c>
      <c r="E251" s="7" t="s">
        <v>202</v>
      </c>
      <c r="F251" s="7" t="s">
        <v>145</v>
      </c>
      <c r="G251" s="7" t="s">
        <v>205</v>
      </c>
      <c r="H251" s="7">
        <v>4</v>
      </c>
      <c r="I251" s="7">
        <v>2</v>
      </c>
      <c r="J251" s="7">
        <v>8</v>
      </c>
      <c r="K251" s="7" t="s">
        <v>510</v>
      </c>
    </row>
    <row r="252" spans="1:11" x14ac:dyDescent="0.25">
      <c r="A252" s="7">
        <v>251</v>
      </c>
      <c r="B252" s="7" t="s">
        <v>46</v>
      </c>
      <c r="C252" s="7" t="s">
        <v>397</v>
      </c>
      <c r="D252" s="7" t="s">
        <v>398</v>
      </c>
      <c r="E252" s="7" t="s">
        <v>202</v>
      </c>
      <c r="F252" s="7" t="s">
        <v>145</v>
      </c>
      <c r="G252" s="7" t="s">
        <v>511</v>
      </c>
      <c r="H252" s="7">
        <v>3</v>
      </c>
      <c r="I252" s="7">
        <v>2</v>
      </c>
      <c r="J252" s="7">
        <v>6</v>
      </c>
      <c r="K252" s="7" t="s">
        <v>512</v>
      </c>
    </row>
    <row r="253" spans="1:11" x14ac:dyDescent="0.25">
      <c r="A253" s="7">
        <v>252</v>
      </c>
      <c r="B253" s="7" t="s">
        <v>46</v>
      </c>
      <c r="C253" s="7" t="s">
        <v>397</v>
      </c>
      <c r="D253" s="7" t="s">
        <v>398</v>
      </c>
      <c r="E253" s="7" t="s">
        <v>202</v>
      </c>
      <c r="F253" s="7" t="s">
        <v>145</v>
      </c>
      <c r="G253" s="7" t="s">
        <v>513</v>
      </c>
      <c r="H253" s="7">
        <v>1</v>
      </c>
      <c r="I253" s="7">
        <v>1</v>
      </c>
      <c r="J253" s="7">
        <v>1</v>
      </c>
      <c r="K253" s="7" t="s">
        <v>514</v>
      </c>
    </row>
    <row r="254" spans="1:11" x14ac:dyDescent="0.25">
      <c r="A254" s="7">
        <v>253</v>
      </c>
      <c r="B254" s="7" t="s">
        <v>46</v>
      </c>
      <c r="C254" s="7" t="s">
        <v>397</v>
      </c>
      <c r="D254" s="7" t="s">
        <v>398</v>
      </c>
      <c r="E254" s="7" t="s">
        <v>202</v>
      </c>
      <c r="F254" s="7" t="s">
        <v>145</v>
      </c>
      <c r="G254" s="7" t="s">
        <v>515</v>
      </c>
      <c r="H254" s="7">
        <v>6</v>
      </c>
      <c r="I254" s="7">
        <v>2</v>
      </c>
      <c r="J254" s="7">
        <v>12</v>
      </c>
      <c r="K254" s="7" t="s">
        <v>516</v>
      </c>
    </row>
    <row r="255" spans="1:11" x14ac:dyDescent="0.25">
      <c r="A255" s="7">
        <v>254</v>
      </c>
      <c r="B255" s="7" t="s">
        <v>46</v>
      </c>
      <c r="C255" s="7" t="s">
        <v>397</v>
      </c>
      <c r="D255" s="7" t="s">
        <v>398</v>
      </c>
      <c r="E255" s="7" t="s">
        <v>202</v>
      </c>
      <c r="F255" s="7" t="s">
        <v>145</v>
      </c>
      <c r="G255" s="7" t="s">
        <v>517</v>
      </c>
      <c r="H255" s="7">
        <v>3</v>
      </c>
      <c r="I255" s="7">
        <v>1</v>
      </c>
      <c r="J255" s="7">
        <v>3</v>
      </c>
      <c r="K255" s="7" t="s">
        <v>518</v>
      </c>
    </row>
    <row r="256" spans="1:11" x14ac:dyDescent="0.25">
      <c r="A256" s="7">
        <v>255</v>
      </c>
      <c r="B256" s="7" t="s">
        <v>46</v>
      </c>
      <c r="C256" s="7" t="s">
        <v>397</v>
      </c>
      <c r="D256" s="7" t="s">
        <v>398</v>
      </c>
      <c r="E256" s="7" t="s">
        <v>202</v>
      </c>
      <c r="F256" s="7" t="s">
        <v>145</v>
      </c>
      <c r="G256" s="7" t="s">
        <v>519</v>
      </c>
      <c r="H256" s="7">
        <v>3</v>
      </c>
      <c r="I256" s="7">
        <v>1</v>
      </c>
      <c r="J256" s="7">
        <v>3</v>
      </c>
      <c r="K256" s="7" t="s">
        <v>520</v>
      </c>
    </row>
    <row r="257" spans="1:11" x14ac:dyDescent="0.25">
      <c r="A257" s="7">
        <v>256</v>
      </c>
      <c r="B257" s="7" t="s">
        <v>46</v>
      </c>
      <c r="C257" s="7" t="s">
        <v>397</v>
      </c>
      <c r="D257" s="7" t="s">
        <v>398</v>
      </c>
      <c r="E257" s="7" t="s">
        <v>202</v>
      </c>
      <c r="F257" s="7" t="s">
        <v>145</v>
      </c>
      <c r="G257" s="7" t="s">
        <v>521</v>
      </c>
      <c r="H257" s="7">
        <v>4</v>
      </c>
      <c r="I257" s="7">
        <v>1</v>
      </c>
      <c r="J257" s="7">
        <v>4</v>
      </c>
      <c r="K257" s="7" t="s">
        <v>522</v>
      </c>
    </row>
    <row r="258" spans="1:11" x14ac:dyDescent="0.25">
      <c r="A258" s="7">
        <v>257</v>
      </c>
      <c r="B258" s="7" t="s">
        <v>46</v>
      </c>
      <c r="C258" s="7" t="s">
        <v>397</v>
      </c>
      <c r="D258" s="7" t="s">
        <v>398</v>
      </c>
      <c r="E258" s="7" t="s">
        <v>202</v>
      </c>
      <c r="F258" s="7" t="s">
        <v>145</v>
      </c>
      <c r="G258" s="7" t="s">
        <v>211</v>
      </c>
      <c r="H258" s="7">
        <v>4</v>
      </c>
      <c r="I258" s="7">
        <v>1</v>
      </c>
      <c r="J258" s="7">
        <v>4</v>
      </c>
      <c r="K258" s="7" t="s">
        <v>523</v>
      </c>
    </row>
    <row r="259" spans="1:11" x14ac:dyDescent="0.25">
      <c r="A259" s="7">
        <v>258</v>
      </c>
      <c r="B259" s="7" t="s">
        <v>46</v>
      </c>
      <c r="C259" s="7" t="s">
        <v>397</v>
      </c>
      <c r="D259" s="7" t="s">
        <v>398</v>
      </c>
      <c r="E259" s="7" t="s">
        <v>202</v>
      </c>
      <c r="F259" s="7" t="s">
        <v>145</v>
      </c>
      <c r="G259" s="7" t="s">
        <v>213</v>
      </c>
      <c r="H259" s="7">
        <v>4</v>
      </c>
      <c r="I259" s="7">
        <v>2</v>
      </c>
      <c r="J259" s="7">
        <v>8</v>
      </c>
      <c r="K259" s="7" t="s">
        <v>524</v>
      </c>
    </row>
    <row r="260" spans="1:11" x14ac:dyDescent="0.25">
      <c r="A260" s="7">
        <v>259</v>
      </c>
      <c r="B260" s="7" t="s">
        <v>46</v>
      </c>
      <c r="C260" s="7" t="s">
        <v>397</v>
      </c>
      <c r="D260" s="7" t="s">
        <v>398</v>
      </c>
      <c r="E260" s="7" t="s">
        <v>202</v>
      </c>
      <c r="F260" s="7" t="s">
        <v>145</v>
      </c>
      <c r="G260" s="7" t="s">
        <v>525</v>
      </c>
      <c r="H260" s="7">
        <v>6</v>
      </c>
      <c r="I260" s="7">
        <v>2</v>
      </c>
      <c r="J260" s="7">
        <v>12</v>
      </c>
      <c r="K260" s="7" t="s">
        <v>526</v>
      </c>
    </row>
    <row r="261" spans="1:11" x14ac:dyDescent="0.25">
      <c r="A261" s="7">
        <v>260</v>
      </c>
      <c r="B261" s="7" t="s">
        <v>46</v>
      </c>
      <c r="C261" s="7" t="s">
        <v>397</v>
      </c>
      <c r="D261" s="7" t="s">
        <v>398</v>
      </c>
      <c r="E261" s="7" t="s">
        <v>202</v>
      </c>
      <c r="F261" s="7" t="s">
        <v>145</v>
      </c>
      <c r="G261" s="7" t="s">
        <v>215</v>
      </c>
      <c r="H261" s="7">
        <v>5</v>
      </c>
      <c r="I261" s="7">
        <v>2</v>
      </c>
      <c r="J261" s="7">
        <v>10</v>
      </c>
      <c r="K261" s="7" t="s">
        <v>527</v>
      </c>
    </row>
    <row r="262" spans="1:11" x14ac:dyDescent="0.25">
      <c r="A262" s="7">
        <v>261</v>
      </c>
      <c r="B262" s="7" t="s">
        <v>46</v>
      </c>
      <c r="C262" s="7" t="s">
        <v>397</v>
      </c>
      <c r="D262" s="7" t="s">
        <v>398</v>
      </c>
      <c r="E262" s="7" t="s">
        <v>202</v>
      </c>
      <c r="F262" s="7" t="s">
        <v>145</v>
      </c>
      <c r="G262" s="7" t="s">
        <v>217</v>
      </c>
      <c r="H262" s="7">
        <v>6</v>
      </c>
      <c r="I262" s="7">
        <v>2</v>
      </c>
      <c r="J262" s="7">
        <v>12</v>
      </c>
      <c r="K262" s="7" t="s">
        <v>528</v>
      </c>
    </row>
    <row r="263" spans="1:11" x14ac:dyDescent="0.25">
      <c r="A263" s="7">
        <v>262</v>
      </c>
      <c r="B263" s="7" t="s">
        <v>46</v>
      </c>
      <c r="C263" s="7" t="s">
        <v>397</v>
      </c>
      <c r="D263" s="7" t="s">
        <v>398</v>
      </c>
      <c r="E263" s="7" t="s">
        <v>202</v>
      </c>
      <c r="F263" s="7" t="s">
        <v>145</v>
      </c>
      <c r="G263" s="7" t="s">
        <v>219</v>
      </c>
      <c r="H263" s="7">
        <v>5</v>
      </c>
      <c r="I263" s="7">
        <v>2</v>
      </c>
      <c r="J263" s="7">
        <v>10</v>
      </c>
      <c r="K263" s="7" t="s">
        <v>529</v>
      </c>
    </row>
    <row r="264" spans="1:11" x14ac:dyDescent="0.25">
      <c r="A264" s="7">
        <v>263</v>
      </c>
      <c r="B264" s="7" t="s">
        <v>46</v>
      </c>
      <c r="C264" s="7" t="s">
        <v>397</v>
      </c>
      <c r="D264" s="7" t="s">
        <v>398</v>
      </c>
      <c r="E264" s="7" t="s">
        <v>221</v>
      </c>
      <c r="F264" s="7" t="s">
        <v>145</v>
      </c>
      <c r="G264" s="7" t="s">
        <v>222</v>
      </c>
      <c r="H264" s="7">
        <v>6</v>
      </c>
      <c r="I264" s="7">
        <v>2</v>
      </c>
      <c r="J264" s="7">
        <v>12</v>
      </c>
      <c r="K264" s="7" t="s">
        <v>530</v>
      </c>
    </row>
    <row r="265" spans="1:11" x14ac:dyDescent="0.25">
      <c r="A265" s="7">
        <v>264</v>
      </c>
      <c r="B265" s="7" t="s">
        <v>46</v>
      </c>
      <c r="C265" s="7" t="s">
        <v>397</v>
      </c>
      <c r="D265" s="7" t="s">
        <v>398</v>
      </c>
      <c r="E265" s="7" t="s">
        <v>221</v>
      </c>
      <c r="F265" s="7" t="s">
        <v>145</v>
      </c>
      <c r="G265" s="7" t="s">
        <v>224</v>
      </c>
      <c r="H265" s="7">
        <v>6</v>
      </c>
      <c r="I265" s="7">
        <v>2</v>
      </c>
      <c r="J265" s="7">
        <v>12</v>
      </c>
      <c r="K265" s="7" t="s">
        <v>531</v>
      </c>
    </row>
    <row r="266" spans="1:11" x14ac:dyDescent="0.25">
      <c r="A266" s="7">
        <v>265</v>
      </c>
      <c r="B266" s="7" t="s">
        <v>46</v>
      </c>
      <c r="C266" s="7" t="s">
        <v>397</v>
      </c>
      <c r="D266" s="7" t="s">
        <v>398</v>
      </c>
      <c r="E266" s="7" t="s">
        <v>221</v>
      </c>
      <c r="F266" s="7" t="s">
        <v>145</v>
      </c>
      <c r="G266" s="7" t="s">
        <v>226</v>
      </c>
      <c r="H266" s="7">
        <v>4</v>
      </c>
      <c r="I266" s="7">
        <v>2</v>
      </c>
      <c r="J266" s="7">
        <v>8</v>
      </c>
      <c r="K266" s="7" t="s">
        <v>532</v>
      </c>
    </row>
    <row r="267" spans="1:11" x14ac:dyDescent="0.25">
      <c r="A267" s="7">
        <v>266</v>
      </c>
      <c r="B267" s="7" t="s">
        <v>46</v>
      </c>
      <c r="C267" s="7" t="s">
        <v>397</v>
      </c>
      <c r="D267" s="7" t="s">
        <v>398</v>
      </c>
      <c r="E267" s="7" t="s">
        <v>221</v>
      </c>
      <c r="F267" s="7" t="s">
        <v>145</v>
      </c>
      <c r="G267" s="7" t="s">
        <v>228</v>
      </c>
      <c r="H267" s="7">
        <v>1</v>
      </c>
      <c r="I267" s="7">
        <v>2</v>
      </c>
      <c r="J267" s="7">
        <v>2</v>
      </c>
      <c r="K267" s="7" t="s">
        <v>533</v>
      </c>
    </row>
    <row r="268" spans="1:11" x14ac:dyDescent="0.25">
      <c r="A268" s="7">
        <v>267</v>
      </c>
      <c r="B268" s="7" t="s">
        <v>46</v>
      </c>
      <c r="C268" s="7" t="s">
        <v>397</v>
      </c>
      <c r="D268" s="7" t="s">
        <v>398</v>
      </c>
      <c r="E268" s="7" t="s">
        <v>221</v>
      </c>
      <c r="F268" s="7" t="s">
        <v>145</v>
      </c>
      <c r="G268" s="7" t="s">
        <v>230</v>
      </c>
      <c r="H268" s="7">
        <v>3</v>
      </c>
      <c r="I268" s="7">
        <v>2</v>
      </c>
      <c r="J268" s="7">
        <v>6</v>
      </c>
      <c r="K268" s="7" t="s">
        <v>534</v>
      </c>
    </row>
    <row r="269" spans="1:11" x14ac:dyDescent="0.25">
      <c r="A269" s="7">
        <v>268</v>
      </c>
      <c r="B269" s="7" t="s">
        <v>46</v>
      </c>
      <c r="C269" s="7" t="s">
        <v>397</v>
      </c>
      <c r="D269" s="7" t="s">
        <v>398</v>
      </c>
      <c r="E269" s="7" t="s">
        <v>221</v>
      </c>
      <c r="F269" s="7" t="s">
        <v>145</v>
      </c>
      <c r="G269" s="7" t="s">
        <v>232</v>
      </c>
      <c r="H269" s="7">
        <v>4</v>
      </c>
      <c r="I269" s="7">
        <v>2</v>
      </c>
      <c r="J269" s="7">
        <v>8</v>
      </c>
      <c r="K269" s="7" t="s">
        <v>535</v>
      </c>
    </row>
    <row r="270" spans="1:11" x14ac:dyDescent="0.25">
      <c r="A270" s="7">
        <v>269</v>
      </c>
      <c r="B270" s="7" t="s">
        <v>46</v>
      </c>
      <c r="C270" s="7" t="s">
        <v>397</v>
      </c>
      <c r="D270" s="7" t="s">
        <v>398</v>
      </c>
      <c r="E270" s="7" t="s">
        <v>221</v>
      </c>
      <c r="F270" s="7" t="s">
        <v>145</v>
      </c>
      <c r="G270" s="7" t="s">
        <v>536</v>
      </c>
      <c r="H270" s="7">
        <v>4</v>
      </c>
      <c r="I270" s="7">
        <v>2</v>
      </c>
      <c r="J270" s="7">
        <v>8</v>
      </c>
      <c r="K270" s="7" t="s">
        <v>537</v>
      </c>
    </row>
    <row r="271" spans="1:11" x14ac:dyDescent="0.25">
      <c r="A271" s="7">
        <v>270</v>
      </c>
      <c r="B271" s="7" t="s">
        <v>46</v>
      </c>
      <c r="C271" s="7" t="s">
        <v>397</v>
      </c>
      <c r="D271" s="7" t="s">
        <v>398</v>
      </c>
      <c r="E271" s="7" t="s">
        <v>221</v>
      </c>
      <c r="F271" s="7" t="s">
        <v>145</v>
      </c>
      <c r="G271" s="7" t="s">
        <v>538</v>
      </c>
      <c r="H271" s="7">
        <v>4</v>
      </c>
      <c r="I271" s="7">
        <v>2</v>
      </c>
      <c r="J271" s="7">
        <v>8</v>
      </c>
      <c r="K271" s="7" t="s">
        <v>539</v>
      </c>
    </row>
    <row r="272" spans="1:11" x14ac:dyDescent="0.25">
      <c r="A272" s="7">
        <v>271</v>
      </c>
      <c r="B272" s="7" t="s">
        <v>46</v>
      </c>
      <c r="C272" s="7" t="s">
        <v>397</v>
      </c>
      <c r="D272" s="7" t="s">
        <v>398</v>
      </c>
      <c r="E272" s="7" t="s">
        <v>221</v>
      </c>
      <c r="F272" s="7" t="s">
        <v>145</v>
      </c>
      <c r="G272" s="7" t="s">
        <v>540</v>
      </c>
      <c r="H272" s="7">
        <v>4</v>
      </c>
      <c r="I272" s="7">
        <v>2</v>
      </c>
      <c r="J272" s="7">
        <v>8</v>
      </c>
      <c r="K272" s="7" t="s">
        <v>541</v>
      </c>
    </row>
    <row r="273" spans="1:11" x14ac:dyDescent="0.25">
      <c r="A273" s="7">
        <v>272</v>
      </c>
      <c r="B273" s="7" t="s">
        <v>46</v>
      </c>
      <c r="C273" s="7" t="s">
        <v>397</v>
      </c>
      <c r="D273" s="7" t="s">
        <v>398</v>
      </c>
      <c r="E273" s="7" t="s">
        <v>221</v>
      </c>
      <c r="F273" s="7" t="s">
        <v>145</v>
      </c>
      <c r="G273" s="7" t="s">
        <v>542</v>
      </c>
      <c r="H273" s="7">
        <v>4</v>
      </c>
      <c r="I273" s="7">
        <v>2</v>
      </c>
      <c r="J273" s="7">
        <v>8</v>
      </c>
      <c r="K273" s="7" t="s">
        <v>543</v>
      </c>
    </row>
    <row r="274" spans="1:11" x14ac:dyDescent="0.25">
      <c r="A274" s="7">
        <v>273</v>
      </c>
      <c r="B274" s="7" t="s">
        <v>46</v>
      </c>
      <c r="C274" s="7" t="s">
        <v>397</v>
      </c>
      <c r="D274" s="7" t="s">
        <v>398</v>
      </c>
      <c r="E274" s="7" t="s">
        <v>221</v>
      </c>
      <c r="F274" s="7" t="s">
        <v>145</v>
      </c>
      <c r="G274" s="7" t="s">
        <v>544</v>
      </c>
      <c r="H274" s="7">
        <v>6</v>
      </c>
      <c r="I274" s="7">
        <v>2</v>
      </c>
      <c r="J274" s="7">
        <v>12</v>
      </c>
      <c r="K274" s="7" t="s">
        <v>545</v>
      </c>
    </row>
    <row r="275" spans="1:11" x14ac:dyDescent="0.25">
      <c r="A275" s="7">
        <v>274</v>
      </c>
      <c r="B275" s="7" t="s">
        <v>46</v>
      </c>
      <c r="C275" s="7" t="s">
        <v>397</v>
      </c>
      <c r="D275" s="7" t="s">
        <v>398</v>
      </c>
      <c r="E275" s="7" t="s">
        <v>221</v>
      </c>
      <c r="F275" s="7" t="s">
        <v>145</v>
      </c>
      <c r="G275" s="7" t="s">
        <v>236</v>
      </c>
      <c r="H275" s="7">
        <v>8</v>
      </c>
      <c r="I275" s="7">
        <v>2</v>
      </c>
      <c r="J275" s="7">
        <v>16</v>
      </c>
      <c r="K275" s="7" t="s">
        <v>546</v>
      </c>
    </row>
    <row r="276" spans="1:11" x14ac:dyDescent="0.25">
      <c r="A276" s="7">
        <v>275</v>
      </c>
      <c r="B276" s="7" t="s">
        <v>46</v>
      </c>
      <c r="C276" s="7" t="s">
        <v>397</v>
      </c>
      <c r="D276" s="7" t="s">
        <v>398</v>
      </c>
      <c r="E276" s="7" t="s">
        <v>221</v>
      </c>
      <c r="F276" s="7" t="s">
        <v>145</v>
      </c>
      <c r="G276" s="7" t="s">
        <v>238</v>
      </c>
      <c r="H276" s="7">
        <v>6</v>
      </c>
      <c r="I276" s="7">
        <v>2</v>
      </c>
      <c r="J276" s="7">
        <v>12</v>
      </c>
      <c r="K276" s="7" t="s">
        <v>547</v>
      </c>
    </row>
    <row r="277" spans="1:11" x14ac:dyDescent="0.25">
      <c r="A277" s="7">
        <v>276</v>
      </c>
      <c r="B277" s="7" t="s">
        <v>46</v>
      </c>
      <c r="C277" s="7" t="s">
        <v>397</v>
      </c>
      <c r="D277" s="7" t="s">
        <v>398</v>
      </c>
      <c r="E277" s="7" t="s">
        <v>221</v>
      </c>
      <c r="F277" s="7" t="s">
        <v>145</v>
      </c>
      <c r="G277" s="7" t="s">
        <v>240</v>
      </c>
      <c r="H277" s="7">
        <v>2</v>
      </c>
      <c r="I277" s="7">
        <v>2</v>
      </c>
      <c r="J277" s="7">
        <v>4</v>
      </c>
      <c r="K277" s="7" t="s">
        <v>548</v>
      </c>
    </row>
    <row r="278" spans="1:11" x14ac:dyDescent="0.25">
      <c r="A278" s="7">
        <v>277</v>
      </c>
      <c r="B278" s="7" t="s">
        <v>46</v>
      </c>
      <c r="C278" s="7" t="s">
        <v>397</v>
      </c>
      <c r="D278" s="7" t="s">
        <v>398</v>
      </c>
      <c r="E278" s="7" t="s">
        <v>221</v>
      </c>
      <c r="F278" s="7" t="s">
        <v>145</v>
      </c>
      <c r="G278" s="7" t="s">
        <v>549</v>
      </c>
      <c r="H278" s="7">
        <v>1</v>
      </c>
      <c r="I278" s="7">
        <v>1</v>
      </c>
      <c r="J278" s="7">
        <v>1</v>
      </c>
      <c r="K278" s="7" t="s">
        <v>550</v>
      </c>
    </row>
    <row r="279" spans="1:11" x14ac:dyDescent="0.25">
      <c r="A279" s="7">
        <v>278</v>
      </c>
      <c r="B279" s="7" t="s">
        <v>46</v>
      </c>
      <c r="C279" s="7" t="s">
        <v>397</v>
      </c>
      <c r="D279" s="7" t="s">
        <v>398</v>
      </c>
      <c r="E279" s="7" t="s">
        <v>221</v>
      </c>
      <c r="F279" s="7" t="s">
        <v>145</v>
      </c>
      <c r="G279" s="7" t="s">
        <v>551</v>
      </c>
      <c r="H279" s="7">
        <v>2</v>
      </c>
      <c r="I279" s="7">
        <v>2</v>
      </c>
      <c r="J279" s="7">
        <v>4</v>
      </c>
      <c r="K279" s="7" t="s">
        <v>552</v>
      </c>
    </row>
    <row r="280" spans="1:11" x14ac:dyDescent="0.25">
      <c r="A280" s="7">
        <v>279</v>
      </c>
      <c r="B280" s="7" t="s">
        <v>46</v>
      </c>
      <c r="C280" s="7" t="s">
        <v>397</v>
      </c>
      <c r="D280" s="7" t="s">
        <v>398</v>
      </c>
      <c r="E280" s="7" t="s">
        <v>221</v>
      </c>
      <c r="F280" s="7" t="s">
        <v>145</v>
      </c>
      <c r="G280" s="7" t="s">
        <v>553</v>
      </c>
      <c r="H280" s="7">
        <v>2</v>
      </c>
      <c r="I280" s="7">
        <v>2</v>
      </c>
      <c r="J280" s="7">
        <v>4</v>
      </c>
      <c r="K280" s="7" t="s">
        <v>554</v>
      </c>
    </row>
    <row r="281" spans="1:11" x14ac:dyDescent="0.25">
      <c r="A281" s="7">
        <v>280</v>
      </c>
      <c r="B281" s="7" t="s">
        <v>46</v>
      </c>
      <c r="C281" s="7" t="s">
        <v>397</v>
      </c>
      <c r="D281" s="7" t="s">
        <v>398</v>
      </c>
      <c r="E281" s="7" t="s">
        <v>221</v>
      </c>
      <c r="F281" s="7" t="s">
        <v>145</v>
      </c>
      <c r="G281" s="7" t="s">
        <v>242</v>
      </c>
      <c r="H281" s="7">
        <v>2</v>
      </c>
      <c r="I281" s="7">
        <v>2</v>
      </c>
      <c r="J281" s="7">
        <v>4</v>
      </c>
      <c r="K281" s="7" t="s">
        <v>555</v>
      </c>
    </row>
    <row r="282" spans="1:11" x14ac:dyDescent="0.25">
      <c r="A282" s="7">
        <v>281</v>
      </c>
      <c r="B282" s="7" t="s">
        <v>46</v>
      </c>
      <c r="C282" s="7" t="s">
        <v>397</v>
      </c>
      <c r="D282" s="7" t="s">
        <v>398</v>
      </c>
      <c r="E282" s="7" t="s">
        <v>221</v>
      </c>
      <c r="F282" s="7" t="s">
        <v>145</v>
      </c>
      <c r="G282" s="7" t="s">
        <v>244</v>
      </c>
      <c r="H282" s="7">
        <v>2</v>
      </c>
      <c r="I282" s="7">
        <v>1</v>
      </c>
      <c r="J282" s="7">
        <v>2</v>
      </c>
      <c r="K282" s="7" t="s">
        <v>556</v>
      </c>
    </row>
    <row r="283" spans="1:11" x14ac:dyDescent="0.25">
      <c r="A283" s="7">
        <v>282</v>
      </c>
      <c r="B283" s="7" t="s">
        <v>46</v>
      </c>
      <c r="C283" s="7" t="s">
        <v>397</v>
      </c>
      <c r="D283" s="7" t="s">
        <v>398</v>
      </c>
      <c r="E283" s="7" t="s">
        <v>221</v>
      </c>
      <c r="F283" s="7" t="s">
        <v>145</v>
      </c>
      <c r="G283" s="7" t="s">
        <v>246</v>
      </c>
      <c r="H283" s="7">
        <v>4</v>
      </c>
      <c r="I283" s="7">
        <v>2</v>
      </c>
      <c r="J283" s="7">
        <v>8</v>
      </c>
      <c r="K283" s="7" t="s">
        <v>557</v>
      </c>
    </row>
    <row r="284" spans="1:11" x14ac:dyDescent="0.25">
      <c r="A284" s="7">
        <v>283</v>
      </c>
      <c r="B284" s="7" t="s">
        <v>46</v>
      </c>
      <c r="C284" s="7" t="s">
        <v>397</v>
      </c>
      <c r="D284" s="7" t="s">
        <v>398</v>
      </c>
      <c r="E284" s="7" t="s">
        <v>221</v>
      </c>
      <c r="F284" s="7" t="s">
        <v>145</v>
      </c>
      <c r="G284" s="7" t="s">
        <v>248</v>
      </c>
      <c r="H284" s="7">
        <v>3</v>
      </c>
      <c r="I284" s="7">
        <v>2</v>
      </c>
      <c r="J284" s="7">
        <v>6</v>
      </c>
      <c r="K284" s="7" t="s">
        <v>558</v>
      </c>
    </row>
    <row r="285" spans="1:11" x14ac:dyDescent="0.25">
      <c r="A285" s="7">
        <v>284</v>
      </c>
      <c r="B285" s="7" t="s">
        <v>46</v>
      </c>
      <c r="C285" s="7" t="s">
        <v>397</v>
      </c>
      <c r="D285" s="7" t="s">
        <v>398</v>
      </c>
      <c r="E285" s="7" t="s">
        <v>221</v>
      </c>
      <c r="F285" s="7" t="s">
        <v>145</v>
      </c>
      <c r="G285" s="7" t="s">
        <v>250</v>
      </c>
      <c r="H285" s="7">
        <v>10</v>
      </c>
      <c r="I285" s="7">
        <v>2</v>
      </c>
      <c r="J285" s="7">
        <v>20</v>
      </c>
      <c r="K285" s="7" t="s">
        <v>559</v>
      </c>
    </row>
    <row r="286" spans="1:11" x14ac:dyDescent="0.25">
      <c r="A286" s="7">
        <v>285</v>
      </c>
      <c r="B286" s="7" t="s">
        <v>46</v>
      </c>
      <c r="C286" s="7" t="s">
        <v>397</v>
      </c>
      <c r="D286" s="7" t="s">
        <v>398</v>
      </c>
      <c r="E286" s="7" t="s">
        <v>221</v>
      </c>
      <c r="F286" s="7" t="s">
        <v>145</v>
      </c>
      <c r="G286" s="7" t="s">
        <v>252</v>
      </c>
      <c r="H286" s="7">
        <v>1</v>
      </c>
      <c r="I286" s="7">
        <v>2</v>
      </c>
      <c r="J286" s="7">
        <v>2</v>
      </c>
      <c r="K286" s="7" t="s">
        <v>560</v>
      </c>
    </row>
    <row r="287" spans="1:11" x14ac:dyDescent="0.25">
      <c r="A287" s="7">
        <v>286</v>
      </c>
      <c r="B287" s="7" t="s">
        <v>46</v>
      </c>
      <c r="C287" s="7" t="s">
        <v>397</v>
      </c>
      <c r="D287" s="7" t="s">
        <v>398</v>
      </c>
      <c r="E287" s="7" t="s">
        <v>221</v>
      </c>
      <c r="F287" s="7" t="s">
        <v>145</v>
      </c>
      <c r="G287" s="7" t="s">
        <v>561</v>
      </c>
      <c r="H287" s="7">
        <v>4</v>
      </c>
      <c r="I287" s="7">
        <v>2</v>
      </c>
      <c r="J287" s="7">
        <v>8</v>
      </c>
      <c r="K287" s="7" t="s">
        <v>562</v>
      </c>
    </row>
    <row r="288" spans="1:11" x14ac:dyDescent="0.25">
      <c r="A288" s="7">
        <v>287</v>
      </c>
      <c r="B288" s="7" t="s">
        <v>46</v>
      </c>
      <c r="C288" s="7" t="s">
        <v>397</v>
      </c>
      <c r="D288" s="7" t="s">
        <v>398</v>
      </c>
      <c r="E288" s="7" t="s">
        <v>221</v>
      </c>
      <c r="F288" s="7" t="s">
        <v>145</v>
      </c>
      <c r="G288" s="7" t="s">
        <v>563</v>
      </c>
      <c r="H288" s="7">
        <v>4</v>
      </c>
      <c r="I288" s="7">
        <v>2</v>
      </c>
      <c r="J288" s="7">
        <v>8</v>
      </c>
      <c r="K288" s="7" t="s">
        <v>564</v>
      </c>
    </row>
    <row r="289" spans="1:11" x14ac:dyDescent="0.25">
      <c r="A289" s="7">
        <v>288</v>
      </c>
      <c r="B289" s="7" t="s">
        <v>46</v>
      </c>
      <c r="C289" s="7" t="s">
        <v>397</v>
      </c>
      <c r="D289" s="7" t="s">
        <v>398</v>
      </c>
      <c r="E289" s="7" t="s">
        <v>221</v>
      </c>
      <c r="F289" s="7" t="s">
        <v>145</v>
      </c>
      <c r="G289" s="7" t="s">
        <v>565</v>
      </c>
      <c r="H289" s="7">
        <v>1</v>
      </c>
      <c r="I289" s="7">
        <v>2</v>
      </c>
      <c r="J289" s="7">
        <v>2</v>
      </c>
      <c r="K289" s="7" t="s">
        <v>566</v>
      </c>
    </row>
    <row r="290" spans="1:11" x14ac:dyDescent="0.25">
      <c r="A290" s="7">
        <v>289</v>
      </c>
      <c r="B290" s="7" t="s">
        <v>46</v>
      </c>
      <c r="C290" s="7" t="s">
        <v>397</v>
      </c>
      <c r="D290" s="7" t="s">
        <v>398</v>
      </c>
      <c r="E290" s="7" t="s">
        <v>221</v>
      </c>
      <c r="F290" s="7" t="s">
        <v>145</v>
      </c>
      <c r="G290" s="7" t="s">
        <v>254</v>
      </c>
      <c r="H290" s="7">
        <v>1</v>
      </c>
      <c r="I290" s="7">
        <v>1</v>
      </c>
      <c r="J290" s="7">
        <v>1</v>
      </c>
      <c r="K290" s="7" t="s">
        <v>567</v>
      </c>
    </row>
    <row r="291" spans="1:11" x14ac:dyDescent="0.25">
      <c r="A291" s="7">
        <v>290</v>
      </c>
      <c r="B291" s="7" t="s">
        <v>46</v>
      </c>
      <c r="C291" s="7" t="s">
        <v>397</v>
      </c>
      <c r="D291" s="7" t="s">
        <v>398</v>
      </c>
      <c r="E291" s="7" t="s">
        <v>221</v>
      </c>
      <c r="F291" s="7" t="s">
        <v>145</v>
      </c>
      <c r="G291" s="7" t="s">
        <v>256</v>
      </c>
      <c r="H291" s="7">
        <v>6</v>
      </c>
      <c r="I291" s="7">
        <v>2</v>
      </c>
      <c r="J291" s="7">
        <v>12</v>
      </c>
      <c r="K291" s="7" t="s">
        <v>568</v>
      </c>
    </row>
    <row r="292" spans="1:11" x14ac:dyDescent="0.25">
      <c r="A292" s="7">
        <v>291</v>
      </c>
      <c r="B292" s="7" t="s">
        <v>46</v>
      </c>
      <c r="C292" s="7" t="s">
        <v>397</v>
      </c>
      <c r="D292" s="7" t="s">
        <v>398</v>
      </c>
      <c r="E292" s="7" t="s">
        <v>221</v>
      </c>
      <c r="F292" s="7" t="s">
        <v>145</v>
      </c>
      <c r="G292" s="7" t="s">
        <v>258</v>
      </c>
      <c r="H292" s="7">
        <v>3</v>
      </c>
      <c r="I292" s="7">
        <v>2</v>
      </c>
      <c r="J292" s="7">
        <v>6</v>
      </c>
      <c r="K292" s="7" t="s">
        <v>569</v>
      </c>
    </row>
    <row r="293" spans="1:11" x14ac:dyDescent="0.25">
      <c r="A293" s="7">
        <v>292</v>
      </c>
      <c r="B293" s="7" t="s">
        <v>46</v>
      </c>
      <c r="C293" s="7" t="s">
        <v>397</v>
      </c>
      <c r="D293" s="7" t="s">
        <v>398</v>
      </c>
      <c r="E293" s="7" t="s">
        <v>260</v>
      </c>
      <c r="F293" s="7" t="s">
        <v>145</v>
      </c>
      <c r="G293" s="7" t="s">
        <v>261</v>
      </c>
      <c r="H293" s="7">
        <v>3</v>
      </c>
      <c r="I293" s="7">
        <v>2</v>
      </c>
      <c r="J293" s="7">
        <v>6</v>
      </c>
      <c r="K293" s="7" t="s">
        <v>570</v>
      </c>
    </row>
    <row r="294" spans="1:11" x14ac:dyDescent="0.25">
      <c r="A294" s="7">
        <v>293</v>
      </c>
      <c r="B294" s="7" t="s">
        <v>46</v>
      </c>
      <c r="C294" s="7" t="s">
        <v>397</v>
      </c>
      <c r="D294" s="7" t="s">
        <v>398</v>
      </c>
      <c r="E294" s="7" t="s">
        <v>260</v>
      </c>
      <c r="F294" s="7" t="s">
        <v>145</v>
      </c>
      <c r="G294" s="7" t="s">
        <v>263</v>
      </c>
      <c r="H294" s="7">
        <v>2</v>
      </c>
      <c r="I294" s="7">
        <v>1</v>
      </c>
      <c r="J294" s="7">
        <v>2</v>
      </c>
      <c r="K294" s="7" t="s">
        <v>571</v>
      </c>
    </row>
    <row r="295" spans="1:11" x14ac:dyDescent="0.25">
      <c r="A295" s="7">
        <v>294</v>
      </c>
      <c r="B295" s="7" t="s">
        <v>46</v>
      </c>
      <c r="C295" s="7" t="s">
        <v>397</v>
      </c>
      <c r="D295" s="7" t="s">
        <v>398</v>
      </c>
      <c r="E295" s="7" t="s">
        <v>260</v>
      </c>
      <c r="F295" s="7" t="s">
        <v>145</v>
      </c>
      <c r="G295" s="7" t="s">
        <v>265</v>
      </c>
      <c r="H295" s="7">
        <v>6</v>
      </c>
      <c r="I295" s="7">
        <v>2</v>
      </c>
      <c r="J295" s="7">
        <v>12</v>
      </c>
      <c r="K295" s="7" t="s">
        <v>572</v>
      </c>
    </row>
    <row r="296" spans="1:11" x14ac:dyDescent="0.25">
      <c r="A296" s="7">
        <v>295</v>
      </c>
      <c r="B296" s="7" t="s">
        <v>46</v>
      </c>
      <c r="C296" s="7" t="s">
        <v>397</v>
      </c>
      <c r="D296" s="7" t="s">
        <v>398</v>
      </c>
      <c r="E296" s="7" t="s">
        <v>260</v>
      </c>
      <c r="F296" s="7" t="s">
        <v>145</v>
      </c>
      <c r="G296" s="7" t="s">
        <v>267</v>
      </c>
      <c r="H296" s="7">
        <v>6</v>
      </c>
      <c r="I296" s="7">
        <v>2</v>
      </c>
      <c r="J296" s="7">
        <v>6</v>
      </c>
      <c r="K296" s="7" t="s">
        <v>573</v>
      </c>
    </row>
    <row r="297" spans="1:11" x14ac:dyDescent="0.25">
      <c r="A297" s="7">
        <v>296</v>
      </c>
      <c r="B297" s="7" t="s">
        <v>46</v>
      </c>
      <c r="C297" s="7" t="s">
        <v>397</v>
      </c>
      <c r="D297" s="7" t="s">
        <v>398</v>
      </c>
      <c r="E297" s="7" t="s">
        <v>260</v>
      </c>
      <c r="F297" s="7" t="s">
        <v>145</v>
      </c>
      <c r="G297" s="7" t="s">
        <v>269</v>
      </c>
      <c r="H297" s="7">
        <v>8</v>
      </c>
      <c r="I297" s="7">
        <v>2</v>
      </c>
      <c r="J297" s="7">
        <v>16</v>
      </c>
      <c r="K297" s="7" t="s">
        <v>574</v>
      </c>
    </row>
    <row r="298" spans="1:11" x14ac:dyDescent="0.25">
      <c r="A298" s="7">
        <v>297</v>
      </c>
      <c r="B298" s="7" t="s">
        <v>46</v>
      </c>
      <c r="C298" s="7" t="s">
        <v>397</v>
      </c>
      <c r="D298" s="7" t="s">
        <v>398</v>
      </c>
      <c r="E298" s="7" t="s">
        <v>260</v>
      </c>
      <c r="F298" s="7" t="s">
        <v>145</v>
      </c>
      <c r="G298" s="7" t="s">
        <v>575</v>
      </c>
      <c r="H298" s="7">
        <v>4</v>
      </c>
      <c r="I298" s="7">
        <v>2</v>
      </c>
      <c r="J298" s="7">
        <v>8</v>
      </c>
      <c r="K298" s="7" t="s">
        <v>576</v>
      </c>
    </row>
    <row r="299" spans="1:11" x14ac:dyDescent="0.25">
      <c r="A299" s="7">
        <v>298</v>
      </c>
      <c r="B299" s="7" t="s">
        <v>46</v>
      </c>
      <c r="C299" s="7" t="s">
        <v>397</v>
      </c>
      <c r="D299" s="7" t="s">
        <v>398</v>
      </c>
      <c r="E299" s="7" t="s">
        <v>260</v>
      </c>
      <c r="F299" s="7" t="s">
        <v>145</v>
      </c>
      <c r="G299" s="7" t="s">
        <v>577</v>
      </c>
      <c r="H299" s="7">
        <v>2</v>
      </c>
      <c r="I299" s="7">
        <v>2</v>
      </c>
      <c r="J299" s="7">
        <v>4</v>
      </c>
      <c r="K299" s="7" t="s">
        <v>578</v>
      </c>
    </row>
    <row r="300" spans="1:11" x14ac:dyDescent="0.25">
      <c r="A300" s="7">
        <v>299</v>
      </c>
      <c r="B300" s="7" t="s">
        <v>46</v>
      </c>
      <c r="C300" s="7" t="s">
        <v>397</v>
      </c>
      <c r="D300" s="7" t="s">
        <v>398</v>
      </c>
      <c r="E300" s="7" t="s">
        <v>260</v>
      </c>
      <c r="F300" s="7" t="s">
        <v>145</v>
      </c>
      <c r="G300" s="7" t="s">
        <v>275</v>
      </c>
      <c r="H300" s="7">
        <v>4</v>
      </c>
      <c r="I300" s="7">
        <v>2</v>
      </c>
      <c r="J300" s="7">
        <v>8</v>
      </c>
      <c r="K300" s="7" t="s">
        <v>579</v>
      </c>
    </row>
    <row r="301" spans="1:11" x14ac:dyDescent="0.25">
      <c r="A301" s="7">
        <v>300</v>
      </c>
      <c r="B301" s="7" t="s">
        <v>46</v>
      </c>
      <c r="C301" s="7" t="s">
        <v>397</v>
      </c>
      <c r="D301" s="7" t="s">
        <v>398</v>
      </c>
      <c r="E301" s="7" t="s">
        <v>260</v>
      </c>
      <c r="F301" s="7" t="s">
        <v>145</v>
      </c>
      <c r="G301" s="7" t="s">
        <v>277</v>
      </c>
      <c r="H301" s="7">
        <v>6</v>
      </c>
      <c r="I301" s="7">
        <v>1</v>
      </c>
      <c r="J301" s="7">
        <v>6</v>
      </c>
      <c r="K301" s="7" t="s">
        <v>580</v>
      </c>
    </row>
    <row r="302" spans="1:11" x14ac:dyDescent="0.25">
      <c r="A302" s="7">
        <v>301</v>
      </c>
      <c r="B302" s="7" t="s">
        <v>46</v>
      </c>
      <c r="C302" s="7" t="s">
        <v>397</v>
      </c>
      <c r="D302" s="7" t="s">
        <v>398</v>
      </c>
      <c r="E302" s="7" t="s">
        <v>260</v>
      </c>
      <c r="F302" s="7" t="s">
        <v>145</v>
      </c>
      <c r="G302" s="7" t="s">
        <v>279</v>
      </c>
      <c r="H302" s="7">
        <v>3</v>
      </c>
      <c r="I302" s="7">
        <v>1</v>
      </c>
      <c r="J302" s="7">
        <v>3</v>
      </c>
      <c r="K302" s="7" t="s">
        <v>581</v>
      </c>
    </row>
    <row r="303" spans="1:11" x14ac:dyDescent="0.25">
      <c r="A303" s="7">
        <v>302</v>
      </c>
      <c r="B303" s="7" t="s">
        <v>46</v>
      </c>
      <c r="C303" s="7" t="s">
        <v>397</v>
      </c>
      <c r="D303" s="7" t="s">
        <v>398</v>
      </c>
      <c r="E303" s="7" t="s">
        <v>260</v>
      </c>
      <c r="F303" s="7" t="s">
        <v>145</v>
      </c>
      <c r="G303" s="7" t="s">
        <v>281</v>
      </c>
      <c r="H303" s="7">
        <v>6</v>
      </c>
      <c r="I303" s="7">
        <v>2</v>
      </c>
      <c r="J303" s="7">
        <v>12</v>
      </c>
      <c r="K303" s="7" t="s">
        <v>582</v>
      </c>
    </row>
    <row r="304" spans="1:11" x14ac:dyDescent="0.25">
      <c r="A304" s="7">
        <v>303</v>
      </c>
      <c r="B304" s="7" t="s">
        <v>46</v>
      </c>
      <c r="C304" s="7" t="s">
        <v>397</v>
      </c>
      <c r="D304" s="7" t="s">
        <v>398</v>
      </c>
      <c r="E304" s="7" t="s">
        <v>260</v>
      </c>
      <c r="F304" s="7" t="s">
        <v>145</v>
      </c>
      <c r="G304" s="7" t="s">
        <v>283</v>
      </c>
      <c r="H304" s="7">
        <v>3</v>
      </c>
      <c r="I304" s="7">
        <v>1</v>
      </c>
      <c r="J304" s="7">
        <v>3</v>
      </c>
      <c r="K304" s="7" t="s">
        <v>583</v>
      </c>
    </row>
    <row r="305" spans="1:11" x14ac:dyDescent="0.25">
      <c r="A305" s="7">
        <v>304</v>
      </c>
      <c r="B305" s="7" t="s">
        <v>46</v>
      </c>
      <c r="C305" s="7" t="s">
        <v>397</v>
      </c>
      <c r="D305" s="7" t="s">
        <v>398</v>
      </c>
      <c r="E305" s="7" t="s">
        <v>260</v>
      </c>
      <c r="F305" s="7" t="s">
        <v>145</v>
      </c>
      <c r="G305" s="7" t="s">
        <v>285</v>
      </c>
      <c r="H305" s="7">
        <v>1.5</v>
      </c>
      <c r="I305" s="7">
        <v>1</v>
      </c>
      <c r="J305" s="7">
        <v>1.5</v>
      </c>
      <c r="K305" s="7" t="s">
        <v>584</v>
      </c>
    </row>
    <row r="306" spans="1:11" x14ac:dyDescent="0.25">
      <c r="A306" s="7">
        <v>305</v>
      </c>
      <c r="B306" s="7" t="s">
        <v>46</v>
      </c>
      <c r="C306" s="7" t="s">
        <v>397</v>
      </c>
      <c r="D306" s="7" t="s">
        <v>398</v>
      </c>
      <c r="E306" s="7" t="s">
        <v>260</v>
      </c>
      <c r="F306" s="7" t="s">
        <v>145</v>
      </c>
      <c r="G306" s="7" t="s">
        <v>585</v>
      </c>
      <c r="H306" s="7">
        <v>4</v>
      </c>
      <c r="I306" s="7">
        <v>2</v>
      </c>
      <c r="J306" s="7">
        <v>8</v>
      </c>
      <c r="K306" s="7" t="s">
        <v>586</v>
      </c>
    </row>
    <row r="307" spans="1:11" x14ac:dyDescent="0.25">
      <c r="A307" s="7">
        <v>306</v>
      </c>
      <c r="B307" s="7" t="s">
        <v>46</v>
      </c>
      <c r="C307" s="7" t="s">
        <v>397</v>
      </c>
      <c r="D307" s="7" t="s">
        <v>398</v>
      </c>
      <c r="E307" s="7" t="s">
        <v>260</v>
      </c>
      <c r="F307" s="7" t="s">
        <v>145</v>
      </c>
      <c r="G307" s="7" t="s">
        <v>587</v>
      </c>
      <c r="H307" s="7">
        <v>2</v>
      </c>
      <c r="I307" s="7">
        <v>1</v>
      </c>
      <c r="J307" s="7">
        <v>2</v>
      </c>
      <c r="K307" s="7" t="s">
        <v>588</v>
      </c>
    </row>
    <row r="308" spans="1:11" x14ac:dyDescent="0.25">
      <c r="A308" s="7">
        <v>307</v>
      </c>
      <c r="B308" s="7" t="s">
        <v>46</v>
      </c>
      <c r="C308" s="7" t="s">
        <v>397</v>
      </c>
      <c r="D308" s="7" t="s">
        <v>398</v>
      </c>
      <c r="E308" s="7" t="s">
        <v>260</v>
      </c>
      <c r="F308" s="7" t="s">
        <v>145</v>
      </c>
      <c r="G308" s="7" t="s">
        <v>589</v>
      </c>
      <c r="H308" s="7">
        <v>4</v>
      </c>
      <c r="I308" s="7">
        <v>2</v>
      </c>
      <c r="J308" s="7">
        <v>8</v>
      </c>
      <c r="K308" s="7" t="s">
        <v>590</v>
      </c>
    </row>
    <row r="309" spans="1:11" x14ac:dyDescent="0.25">
      <c r="A309" s="7">
        <v>308</v>
      </c>
      <c r="B309" s="7" t="s">
        <v>46</v>
      </c>
      <c r="C309" s="7" t="s">
        <v>397</v>
      </c>
      <c r="D309" s="7" t="s">
        <v>398</v>
      </c>
      <c r="E309" s="7" t="s">
        <v>260</v>
      </c>
      <c r="F309" s="7" t="s">
        <v>145</v>
      </c>
      <c r="G309" s="7" t="s">
        <v>287</v>
      </c>
      <c r="H309" s="7">
        <v>3</v>
      </c>
      <c r="I309" s="7">
        <v>2</v>
      </c>
      <c r="J309" s="7">
        <v>6</v>
      </c>
      <c r="K309" s="7" t="s">
        <v>591</v>
      </c>
    </row>
    <row r="310" spans="1:11" x14ac:dyDescent="0.25">
      <c r="A310" s="7">
        <v>309</v>
      </c>
      <c r="B310" s="7" t="s">
        <v>46</v>
      </c>
      <c r="C310" s="7" t="s">
        <v>397</v>
      </c>
      <c r="D310" s="7" t="s">
        <v>398</v>
      </c>
      <c r="E310" s="7" t="s">
        <v>260</v>
      </c>
      <c r="F310" s="7" t="s">
        <v>145</v>
      </c>
      <c r="G310" s="7" t="s">
        <v>289</v>
      </c>
      <c r="H310" s="7">
        <v>4</v>
      </c>
      <c r="I310" s="7">
        <v>2</v>
      </c>
      <c r="J310" s="7">
        <v>8</v>
      </c>
      <c r="K310" s="7" t="s">
        <v>592</v>
      </c>
    </row>
    <row r="311" spans="1:11" x14ac:dyDescent="0.25">
      <c r="A311" s="7">
        <v>310</v>
      </c>
      <c r="B311" s="7" t="s">
        <v>46</v>
      </c>
      <c r="C311" s="7" t="s">
        <v>397</v>
      </c>
      <c r="D311" s="7" t="s">
        <v>398</v>
      </c>
      <c r="E311" s="7" t="s">
        <v>260</v>
      </c>
      <c r="F311" s="7" t="s">
        <v>145</v>
      </c>
      <c r="G311" s="7" t="s">
        <v>291</v>
      </c>
      <c r="H311" s="7">
        <v>6</v>
      </c>
      <c r="I311" s="7">
        <v>2</v>
      </c>
      <c r="J311" s="7">
        <v>12</v>
      </c>
      <c r="K311" s="7" t="s">
        <v>593</v>
      </c>
    </row>
    <row r="312" spans="1:11" x14ac:dyDescent="0.25">
      <c r="A312" s="7">
        <v>311</v>
      </c>
      <c r="B312" s="7" t="s">
        <v>46</v>
      </c>
      <c r="C312" s="7" t="s">
        <v>397</v>
      </c>
      <c r="D312" s="7" t="s">
        <v>398</v>
      </c>
      <c r="E312" s="7" t="s">
        <v>260</v>
      </c>
      <c r="F312" s="7" t="s">
        <v>145</v>
      </c>
      <c r="G312" s="7" t="s">
        <v>594</v>
      </c>
      <c r="H312" s="7">
        <v>12</v>
      </c>
      <c r="I312" s="7">
        <v>2</v>
      </c>
      <c r="J312" s="7">
        <v>24</v>
      </c>
      <c r="K312" s="7" t="s">
        <v>595</v>
      </c>
    </row>
    <row r="313" spans="1:11" x14ac:dyDescent="0.25">
      <c r="A313" s="7">
        <v>312</v>
      </c>
      <c r="B313" s="7" t="s">
        <v>46</v>
      </c>
      <c r="C313" s="7" t="s">
        <v>397</v>
      </c>
      <c r="D313" s="7" t="s">
        <v>398</v>
      </c>
      <c r="E313" s="7" t="s">
        <v>260</v>
      </c>
      <c r="F313" s="7" t="s">
        <v>145</v>
      </c>
      <c r="G313" s="7" t="s">
        <v>596</v>
      </c>
      <c r="H313" s="7">
        <v>6</v>
      </c>
      <c r="I313" s="7">
        <v>2</v>
      </c>
      <c r="J313" s="7">
        <v>12</v>
      </c>
      <c r="K313" s="7" t="s">
        <v>597</v>
      </c>
    </row>
    <row r="314" spans="1:11" x14ac:dyDescent="0.25">
      <c r="A314" s="7">
        <v>313</v>
      </c>
      <c r="B314" s="7" t="s">
        <v>46</v>
      </c>
      <c r="C314" s="7" t="s">
        <v>397</v>
      </c>
      <c r="D314" s="7" t="s">
        <v>398</v>
      </c>
      <c r="E314" s="7" t="s">
        <v>260</v>
      </c>
      <c r="F314" s="7" t="s">
        <v>145</v>
      </c>
      <c r="G314" s="7" t="s">
        <v>297</v>
      </c>
      <c r="H314" s="7">
        <v>4</v>
      </c>
      <c r="I314" s="7">
        <v>2</v>
      </c>
      <c r="J314" s="7">
        <v>8</v>
      </c>
      <c r="K314" s="7" t="s">
        <v>598</v>
      </c>
    </row>
    <row r="315" spans="1:11" x14ac:dyDescent="0.25">
      <c r="A315" s="7">
        <v>314</v>
      </c>
      <c r="B315" s="7" t="s">
        <v>46</v>
      </c>
      <c r="C315" s="7" t="s">
        <v>397</v>
      </c>
      <c r="D315" s="7" t="s">
        <v>398</v>
      </c>
      <c r="E315" s="7" t="s">
        <v>260</v>
      </c>
      <c r="F315" s="7" t="s">
        <v>145</v>
      </c>
      <c r="G315" s="7" t="s">
        <v>299</v>
      </c>
      <c r="H315" s="7">
        <v>4</v>
      </c>
      <c r="I315" s="7">
        <v>2</v>
      </c>
      <c r="J315" s="7">
        <v>8</v>
      </c>
      <c r="K315" s="7" t="s">
        <v>599</v>
      </c>
    </row>
    <row r="316" spans="1:11" x14ac:dyDescent="0.25">
      <c r="A316" s="7">
        <v>315</v>
      </c>
      <c r="B316" s="7" t="s">
        <v>46</v>
      </c>
      <c r="C316" s="7" t="s">
        <v>397</v>
      </c>
      <c r="D316" s="7" t="s">
        <v>398</v>
      </c>
      <c r="E316" s="7" t="s">
        <v>260</v>
      </c>
      <c r="F316" s="7" t="s">
        <v>145</v>
      </c>
      <c r="G316" s="7" t="s">
        <v>600</v>
      </c>
      <c r="H316" s="7">
        <v>2</v>
      </c>
      <c r="I316" s="7">
        <v>1</v>
      </c>
      <c r="J316" s="7">
        <v>2</v>
      </c>
      <c r="K316" s="7" t="s">
        <v>601</v>
      </c>
    </row>
    <row r="317" spans="1:11" x14ac:dyDescent="0.25">
      <c r="A317" s="7">
        <v>316</v>
      </c>
      <c r="B317" s="7" t="s">
        <v>46</v>
      </c>
      <c r="C317" s="7" t="s">
        <v>397</v>
      </c>
      <c r="D317" s="7" t="s">
        <v>398</v>
      </c>
      <c r="E317" s="7" t="s">
        <v>260</v>
      </c>
      <c r="F317" s="7" t="s">
        <v>145</v>
      </c>
      <c r="G317" s="7" t="s">
        <v>303</v>
      </c>
      <c r="H317" s="7">
        <v>6</v>
      </c>
      <c r="I317" s="7">
        <v>2</v>
      </c>
      <c r="J317" s="7">
        <v>12</v>
      </c>
      <c r="K317" s="7" t="s">
        <v>602</v>
      </c>
    </row>
    <row r="318" spans="1:11" x14ac:dyDescent="0.25">
      <c r="A318" s="7">
        <v>317</v>
      </c>
      <c r="B318" s="7" t="s">
        <v>46</v>
      </c>
      <c r="C318" s="7" t="s">
        <v>397</v>
      </c>
      <c r="D318" s="7" t="s">
        <v>398</v>
      </c>
      <c r="E318" s="7" t="s">
        <v>260</v>
      </c>
      <c r="F318" s="7" t="s">
        <v>145</v>
      </c>
      <c r="G318" s="7" t="s">
        <v>307</v>
      </c>
      <c r="H318" s="7">
        <v>12</v>
      </c>
      <c r="I318" s="7">
        <v>2</v>
      </c>
      <c r="J318" s="7">
        <v>24</v>
      </c>
      <c r="K318" s="7" t="s">
        <v>603</v>
      </c>
    </row>
    <row r="319" spans="1:11" x14ac:dyDescent="0.25">
      <c r="A319" s="7">
        <v>318</v>
      </c>
      <c r="B319" s="7" t="s">
        <v>46</v>
      </c>
      <c r="C319" s="7" t="s">
        <v>397</v>
      </c>
      <c r="D319" s="7" t="s">
        <v>398</v>
      </c>
      <c r="E319" s="7" t="s">
        <v>260</v>
      </c>
      <c r="F319" s="7" t="s">
        <v>145</v>
      </c>
      <c r="G319" s="7" t="s">
        <v>309</v>
      </c>
      <c r="H319" s="7">
        <v>1</v>
      </c>
      <c r="I319" s="7">
        <v>1</v>
      </c>
      <c r="J319" s="7">
        <v>1</v>
      </c>
      <c r="K319" s="7" t="s">
        <v>604</v>
      </c>
    </row>
    <row r="320" spans="1:11" x14ac:dyDescent="0.25">
      <c r="A320" s="7">
        <v>319</v>
      </c>
      <c r="B320" s="7" t="s">
        <v>46</v>
      </c>
      <c r="C320" s="7" t="s">
        <v>397</v>
      </c>
      <c r="D320" s="7" t="s">
        <v>398</v>
      </c>
      <c r="E320" s="7" t="s">
        <v>260</v>
      </c>
      <c r="F320" s="7" t="s">
        <v>145</v>
      </c>
      <c r="G320" s="7" t="s">
        <v>311</v>
      </c>
      <c r="H320" s="7">
        <v>4</v>
      </c>
      <c r="I320" s="7">
        <v>1</v>
      </c>
      <c r="J320" s="7">
        <v>4</v>
      </c>
      <c r="K320" s="7" t="s">
        <v>605</v>
      </c>
    </row>
    <row r="321" spans="1:11" x14ac:dyDescent="0.25">
      <c r="A321" s="7">
        <v>320</v>
      </c>
      <c r="B321" s="7" t="s">
        <v>46</v>
      </c>
      <c r="C321" s="7" t="s">
        <v>397</v>
      </c>
      <c r="D321" s="7" t="s">
        <v>398</v>
      </c>
      <c r="E321" s="7" t="s">
        <v>260</v>
      </c>
      <c r="F321" s="7" t="s">
        <v>145</v>
      </c>
      <c r="G321" s="7" t="s">
        <v>313</v>
      </c>
      <c r="H321" s="7">
        <v>3</v>
      </c>
      <c r="I321" s="7">
        <v>1</v>
      </c>
      <c r="J321" s="7">
        <v>3</v>
      </c>
      <c r="K321" s="7" t="s">
        <v>606</v>
      </c>
    </row>
    <row r="322" spans="1:11" x14ac:dyDescent="0.25">
      <c r="A322" s="7">
        <v>321</v>
      </c>
      <c r="B322" s="7" t="s">
        <v>46</v>
      </c>
      <c r="C322" s="7" t="s">
        <v>397</v>
      </c>
      <c r="D322" s="7" t="s">
        <v>398</v>
      </c>
      <c r="E322" s="7" t="s">
        <v>260</v>
      </c>
      <c r="F322" s="7" t="s">
        <v>145</v>
      </c>
      <c r="G322" s="7" t="s">
        <v>315</v>
      </c>
      <c r="H322" s="7">
        <v>2</v>
      </c>
      <c r="I322" s="7">
        <v>1</v>
      </c>
      <c r="J322" s="7">
        <v>2</v>
      </c>
      <c r="K322" s="7" t="s">
        <v>607</v>
      </c>
    </row>
    <row r="323" spans="1:11" x14ac:dyDescent="0.25">
      <c r="A323" s="7">
        <v>322</v>
      </c>
      <c r="B323" s="7" t="s">
        <v>46</v>
      </c>
      <c r="C323" s="7" t="s">
        <v>397</v>
      </c>
      <c r="D323" s="7" t="s">
        <v>398</v>
      </c>
      <c r="E323" s="7" t="s">
        <v>260</v>
      </c>
      <c r="F323" s="7" t="s">
        <v>145</v>
      </c>
      <c r="G323" s="7" t="s">
        <v>608</v>
      </c>
      <c r="H323" s="7">
        <v>3</v>
      </c>
      <c r="I323" s="7">
        <v>1</v>
      </c>
      <c r="J323" s="7">
        <v>3</v>
      </c>
      <c r="K323" s="7" t="s">
        <v>609</v>
      </c>
    </row>
    <row r="324" spans="1:11" x14ac:dyDescent="0.25">
      <c r="A324" s="7">
        <v>323</v>
      </c>
      <c r="B324" s="7" t="s">
        <v>46</v>
      </c>
      <c r="C324" s="7" t="s">
        <v>397</v>
      </c>
      <c r="D324" s="7" t="s">
        <v>398</v>
      </c>
      <c r="E324" s="7" t="s">
        <v>260</v>
      </c>
      <c r="F324" s="7" t="s">
        <v>145</v>
      </c>
      <c r="G324" s="7" t="s">
        <v>610</v>
      </c>
      <c r="H324" s="7">
        <v>2</v>
      </c>
      <c r="I324" s="7">
        <v>1</v>
      </c>
      <c r="J324" s="7">
        <v>2</v>
      </c>
      <c r="K324" s="7" t="s">
        <v>611</v>
      </c>
    </row>
    <row r="325" spans="1:11" x14ac:dyDescent="0.25">
      <c r="A325" s="7">
        <v>324</v>
      </c>
      <c r="B325" s="7" t="s">
        <v>46</v>
      </c>
      <c r="C325" s="7" t="s">
        <v>397</v>
      </c>
      <c r="D325" s="7" t="s">
        <v>398</v>
      </c>
      <c r="E325" s="7" t="s">
        <v>260</v>
      </c>
      <c r="F325" s="7" t="s">
        <v>145</v>
      </c>
      <c r="G325" s="7" t="s">
        <v>319</v>
      </c>
      <c r="H325" s="7">
        <v>4</v>
      </c>
      <c r="I325" s="7">
        <v>2</v>
      </c>
      <c r="J325" s="7">
        <v>8</v>
      </c>
      <c r="K325" s="7" t="s">
        <v>612</v>
      </c>
    </row>
    <row r="326" spans="1:11" x14ac:dyDescent="0.25">
      <c r="A326" s="7">
        <v>325</v>
      </c>
      <c r="B326" s="7" t="s">
        <v>46</v>
      </c>
      <c r="C326" s="7" t="s">
        <v>397</v>
      </c>
      <c r="D326" s="7" t="s">
        <v>398</v>
      </c>
      <c r="E326" s="7" t="s">
        <v>323</v>
      </c>
      <c r="F326" s="7" t="s">
        <v>145</v>
      </c>
      <c r="G326" s="7" t="s">
        <v>613</v>
      </c>
      <c r="H326" s="7">
        <v>10</v>
      </c>
      <c r="I326" s="7">
        <v>2</v>
      </c>
      <c r="J326" s="7">
        <v>20</v>
      </c>
      <c r="K326" s="7" t="s">
        <v>614</v>
      </c>
    </row>
    <row r="327" spans="1:11" x14ac:dyDescent="0.25">
      <c r="A327" s="7">
        <v>326</v>
      </c>
      <c r="B327" s="7" t="s">
        <v>46</v>
      </c>
      <c r="C327" s="7" t="s">
        <v>397</v>
      </c>
      <c r="D327" s="7" t="s">
        <v>398</v>
      </c>
      <c r="E327" s="7" t="s">
        <v>323</v>
      </c>
      <c r="F327" s="7" t="s">
        <v>145</v>
      </c>
      <c r="G327" s="7" t="s">
        <v>326</v>
      </c>
      <c r="H327" s="7">
        <v>1</v>
      </c>
      <c r="I327" s="7">
        <v>1</v>
      </c>
      <c r="J327" s="7">
        <v>1</v>
      </c>
      <c r="K327" s="7" t="s">
        <v>615</v>
      </c>
    </row>
    <row r="328" spans="1:11" x14ac:dyDescent="0.25">
      <c r="A328" s="7">
        <v>327</v>
      </c>
      <c r="B328" s="7" t="s">
        <v>46</v>
      </c>
      <c r="C328" s="7" t="s">
        <v>397</v>
      </c>
      <c r="D328" s="7" t="s">
        <v>398</v>
      </c>
      <c r="E328" s="7" t="s">
        <v>323</v>
      </c>
      <c r="F328" s="7" t="s">
        <v>145</v>
      </c>
      <c r="G328" s="7" t="s">
        <v>328</v>
      </c>
      <c r="H328" s="7">
        <v>0.5</v>
      </c>
      <c r="I328" s="7">
        <v>1</v>
      </c>
      <c r="J328" s="7">
        <v>0.5</v>
      </c>
      <c r="K328" s="7" t="s">
        <v>616</v>
      </c>
    </row>
    <row r="329" spans="1:11" x14ac:dyDescent="0.25">
      <c r="A329" s="7">
        <v>328</v>
      </c>
      <c r="B329" s="7" t="s">
        <v>46</v>
      </c>
      <c r="C329" s="7" t="s">
        <v>397</v>
      </c>
      <c r="D329" s="7" t="s">
        <v>398</v>
      </c>
      <c r="E329" s="7" t="s">
        <v>323</v>
      </c>
      <c r="F329" s="7" t="s">
        <v>145</v>
      </c>
      <c r="G329" s="7" t="s">
        <v>617</v>
      </c>
      <c r="H329" s="7">
        <v>1</v>
      </c>
      <c r="I329" s="7">
        <v>1</v>
      </c>
      <c r="J329" s="7">
        <v>1</v>
      </c>
      <c r="K329" s="7" t="s">
        <v>618</v>
      </c>
    </row>
    <row r="330" spans="1:11" x14ac:dyDescent="0.25">
      <c r="A330" s="7">
        <v>329</v>
      </c>
      <c r="B330" s="7" t="s">
        <v>46</v>
      </c>
      <c r="C330" s="7" t="s">
        <v>397</v>
      </c>
      <c r="D330" s="7" t="s">
        <v>398</v>
      </c>
      <c r="E330" s="7" t="s">
        <v>323</v>
      </c>
      <c r="F330" s="7" t="s">
        <v>145</v>
      </c>
      <c r="G330" s="7" t="s">
        <v>332</v>
      </c>
      <c r="H330" s="7">
        <v>4</v>
      </c>
      <c r="I330" s="7">
        <v>2</v>
      </c>
      <c r="J330" s="7">
        <v>8</v>
      </c>
      <c r="K330" s="7" t="s">
        <v>619</v>
      </c>
    </row>
    <row r="331" spans="1:11" x14ac:dyDescent="0.25">
      <c r="A331" s="7">
        <v>330</v>
      </c>
      <c r="B331" s="7" t="s">
        <v>46</v>
      </c>
      <c r="C331" s="7" t="s">
        <v>397</v>
      </c>
      <c r="D331" s="7" t="s">
        <v>398</v>
      </c>
      <c r="E331" s="7" t="s">
        <v>334</v>
      </c>
      <c r="F331" s="7" t="s">
        <v>145</v>
      </c>
      <c r="G331" s="7" t="s">
        <v>335</v>
      </c>
      <c r="H331" s="7">
        <v>5</v>
      </c>
      <c r="I331" s="7">
        <v>3</v>
      </c>
      <c r="J331" s="7">
        <v>15</v>
      </c>
      <c r="K331" s="7" t="s">
        <v>620</v>
      </c>
    </row>
    <row r="332" spans="1:11" x14ac:dyDescent="0.25">
      <c r="A332" s="7">
        <v>331</v>
      </c>
      <c r="B332" s="7" t="s">
        <v>46</v>
      </c>
      <c r="C332" s="7" t="s">
        <v>397</v>
      </c>
      <c r="D332" s="7" t="s">
        <v>398</v>
      </c>
      <c r="E332" s="7" t="s">
        <v>334</v>
      </c>
      <c r="F332" s="7" t="s">
        <v>145</v>
      </c>
      <c r="G332" s="7" t="s">
        <v>337</v>
      </c>
      <c r="H332" s="7">
        <v>2</v>
      </c>
      <c r="I332" s="7">
        <v>2</v>
      </c>
      <c r="J332" s="7">
        <v>4</v>
      </c>
      <c r="K332" s="7" t="s">
        <v>621</v>
      </c>
    </row>
    <row r="333" spans="1:11" x14ac:dyDescent="0.25">
      <c r="A333" s="7">
        <v>332</v>
      </c>
      <c r="B333" s="7" t="s">
        <v>46</v>
      </c>
      <c r="C333" s="7" t="s">
        <v>397</v>
      </c>
      <c r="D333" s="7" t="s">
        <v>398</v>
      </c>
      <c r="E333" s="7" t="s">
        <v>334</v>
      </c>
      <c r="F333" s="7" t="s">
        <v>145</v>
      </c>
      <c r="G333" s="7" t="s">
        <v>339</v>
      </c>
      <c r="H333" s="7">
        <v>2</v>
      </c>
      <c r="I333" s="7">
        <v>2</v>
      </c>
      <c r="J333" s="7">
        <v>4</v>
      </c>
      <c r="K333" s="7" t="s">
        <v>622</v>
      </c>
    </row>
    <row r="334" spans="1:11" x14ac:dyDescent="0.25">
      <c r="A334" s="7">
        <v>333</v>
      </c>
      <c r="B334" s="7" t="s">
        <v>46</v>
      </c>
      <c r="C334" s="7" t="s">
        <v>397</v>
      </c>
      <c r="D334" s="7" t="s">
        <v>398</v>
      </c>
      <c r="E334" s="7" t="s">
        <v>334</v>
      </c>
      <c r="F334" s="7" t="s">
        <v>145</v>
      </c>
      <c r="G334" s="7" t="s">
        <v>341</v>
      </c>
      <c r="H334" s="7">
        <v>4</v>
      </c>
      <c r="I334" s="7">
        <v>2</v>
      </c>
      <c r="J334" s="7">
        <v>8</v>
      </c>
      <c r="K334" s="7" t="s">
        <v>623</v>
      </c>
    </row>
    <row r="335" spans="1:11" x14ac:dyDescent="0.25">
      <c r="A335" s="7">
        <v>334</v>
      </c>
      <c r="B335" s="7" t="s">
        <v>46</v>
      </c>
      <c r="C335" s="7" t="s">
        <v>397</v>
      </c>
      <c r="D335" s="7" t="s">
        <v>398</v>
      </c>
      <c r="E335" s="7" t="s">
        <v>334</v>
      </c>
      <c r="F335" s="7" t="s">
        <v>145</v>
      </c>
      <c r="G335" s="7" t="s">
        <v>343</v>
      </c>
      <c r="H335" s="7">
        <v>1</v>
      </c>
      <c r="I335" s="7">
        <v>1</v>
      </c>
      <c r="J335" s="7">
        <v>1</v>
      </c>
      <c r="K335" s="7" t="s">
        <v>624</v>
      </c>
    </row>
    <row r="336" spans="1:11" x14ac:dyDescent="0.25">
      <c r="A336" s="7">
        <v>335</v>
      </c>
      <c r="B336" s="7" t="s">
        <v>46</v>
      </c>
      <c r="C336" s="7" t="s">
        <v>397</v>
      </c>
      <c r="D336" s="7" t="s">
        <v>398</v>
      </c>
      <c r="E336" s="7" t="s">
        <v>334</v>
      </c>
      <c r="F336" s="7" t="s">
        <v>145</v>
      </c>
      <c r="G336" s="7" t="s">
        <v>345</v>
      </c>
      <c r="H336" s="7">
        <v>2</v>
      </c>
      <c r="I336" s="7">
        <v>2</v>
      </c>
      <c r="J336" s="7">
        <v>4</v>
      </c>
      <c r="K336" s="7" t="s">
        <v>625</v>
      </c>
    </row>
    <row r="337" spans="1:11" x14ac:dyDescent="0.25">
      <c r="A337" s="7">
        <v>336</v>
      </c>
      <c r="B337" s="7" t="s">
        <v>46</v>
      </c>
      <c r="C337" s="7" t="s">
        <v>397</v>
      </c>
      <c r="D337" s="7" t="s">
        <v>398</v>
      </c>
      <c r="E337" s="7" t="s">
        <v>334</v>
      </c>
      <c r="F337" s="7" t="s">
        <v>145</v>
      </c>
      <c r="G337" s="7" t="s">
        <v>347</v>
      </c>
      <c r="H337" s="7">
        <v>4</v>
      </c>
      <c r="I337" s="7">
        <v>2</v>
      </c>
      <c r="J337" s="7">
        <v>8</v>
      </c>
      <c r="K337" s="7" t="s">
        <v>626</v>
      </c>
    </row>
    <row r="338" spans="1:11" x14ac:dyDescent="0.25">
      <c r="A338" s="7">
        <v>337</v>
      </c>
      <c r="B338" s="7" t="s">
        <v>46</v>
      </c>
      <c r="C338" s="7" t="s">
        <v>397</v>
      </c>
      <c r="D338" s="7" t="s">
        <v>398</v>
      </c>
      <c r="E338" s="7" t="s">
        <v>334</v>
      </c>
      <c r="F338" s="7" t="s">
        <v>145</v>
      </c>
      <c r="G338" s="7" t="s">
        <v>349</v>
      </c>
      <c r="H338" s="7">
        <v>1.5</v>
      </c>
      <c r="I338" s="7">
        <v>1</v>
      </c>
      <c r="J338" s="7">
        <v>1.5</v>
      </c>
      <c r="K338" s="7" t="s">
        <v>627</v>
      </c>
    </row>
    <row r="339" spans="1:11" x14ac:dyDescent="0.25">
      <c r="A339" s="7">
        <v>338</v>
      </c>
      <c r="B339" s="7" t="s">
        <v>46</v>
      </c>
      <c r="C339" s="7" t="s">
        <v>397</v>
      </c>
      <c r="D339" s="7" t="s">
        <v>398</v>
      </c>
      <c r="E339" s="7" t="s">
        <v>334</v>
      </c>
      <c r="F339" s="7" t="s">
        <v>145</v>
      </c>
      <c r="G339" s="7" t="s">
        <v>351</v>
      </c>
      <c r="H339" s="7">
        <v>3</v>
      </c>
      <c r="I339" s="7">
        <v>2</v>
      </c>
      <c r="J339" s="7">
        <v>6</v>
      </c>
      <c r="K339" s="7" t="s">
        <v>628</v>
      </c>
    </row>
    <row r="340" spans="1:11" x14ac:dyDescent="0.25">
      <c r="A340" s="7">
        <v>339</v>
      </c>
      <c r="B340" s="7" t="s">
        <v>46</v>
      </c>
      <c r="C340" s="7" t="s">
        <v>397</v>
      </c>
      <c r="D340" s="7" t="s">
        <v>398</v>
      </c>
      <c r="E340" s="7" t="s">
        <v>334</v>
      </c>
      <c r="F340" s="7" t="s">
        <v>145</v>
      </c>
      <c r="G340" s="7" t="s">
        <v>353</v>
      </c>
      <c r="H340" s="7">
        <v>1</v>
      </c>
      <c r="I340" s="7">
        <v>1</v>
      </c>
      <c r="J340" s="7">
        <v>1</v>
      </c>
      <c r="K340" s="7" t="s">
        <v>629</v>
      </c>
    </row>
    <row r="341" spans="1:11" x14ac:dyDescent="0.25">
      <c r="A341" s="7">
        <v>340</v>
      </c>
      <c r="B341" s="7" t="s">
        <v>46</v>
      </c>
      <c r="C341" s="7" t="s">
        <v>397</v>
      </c>
      <c r="D341" s="7" t="s">
        <v>398</v>
      </c>
      <c r="E341" s="7" t="s">
        <v>334</v>
      </c>
      <c r="F341" s="7" t="s">
        <v>145</v>
      </c>
      <c r="G341" s="7" t="s">
        <v>355</v>
      </c>
      <c r="H341" s="7">
        <v>2</v>
      </c>
      <c r="I341" s="7">
        <v>2</v>
      </c>
      <c r="J341" s="7">
        <v>4</v>
      </c>
      <c r="K341" s="7" t="s">
        <v>630</v>
      </c>
    </row>
    <row r="342" spans="1:11" x14ac:dyDescent="0.25">
      <c r="A342" s="7">
        <v>341</v>
      </c>
      <c r="B342" s="7" t="s">
        <v>46</v>
      </c>
      <c r="C342" s="7" t="s">
        <v>397</v>
      </c>
      <c r="D342" s="7" t="s">
        <v>398</v>
      </c>
      <c r="E342" s="7" t="s">
        <v>334</v>
      </c>
      <c r="F342" s="7" t="s">
        <v>145</v>
      </c>
      <c r="G342" s="7" t="s">
        <v>357</v>
      </c>
      <c r="H342" s="7">
        <v>1.5</v>
      </c>
      <c r="I342" s="7">
        <v>1</v>
      </c>
      <c r="J342" s="7">
        <v>1.5</v>
      </c>
      <c r="K342" s="7" t="s">
        <v>631</v>
      </c>
    </row>
    <row r="343" spans="1:11" x14ac:dyDescent="0.25">
      <c r="A343" s="7">
        <v>342</v>
      </c>
      <c r="B343" s="7" t="s">
        <v>46</v>
      </c>
      <c r="C343" s="7" t="s">
        <v>397</v>
      </c>
      <c r="D343" s="7" t="s">
        <v>398</v>
      </c>
      <c r="E343" s="7" t="s">
        <v>334</v>
      </c>
      <c r="F343" s="7" t="s">
        <v>145</v>
      </c>
      <c r="G343" s="7" t="s">
        <v>359</v>
      </c>
      <c r="H343" s="7">
        <v>2</v>
      </c>
      <c r="I343" s="7">
        <v>2</v>
      </c>
      <c r="J343" s="7">
        <v>4</v>
      </c>
      <c r="K343" s="7" t="s">
        <v>632</v>
      </c>
    </row>
    <row r="344" spans="1:11" x14ac:dyDescent="0.25">
      <c r="A344" s="7">
        <v>343</v>
      </c>
      <c r="B344" s="7" t="s">
        <v>46</v>
      </c>
      <c r="C344" s="7" t="s">
        <v>397</v>
      </c>
      <c r="D344" s="7" t="s">
        <v>398</v>
      </c>
      <c r="E344" s="7" t="s">
        <v>334</v>
      </c>
      <c r="F344" s="7" t="s">
        <v>145</v>
      </c>
      <c r="G344" s="7" t="s">
        <v>633</v>
      </c>
      <c r="H344" s="7">
        <v>2</v>
      </c>
      <c r="I344" s="7">
        <v>2</v>
      </c>
      <c r="J344" s="7">
        <v>4</v>
      </c>
      <c r="K344" s="7" t="s">
        <v>634</v>
      </c>
    </row>
    <row r="345" spans="1:11" x14ac:dyDescent="0.25">
      <c r="A345" s="7">
        <v>344</v>
      </c>
      <c r="B345" s="7" t="s">
        <v>46</v>
      </c>
      <c r="C345" s="7" t="s">
        <v>397</v>
      </c>
      <c r="D345" s="7" t="s">
        <v>398</v>
      </c>
      <c r="E345" s="7" t="s">
        <v>334</v>
      </c>
      <c r="F345" s="7" t="s">
        <v>145</v>
      </c>
      <c r="G345" s="7" t="s">
        <v>635</v>
      </c>
      <c r="H345" s="7">
        <v>4</v>
      </c>
      <c r="I345" s="7">
        <v>2</v>
      </c>
      <c r="J345" s="7">
        <v>8</v>
      </c>
      <c r="K345" s="7" t="s">
        <v>636</v>
      </c>
    </row>
    <row r="346" spans="1:11" x14ac:dyDescent="0.25">
      <c r="A346" s="7">
        <v>345</v>
      </c>
      <c r="B346" s="7" t="s">
        <v>46</v>
      </c>
      <c r="C346" s="7" t="s">
        <v>397</v>
      </c>
      <c r="D346" s="7" t="s">
        <v>398</v>
      </c>
      <c r="E346" s="7" t="s">
        <v>334</v>
      </c>
      <c r="F346" s="7" t="s">
        <v>145</v>
      </c>
      <c r="G346" s="7" t="s">
        <v>637</v>
      </c>
      <c r="H346" s="7">
        <v>4</v>
      </c>
      <c r="I346" s="7">
        <v>2</v>
      </c>
      <c r="J346" s="7">
        <v>8</v>
      </c>
      <c r="K346" s="7" t="s">
        <v>638</v>
      </c>
    </row>
    <row r="347" spans="1:11" x14ac:dyDescent="0.25">
      <c r="A347" s="7">
        <v>346</v>
      </c>
      <c r="B347" s="7" t="s">
        <v>46</v>
      </c>
      <c r="C347" s="7" t="s">
        <v>397</v>
      </c>
      <c r="D347" s="7" t="s">
        <v>398</v>
      </c>
      <c r="E347" s="7" t="s">
        <v>334</v>
      </c>
      <c r="F347" s="7" t="s">
        <v>145</v>
      </c>
      <c r="G347" s="7" t="s">
        <v>361</v>
      </c>
      <c r="H347" s="7">
        <v>1</v>
      </c>
      <c r="I347" s="7">
        <v>2</v>
      </c>
      <c r="J347" s="7">
        <v>2</v>
      </c>
      <c r="K347" s="7" t="s">
        <v>639</v>
      </c>
    </row>
    <row r="348" spans="1:11" x14ac:dyDescent="0.25">
      <c r="A348" s="7">
        <v>347</v>
      </c>
      <c r="B348" s="7" t="s">
        <v>46</v>
      </c>
      <c r="C348" s="7" t="s">
        <v>397</v>
      </c>
      <c r="D348" s="7" t="s">
        <v>398</v>
      </c>
      <c r="E348" s="7" t="s">
        <v>334</v>
      </c>
      <c r="F348" s="7" t="s">
        <v>145</v>
      </c>
      <c r="G348" s="7" t="s">
        <v>363</v>
      </c>
      <c r="H348" s="7">
        <v>2</v>
      </c>
      <c r="I348" s="7">
        <v>2</v>
      </c>
      <c r="J348" s="7">
        <v>4</v>
      </c>
      <c r="K348" s="7" t="s">
        <v>640</v>
      </c>
    </row>
    <row r="349" spans="1:11" x14ac:dyDescent="0.25">
      <c r="A349" s="7">
        <v>348</v>
      </c>
      <c r="B349" s="7" t="s">
        <v>46</v>
      </c>
      <c r="C349" s="7" t="s">
        <v>397</v>
      </c>
      <c r="D349" s="7" t="s">
        <v>398</v>
      </c>
      <c r="E349" s="7" t="s">
        <v>334</v>
      </c>
      <c r="F349" s="7" t="s">
        <v>145</v>
      </c>
      <c r="G349" s="7" t="s">
        <v>365</v>
      </c>
      <c r="H349" s="7">
        <v>16</v>
      </c>
      <c r="I349" s="7">
        <v>2</v>
      </c>
      <c r="J349" s="7">
        <v>32</v>
      </c>
      <c r="K349" s="7" t="s">
        <v>641</v>
      </c>
    </row>
    <row r="350" spans="1:11" x14ac:dyDescent="0.25">
      <c r="A350" s="7">
        <v>349</v>
      </c>
      <c r="B350" s="7" t="s">
        <v>46</v>
      </c>
      <c r="C350" s="7" t="s">
        <v>397</v>
      </c>
      <c r="D350" s="7" t="s">
        <v>398</v>
      </c>
      <c r="E350" s="7" t="s">
        <v>334</v>
      </c>
      <c r="F350" s="7" t="s">
        <v>145</v>
      </c>
      <c r="G350" s="7" t="s">
        <v>367</v>
      </c>
      <c r="H350" s="7">
        <v>4</v>
      </c>
      <c r="I350" s="7">
        <v>2</v>
      </c>
      <c r="J350" s="7">
        <v>8</v>
      </c>
      <c r="K350" s="7" t="s">
        <v>642</v>
      </c>
    </row>
    <row r="351" spans="1:11" x14ac:dyDescent="0.25">
      <c r="A351" s="7">
        <v>350</v>
      </c>
      <c r="B351" s="7" t="s">
        <v>46</v>
      </c>
      <c r="C351" s="7" t="s">
        <v>397</v>
      </c>
      <c r="D351" s="7" t="s">
        <v>398</v>
      </c>
      <c r="E351" s="7" t="s">
        <v>334</v>
      </c>
      <c r="F351" s="7" t="s">
        <v>145</v>
      </c>
      <c r="G351" s="7" t="s">
        <v>643</v>
      </c>
      <c r="H351" s="7">
        <v>10</v>
      </c>
      <c r="I351" s="7">
        <v>2</v>
      </c>
      <c r="J351" s="7">
        <v>20</v>
      </c>
      <c r="K351" s="7" t="s">
        <v>644</v>
      </c>
    </row>
    <row r="352" spans="1:11" x14ac:dyDescent="0.25">
      <c r="A352" s="7">
        <v>351</v>
      </c>
      <c r="B352" s="7" t="s">
        <v>46</v>
      </c>
      <c r="C352" s="7" t="s">
        <v>397</v>
      </c>
      <c r="D352" s="7" t="s">
        <v>398</v>
      </c>
      <c r="E352" s="7" t="s">
        <v>334</v>
      </c>
      <c r="F352" s="7" t="s">
        <v>145</v>
      </c>
      <c r="G352" s="7" t="s">
        <v>371</v>
      </c>
      <c r="H352" s="7">
        <v>2</v>
      </c>
      <c r="I352" s="7">
        <v>1</v>
      </c>
      <c r="J352" s="7">
        <v>2</v>
      </c>
      <c r="K352" s="7" t="s">
        <v>645</v>
      </c>
    </row>
    <row r="353" spans="1:11" x14ac:dyDescent="0.25">
      <c r="A353" s="7">
        <v>352</v>
      </c>
      <c r="B353" s="7" t="s">
        <v>46</v>
      </c>
      <c r="C353" s="7" t="s">
        <v>397</v>
      </c>
      <c r="D353" s="7" t="s">
        <v>398</v>
      </c>
      <c r="E353" s="7" t="s">
        <v>334</v>
      </c>
      <c r="F353" s="7" t="s">
        <v>145</v>
      </c>
      <c r="G353" s="7" t="s">
        <v>373</v>
      </c>
      <c r="H353" s="7">
        <v>8</v>
      </c>
      <c r="I353" s="7">
        <v>2</v>
      </c>
      <c r="J353" s="7">
        <v>16</v>
      </c>
      <c r="K353" s="7" t="s">
        <v>646</v>
      </c>
    </row>
    <row r="354" spans="1:11" x14ac:dyDescent="0.25">
      <c r="A354" s="7">
        <v>353</v>
      </c>
      <c r="B354" s="7" t="s">
        <v>46</v>
      </c>
      <c r="C354" s="7" t="s">
        <v>397</v>
      </c>
      <c r="D354" s="7" t="s">
        <v>398</v>
      </c>
      <c r="E354" s="7" t="s">
        <v>334</v>
      </c>
      <c r="F354" s="7" t="s">
        <v>145</v>
      </c>
      <c r="G354" s="7" t="s">
        <v>375</v>
      </c>
      <c r="H354" s="7">
        <v>6</v>
      </c>
      <c r="I354" s="7">
        <v>2</v>
      </c>
      <c r="J354" s="7">
        <v>12</v>
      </c>
      <c r="K354" s="7" t="s">
        <v>647</v>
      </c>
    </row>
    <row r="355" spans="1:11" x14ac:dyDescent="0.25">
      <c r="A355" s="7">
        <v>354</v>
      </c>
      <c r="B355" s="7" t="s">
        <v>46</v>
      </c>
      <c r="C355" s="7" t="s">
        <v>397</v>
      </c>
      <c r="D355" s="7" t="s">
        <v>398</v>
      </c>
      <c r="E355" s="7" t="s">
        <v>334</v>
      </c>
      <c r="F355" s="7" t="s">
        <v>145</v>
      </c>
      <c r="G355" s="7" t="s">
        <v>377</v>
      </c>
      <c r="H355" s="7">
        <v>2</v>
      </c>
      <c r="I355" s="7">
        <v>1</v>
      </c>
      <c r="J355" s="7">
        <v>2</v>
      </c>
      <c r="K355" s="7" t="s">
        <v>648</v>
      </c>
    </row>
    <row r="356" spans="1:11" x14ac:dyDescent="0.25">
      <c r="A356" s="7">
        <v>355</v>
      </c>
      <c r="B356" s="7" t="s">
        <v>46</v>
      </c>
      <c r="C356" s="7" t="s">
        <v>397</v>
      </c>
      <c r="D356" s="7" t="s">
        <v>398</v>
      </c>
      <c r="E356" s="7" t="s">
        <v>334</v>
      </c>
      <c r="F356" s="7" t="s">
        <v>145</v>
      </c>
      <c r="G356" s="7" t="s">
        <v>379</v>
      </c>
      <c r="H356" s="7">
        <v>2</v>
      </c>
      <c r="I356" s="7">
        <v>2</v>
      </c>
      <c r="J356" s="7">
        <v>4</v>
      </c>
      <c r="K356" s="7" t="s">
        <v>649</v>
      </c>
    </row>
    <row r="357" spans="1:11" x14ac:dyDescent="0.25">
      <c r="A357" s="7">
        <v>356</v>
      </c>
      <c r="B357" s="7" t="s">
        <v>46</v>
      </c>
      <c r="C357" s="7" t="s">
        <v>397</v>
      </c>
      <c r="D357" s="7" t="s">
        <v>398</v>
      </c>
      <c r="E357" s="7" t="s">
        <v>334</v>
      </c>
      <c r="F357" s="7" t="s">
        <v>145</v>
      </c>
      <c r="G357" s="7" t="s">
        <v>381</v>
      </c>
      <c r="H357" s="7">
        <v>4</v>
      </c>
      <c r="I357" s="7">
        <v>2</v>
      </c>
      <c r="J357" s="7">
        <v>8</v>
      </c>
      <c r="K357" s="7" t="s">
        <v>650</v>
      </c>
    </row>
    <row r="358" spans="1:11" x14ac:dyDescent="0.25">
      <c r="A358" s="7">
        <v>357</v>
      </c>
      <c r="B358" s="7" t="s">
        <v>46</v>
      </c>
      <c r="C358" s="7" t="s">
        <v>397</v>
      </c>
      <c r="D358" s="7" t="s">
        <v>398</v>
      </c>
      <c r="E358" s="7" t="s">
        <v>334</v>
      </c>
      <c r="F358" s="7" t="s">
        <v>145</v>
      </c>
      <c r="G358" s="7" t="s">
        <v>383</v>
      </c>
      <c r="H358" s="7">
        <v>2</v>
      </c>
      <c r="I358" s="7">
        <v>1</v>
      </c>
      <c r="J358" s="7">
        <v>2</v>
      </c>
      <c r="K358" s="7" t="s">
        <v>651</v>
      </c>
    </row>
    <row r="359" spans="1:11" x14ac:dyDescent="0.25">
      <c r="A359" s="7">
        <v>358</v>
      </c>
      <c r="B359" s="7" t="s">
        <v>46</v>
      </c>
      <c r="C359" s="7" t="s">
        <v>397</v>
      </c>
      <c r="D359" s="7" t="s">
        <v>398</v>
      </c>
      <c r="E359" s="7" t="s">
        <v>334</v>
      </c>
      <c r="F359" s="7" t="s">
        <v>145</v>
      </c>
      <c r="G359" s="7" t="s">
        <v>652</v>
      </c>
      <c r="H359" s="7">
        <v>4</v>
      </c>
      <c r="I359" s="7">
        <v>2</v>
      </c>
      <c r="J359" s="7">
        <v>8</v>
      </c>
      <c r="K359" s="7" t="s">
        <v>653</v>
      </c>
    </row>
    <row r="360" spans="1:11" x14ac:dyDescent="0.25">
      <c r="A360" s="7">
        <v>359</v>
      </c>
      <c r="B360" s="7" t="s">
        <v>46</v>
      </c>
      <c r="C360" s="7" t="s">
        <v>397</v>
      </c>
      <c r="D360" s="7" t="s">
        <v>398</v>
      </c>
      <c r="E360" s="7" t="s">
        <v>334</v>
      </c>
      <c r="F360" s="7" t="s">
        <v>145</v>
      </c>
      <c r="G360" s="7" t="s">
        <v>654</v>
      </c>
      <c r="H360" s="7">
        <v>2</v>
      </c>
      <c r="I360" s="7">
        <v>2</v>
      </c>
      <c r="J360" s="7">
        <v>4</v>
      </c>
      <c r="K360" s="7" t="s">
        <v>655</v>
      </c>
    </row>
    <row r="361" spans="1:11" x14ac:dyDescent="0.25">
      <c r="A361" s="7">
        <v>360</v>
      </c>
      <c r="B361" s="7" t="s">
        <v>46</v>
      </c>
      <c r="C361" s="7" t="s">
        <v>397</v>
      </c>
      <c r="D361" s="7" t="s">
        <v>398</v>
      </c>
      <c r="E361" s="7" t="s">
        <v>334</v>
      </c>
      <c r="F361" s="7" t="s">
        <v>145</v>
      </c>
      <c r="G361" s="7" t="s">
        <v>389</v>
      </c>
      <c r="H361" s="7">
        <v>1</v>
      </c>
      <c r="I361" s="7">
        <v>1</v>
      </c>
      <c r="J361" s="7">
        <v>1</v>
      </c>
      <c r="K361" s="7" t="s">
        <v>656</v>
      </c>
    </row>
    <row r="362" spans="1:11" x14ac:dyDescent="0.25">
      <c r="A362" s="7">
        <v>361</v>
      </c>
      <c r="B362" s="7" t="s">
        <v>657</v>
      </c>
      <c r="C362" s="7" t="s">
        <v>658</v>
      </c>
      <c r="D362" s="7" t="s">
        <v>659</v>
      </c>
      <c r="E362" s="7" t="s">
        <v>660</v>
      </c>
      <c r="F362" s="7" t="s">
        <v>49</v>
      </c>
      <c r="G362" s="7" t="s">
        <v>661</v>
      </c>
      <c r="H362" s="7">
        <v>1</v>
      </c>
      <c r="I362" s="7">
        <v>1</v>
      </c>
      <c r="J362" s="7">
        <v>1</v>
      </c>
      <c r="K362" s="7" t="s">
        <v>662</v>
      </c>
    </row>
    <row r="363" spans="1:11" x14ac:dyDescent="0.25">
      <c r="A363" s="7">
        <v>362</v>
      </c>
      <c r="B363" s="7" t="s">
        <v>657</v>
      </c>
      <c r="C363" s="7" t="s">
        <v>658</v>
      </c>
      <c r="D363" s="7" t="s">
        <v>659</v>
      </c>
      <c r="E363" s="7" t="s">
        <v>660</v>
      </c>
      <c r="F363" s="7" t="s">
        <v>49</v>
      </c>
      <c r="G363" s="7" t="s">
        <v>663</v>
      </c>
      <c r="H363" s="7">
        <v>1</v>
      </c>
      <c r="I363" s="7">
        <v>1</v>
      </c>
      <c r="J363" s="7">
        <v>1</v>
      </c>
      <c r="K363" s="7" t="s">
        <v>664</v>
      </c>
    </row>
    <row r="364" spans="1:11" x14ac:dyDescent="0.25">
      <c r="A364" s="7">
        <v>363</v>
      </c>
      <c r="B364" s="7" t="s">
        <v>657</v>
      </c>
      <c r="C364" s="7" t="s">
        <v>658</v>
      </c>
      <c r="D364" s="7" t="s">
        <v>659</v>
      </c>
      <c r="E364" s="7" t="s">
        <v>48</v>
      </c>
      <c r="F364" s="7" t="s">
        <v>49</v>
      </c>
      <c r="G364" s="7" t="s">
        <v>50</v>
      </c>
      <c r="H364" s="7">
        <v>1.5</v>
      </c>
      <c r="I364" s="7">
        <v>2</v>
      </c>
      <c r="J364" s="7">
        <v>3</v>
      </c>
      <c r="K364" s="7" t="s">
        <v>665</v>
      </c>
    </row>
    <row r="365" spans="1:11" x14ac:dyDescent="0.25">
      <c r="A365" s="7">
        <v>364</v>
      </c>
      <c r="B365" s="7" t="s">
        <v>657</v>
      </c>
      <c r="C365" s="7" t="s">
        <v>658</v>
      </c>
      <c r="D365" s="7" t="s">
        <v>659</v>
      </c>
      <c r="E365" s="7" t="s">
        <v>48</v>
      </c>
      <c r="F365" s="7" t="s">
        <v>49</v>
      </c>
      <c r="G365" s="7" t="s">
        <v>666</v>
      </c>
      <c r="H365" s="7">
        <v>12</v>
      </c>
      <c r="I365" s="7">
        <v>3</v>
      </c>
      <c r="J365" s="7">
        <v>36</v>
      </c>
      <c r="K365" s="7" t="s">
        <v>667</v>
      </c>
    </row>
    <row r="366" spans="1:11" x14ac:dyDescent="0.25">
      <c r="A366" s="7">
        <v>365</v>
      </c>
      <c r="B366" s="7" t="s">
        <v>657</v>
      </c>
      <c r="C366" s="7" t="s">
        <v>658</v>
      </c>
      <c r="D366" s="7" t="s">
        <v>659</v>
      </c>
      <c r="E366" s="7" t="s">
        <v>68</v>
      </c>
      <c r="F366" s="7" t="s">
        <v>49</v>
      </c>
      <c r="G366" s="7" t="s">
        <v>69</v>
      </c>
      <c r="H366" s="7">
        <v>13.5</v>
      </c>
      <c r="I366" s="7" t="s">
        <v>70</v>
      </c>
      <c r="J366" s="7">
        <v>39</v>
      </c>
      <c r="K366" s="7" t="s">
        <v>668</v>
      </c>
    </row>
    <row r="367" spans="1:11" x14ac:dyDescent="0.25">
      <c r="A367" s="7">
        <v>366</v>
      </c>
      <c r="B367" s="7" t="s">
        <v>657</v>
      </c>
      <c r="C367" s="7" t="s">
        <v>658</v>
      </c>
      <c r="D367" s="7" t="s">
        <v>659</v>
      </c>
      <c r="E367" s="7" t="s">
        <v>68</v>
      </c>
      <c r="F367" s="7" t="s">
        <v>49</v>
      </c>
      <c r="G367" s="7" t="s">
        <v>52</v>
      </c>
      <c r="H367" s="7">
        <v>3</v>
      </c>
      <c r="I367" s="7">
        <v>2</v>
      </c>
      <c r="J367" s="7">
        <v>6</v>
      </c>
      <c r="K367" s="7" t="s">
        <v>669</v>
      </c>
    </row>
    <row r="368" spans="1:11" x14ac:dyDescent="0.25">
      <c r="A368" s="7">
        <v>367</v>
      </c>
      <c r="B368" s="7" t="s">
        <v>657</v>
      </c>
      <c r="C368" s="7" t="s">
        <v>658</v>
      </c>
      <c r="D368" s="7" t="s">
        <v>659</v>
      </c>
      <c r="E368" s="7" t="s">
        <v>68</v>
      </c>
      <c r="F368" s="7" t="s">
        <v>49</v>
      </c>
      <c r="G368" s="7" t="s">
        <v>72</v>
      </c>
      <c r="H368" s="7">
        <v>1</v>
      </c>
      <c r="I368" s="7">
        <v>1</v>
      </c>
      <c r="J368" s="7">
        <v>1</v>
      </c>
      <c r="K368" s="7" t="s">
        <v>670</v>
      </c>
    </row>
    <row r="369" spans="1:11" x14ac:dyDescent="0.25">
      <c r="A369" s="7">
        <v>368</v>
      </c>
      <c r="B369" s="7" t="s">
        <v>657</v>
      </c>
      <c r="C369" s="7" t="s">
        <v>658</v>
      </c>
      <c r="D369" s="7" t="s">
        <v>659</v>
      </c>
      <c r="E369" s="7" t="s">
        <v>68</v>
      </c>
      <c r="F369" s="7" t="s">
        <v>49</v>
      </c>
      <c r="G369" s="7" t="s">
        <v>82</v>
      </c>
      <c r="H369" s="7">
        <v>6</v>
      </c>
      <c r="I369" s="7">
        <v>2</v>
      </c>
      <c r="J369" s="7">
        <v>12</v>
      </c>
      <c r="K369" s="7" t="s">
        <v>671</v>
      </c>
    </row>
    <row r="370" spans="1:11" x14ac:dyDescent="0.25">
      <c r="A370" s="7">
        <v>369</v>
      </c>
      <c r="B370" s="7" t="s">
        <v>657</v>
      </c>
      <c r="C370" s="7" t="s">
        <v>658</v>
      </c>
      <c r="D370" s="7" t="s">
        <v>659</v>
      </c>
      <c r="E370" s="7" t="s">
        <v>68</v>
      </c>
      <c r="F370" s="7" t="s">
        <v>49</v>
      </c>
      <c r="G370" s="7" t="s">
        <v>672</v>
      </c>
      <c r="H370" s="7">
        <v>18</v>
      </c>
      <c r="I370" s="7">
        <v>2</v>
      </c>
      <c r="J370" s="7">
        <v>36</v>
      </c>
      <c r="K370" s="7" t="s">
        <v>673</v>
      </c>
    </row>
    <row r="371" spans="1:11" x14ac:dyDescent="0.25">
      <c r="A371" s="7">
        <v>370</v>
      </c>
      <c r="B371" s="7" t="s">
        <v>657</v>
      </c>
      <c r="C371" s="7" t="s">
        <v>658</v>
      </c>
      <c r="D371" s="7" t="s">
        <v>659</v>
      </c>
      <c r="E371" s="7" t="s">
        <v>68</v>
      </c>
      <c r="F371" s="7" t="s">
        <v>49</v>
      </c>
      <c r="G371" s="7" t="s">
        <v>54</v>
      </c>
      <c r="H371" s="7">
        <v>0.5</v>
      </c>
      <c r="I371" s="7">
        <v>1</v>
      </c>
      <c r="J371" s="7">
        <v>0.5</v>
      </c>
      <c r="K371" s="7" t="s">
        <v>674</v>
      </c>
    </row>
    <row r="372" spans="1:11" x14ac:dyDescent="0.25">
      <c r="A372" s="7">
        <v>371</v>
      </c>
      <c r="B372" s="7" t="s">
        <v>657</v>
      </c>
      <c r="C372" s="7" t="s">
        <v>658</v>
      </c>
      <c r="D372" s="7" t="s">
        <v>659</v>
      </c>
      <c r="E372" s="7" t="s">
        <v>88</v>
      </c>
      <c r="F372" s="7" t="s">
        <v>49</v>
      </c>
      <c r="G372" s="7" t="s">
        <v>89</v>
      </c>
      <c r="H372" s="7">
        <v>42</v>
      </c>
      <c r="I372" s="7" t="s">
        <v>70</v>
      </c>
      <c r="J372" s="7">
        <v>94.5</v>
      </c>
      <c r="K372" s="7" t="s">
        <v>675</v>
      </c>
    </row>
    <row r="373" spans="1:11" x14ac:dyDescent="0.25">
      <c r="A373" s="7">
        <v>372</v>
      </c>
      <c r="B373" s="7" t="s">
        <v>657</v>
      </c>
      <c r="C373" s="7" t="s">
        <v>658</v>
      </c>
      <c r="D373" s="7" t="s">
        <v>659</v>
      </c>
      <c r="E373" s="7" t="s">
        <v>88</v>
      </c>
      <c r="F373" s="7" t="s">
        <v>49</v>
      </c>
      <c r="G373" s="7" t="s">
        <v>676</v>
      </c>
      <c r="H373" s="7">
        <v>3</v>
      </c>
      <c r="I373" s="7">
        <v>2</v>
      </c>
      <c r="J373" s="7">
        <v>6</v>
      </c>
      <c r="K373" s="7" t="s">
        <v>677</v>
      </c>
    </row>
    <row r="374" spans="1:11" x14ac:dyDescent="0.25">
      <c r="A374" s="7">
        <v>373</v>
      </c>
      <c r="B374" s="7" t="s">
        <v>657</v>
      </c>
      <c r="C374" s="7" t="s">
        <v>658</v>
      </c>
      <c r="D374" s="7" t="s">
        <v>659</v>
      </c>
      <c r="E374" s="7" t="s">
        <v>88</v>
      </c>
      <c r="F374" s="7" t="s">
        <v>49</v>
      </c>
      <c r="G374" s="7" t="s">
        <v>91</v>
      </c>
      <c r="H374" s="7">
        <v>3</v>
      </c>
      <c r="I374" s="7">
        <v>2</v>
      </c>
      <c r="J374" s="7">
        <v>6</v>
      </c>
      <c r="K374" s="7" t="s">
        <v>678</v>
      </c>
    </row>
    <row r="375" spans="1:11" x14ac:dyDescent="0.25">
      <c r="A375" s="7">
        <v>374</v>
      </c>
      <c r="B375" s="7" t="s">
        <v>657</v>
      </c>
      <c r="C375" s="7" t="s">
        <v>658</v>
      </c>
      <c r="D375" s="7" t="s">
        <v>659</v>
      </c>
      <c r="E375" s="7" t="s">
        <v>88</v>
      </c>
      <c r="F375" s="7" t="s">
        <v>49</v>
      </c>
      <c r="G375" s="7" t="s">
        <v>679</v>
      </c>
      <c r="H375" s="7">
        <v>18</v>
      </c>
      <c r="I375" s="7">
        <v>3</v>
      </c>
      <c r="J375" s="7">
        <v>54</v>
      </c>
      <c r="K375" s="7" t="s">
        <v>680</v>
      </c>
    </row>
    <row r="376" spans="1:11" x14ac:dyDescent="0.25">
      <c r="A376" s="7">
        <v>375</v>
      </c>
      <c r="B376" s="7" t="s">
        <v>657</v>
      </c>
      <c r="C376" s="7" t="s">
        <v>658</v>
      </c>
      <c r="D376" s="7" t="s">
        <v>659</v>
      </c>
      <c r="E376" s="7" t="s">
        <v>88</v>
      </c>
      <c r="F376" s="7" t="s">
        <v>49</v>
      </c>
      <c r="G376" s="7" t="s">
        <v>681</v>
      </c>
      <c r="H376" s="7">
        <v>2</v>
      </c>
      <c r="I376" s="7">
        <v>1</v>
      </c>
      <c r="J376" s="7">
        <v>2</v>
      </c>
      <c r="K376" s="7" t="s">
        <v>682</v>
      </c>
    </row>
    <row r="377" spans="1:11" x14ac:dyDescent="0.25">
      <c r="A377" s="7">
        <v>376</v>
      </c>
      <c r="B377" s="7" t="s">
        <v>657</v>
      </c>
      <c r="C377" s="7" t="s">
        <v>658</v>
      </c>
      <c r="D377" s="7" t="s">
        <v>659</v>
      </c>
      <c r="E377" s="7" t="s">
        <v>88</v>
      </c>
      <c r="F377" s="7" t="s">
        <v>49</v>
      </c>
      <c r="G377" s="7" t="s">
        <v>267</v>
      </c>
      <c r="H377" s="7">
        <v>6</v>
      </c>
      <c r="I377" s="7">
        <v>2</v>
      </c>
      <c r="J377" s="7">
        <v>12</v>
      </c>
      <c r="K377" s="7" t="s">
        <v>683</v>
      </c>
    </row>
    <row r="378" spans="1:11" x14ac:dyDescent="0.25">
      <c r="A378" s="7">
        <v>377</v>
      </c>
      <c r="B378" s="7" t="s">
        <v>657</v>
      </c>
      <c r="C378" s="7" t="s">
        <v>658</v>
      </c>
      <c r="D378" s="7" t="s">
        <v>659</v>
      </c>
      <c r="E378" s="7" t="s">
        <v>88</v>
      </c>
      <c r="F378" s="7" t="s">
        <v>49</v>
      </c>
      <c r="G378" s="7" t="s">
        <v>97</v>
      </c>
      <c r="H378" s="7">
        <v>6</v>
      </c>
      <c r="I378" s="7">
        <v>2</v>
      </c>
      <c r="J378" s="7">
        <v>12</v>
      </c>
      <c r="K378" s="7" t="s">
        <v>684</v>
      </c>
    </row>
    <row r="379" spans="1:11" x14ac:dyDescent="0.25">
      <c r="A379" s="7">
        <v>378</v>
      </c>
      <c r="B379" s="7" t="s">
        <v>657</v>
      </c>
      <c r="C379" s="7" t="s">
        <v>658</v>
      </c>
      <c r="D379" s="7" t="s">
        <v>659</v>
      </c>
      <c r="E379" s="7" t="s">
        <v>685</v>
      </c>
      <c r="F379" s="7" t="s">
        <v>49</v>
      </c>
      <c r="G379" s="7" t="s">
        <v>102</v>
      </c>
      <c r="H379" s="7">
        <v>80</v>
      </c>
      <c r="I379" s="7" t="s">
        <v>70</v>
      </c>
      <c r="J379" s="7">
        <v>186.5</v>
      </c>
      <c r="K379" s="7" t="s">
        <v>686</v>
      </c>
    </row>
    <row r="380" spans="1:11" x14ac:dyDescent="0.25">
      <c r="A380" s="7">
        <v>379</v>
      </c>
      <c r="B380" s="7" t="s">
        <v>657</v>
      </c>
      <c r="C380" s="7" t="s">
        <v>658</v>
      </c>
      <c r="D380" s="7" t="s">
        <v>659</v>
      </c>
      <c r="E380" s="7" t="s">
        <v>685</v>
      </c>
      <c r="F380" s="7" t="s">
        <v>49</v>
      </c>
      <c r="G380" s="7" t="s">
        <v>687</v>
      </c>
      <c r="H380" s="7">
        <v>9</v>
      </c>
      <c r="I380" s="7">
        <v>2</v>
      </c>
      <c r="J380" s="7">
        <v>18</v>
      </c>
      <c r="K380" s="7" t="s">
        <v>688</v>
      </c>
    </row>
    <row r="381" spans="1:11" x14ac:dyDescent="0.25">
      <c r="A381" s="7">
        <v>380</v>
      </c>
      <c r="B381" s="7" t="s">
        <v>657</v>
      </c>
      <c r="C381" s="7" t="s">
        <v>658</v>
      </c>
      <c r="D381" s="7" t="s">
        <v>659</v>
      </c>
      <c r="E381" s="7" t="s">
        <v>685</v>
      </c>
      <c r="F381" s="7" t="s">
        <v>49</v>
      </c>
      <c r="G381" s="7" t="s">
        <v>689</v>
      </c>
      <c r="H381" s="7">
        <v>3</v>
      </c>
      <c r="I381" s="7">
        <v>2</v>
      </c>
      <c r="J381" s="7">
        <v>6</v>
      </c>
      <c r="K381" s="7" t="s">
        <v>690</v>
      </c>
    </row>
    <row r="382" spans="1:11" x14ac:dyDescent="0.25">
      <c r="A382" s="7">
        <v>381</v>
      </c>
      <c r="B382" s="7" t="s">
        <v>657</v>
      </c>
      <c r="C382" s="7" t="s">
        <v>658</v>
      </c>
      <c r="D382" s="7" t="s">
        <v>659</v>
      </c>
      <c r="E382" s="7" t="s">
        <v>685</v>
      </c>
      <c r="F382" s="7" t="s">
        <v>49</v>
      </c>
      <c r="G382" s="7" t="s">
        <v>691</v>
      </c>
      <c r="H382" s="7">
        <v>3</v>
      </c>
      <c r="I382" s="7">
        <v>2</v>
      </c>
      <c r="J382" s="7">
        <v>6</v>
      </c>
      <c r="K382" s="7" t="s">
        <v>692</v>
      </c>
    </row>
    <row r="383" spans="1:11" x14ac:dyDescent="0.25">
      <c r="A383" s="7">
        <v>382</v>
      </c>
      <c r="B383" s="7" t="s">
        <v>657</v>
      </c>
      <c r="C383" s="7" t="s">
        <v>658</v>
      </c>
      <c r="D383" s="7" t="s">
        <v>659</v>
      </c>
      <c r="E383" s="7" t="s">
        <v>685</v>
      </c>
      <c r="F383" s="7" t="s">
        <v>49</v>
      </c>
      <c r="G383" s="7" t="s">
        <v>110</v>
      </c>
      <c r="H383" s="7">
        <v>6</v>
      </c>
      <c r="I383" s="7">
        <v>2</v>
      </c>
      <c r="J383" s="7">
        <v>12</v>
      </c>
      <c r="K383" s="7" t="s">
        <v>693</v>
      </c>
    </row>
    <row r="384" spans="1:11" x14ac:dyDescent="0.25">
      <c r="A384" s="7">
        <v>383</v>
      </c>
      <c r="B384" s="7" t="s">
        <v>657</v>
      </c>
      <c r="C384" s="7" t="s">
        <v>658</v>
      </c>
      <c r="D384" s="7" t="s">
        <v>659</v>
      </c>
      <c r="E384" s="7" t="s">
        <v>685</v>
      </c>
      <c r="F384" s="7" t="s">
        <v>49</v>
      </c>
      <c r="G384" s="7" t="s">
        <v>112</v>
      </c>
      <c r="H384" s="7">
        <v>3</v>
      </c>
      <c r="I384" s="7">
        <v>2</v>
      </c>
      <c r="J384" s="7">
        <v>6</v>
      </c>
      <c r="K384" s="7" t="s">
        <v>694</v>
      </c>
    </row>
    <row r="385" spans="1:11" x14ac:dyDescent="0.25">
      <c r="A385" s="7">
        <v>384</v>
      </c>
      <c r="B385" s="7" t="s">
        <v>657</v>
      </c>
      <c r="C385" s="7" t="s">
        <v>658</v>
      </c>
      <c r="D385" s="7" t="s">
        <v>659</v>
      </c>
      <c r="E385" s="7" t="s">
        <v>695</v>
      </c>
      <c r="F385" s="7" t="s">
        <v>145</v>
      </c>
      <c r="G385" s="7" t="s">
        <v>305</v>
      </c>
      <c r="H385" s="7">
        <v>8</v>
      </c>
      <c r="I385" s="7">
        <v>2</v>
      </c>
      <c r="J385" s="7">
        <v>16</v>
      </c>
      <c r="K385" s="7" t="s">
        <v>696</v>
      </c>
    </row>
    <row r="386" spans="1:11" x14ac:dyDescent="0.25">
      <c r="A386" s="7">
        <v>385</v>
      </c>
      <c r="B386" s="7" t="s">
        <v>657</v>
      </c>
      <c r="C386" s="7" t="s">
        <v>658</v>
      </c>
      <c r="D386" s="7" t="s">
        <v>659</v>
      </c>
      <c r="E386" s="7" t="s">
        <v>695</v>
      </c>
      <c r="F386" s="7" t="s">
        <v>145</v>
      </c>
      <c r="G386" s="7" t="s">
        <v>118</v>
      </c>
      <c r="H386" s="7">
        <v>12</v>
      </c>
      <c r="I386" s="7">
        <v>3</v>
      </c>
      <c r="J386" s="7">
        <v>36</v>
      </c>
      <c r="K386" s="7" t="s">
        <v>697</v>
      </c>
    </row>
    <row r="387" spans="1:11" x14ac:dyDescent="0.25">
      <c r="A387" s="7">
        <v>386</v>
      </c>
      <c r="B387" s="7" t="s">
        <v>657</v>
      </c>
      <c r="C387" s="7" t="s">
        <v>658</v>
      </c>
      <c r="D387" s="7" t="s">
        <v>659</v>
      </c>
      <c r="E387" s="7" t="s">
        <v>695</v>
      </c>
      <c r="F387" s="7" t="s">
        <v>145</v>
      </c>
      <c r="G387" s="7" t="s">
        <v>698</v>
      </c>
      <c r="H387" s="7">
        <v>2</v>
      </c>
      <c r="I387" s="7">
        <v>2</v>
      </c>
      <c r="J387" s="7">
        <v>4</v>
      </c>
      <c r="K387" s="7" t="s">
        <v>699</v>
      </c>
    </row>
    <row r="388" spans="1:11" x14ac:dyDescent="0.25">
      <c r="A388" s="7">
        <v>387</v>
      </c>
      <c r="B388" s="7" t="s">
        <v>657</v>
      </c>
      <c r="C388" s="7" t="s">
        <v>658</v>
      </c>
      <c r="D388" s="7" t="s">
        <v>659</v>
      </c>
      <c r="E388" s="7" t="s">
        <v>695</v>
      </c>
      <c r="F388" s="7" t="s">
        <v>145</v>
      </c>
      <c r="G388" s="7" t="s">
        <v>700</v>
      </c>
      <c r="H388" s="7">
        <v>36</v>
      </c>
      <c r="I388" s="7">
        <v>3</v>
      </c>
      <c r="J388" s="7">
        <v>108</v>
      </c>
      <c r="K388" s="7" t="s">
        <v>701</v>
      </c>
    </row>
    <row r="389" spans="1:11" x14ac:dyDescent="0.25">
      <c r="A389" s="7">
        <v>388</v>
      </c>
      <c r="B389" s="7" t="s">
        <v>657</v>
      </c>
      <c r="C389" s="7" t="s">
        <v>658</v>
      </c>
      <c r="D389" s="7" t="s">
        <v>659</v>
      </c>
      <c r="E389" s="7" t="s">
        <v>695</v>
      </c>
      <c r="F389" s="7" t="s">
        <v>145</v>
      </c>
      <c r="G389" s="7" t="s">
        <v>120</v>
      </c>
      <c r="H389" s="7">
        <v>102</v>
      </c>
      <c r="I389" s="7">
        <v>3</v>
      </c>
      <c r="J389" s="7">
        <v>306</v>
      </c>
      <c r="K389" s="7" t="s">
        <v>702</v>
      </c>
    </row>
    <row r="390" spans="1:11" x14ac:dyDescent="0.25">
      <c r="A390" s="7">
        <v>389</v>
      </c>
      <c r="B390" s="7" t="s">
        <v>657</v>
      </c>
      <c r="C390" s="7" t="s">
        <v>658</v>
      </c>
      <c r="D390" s="7" t="s">
        <v>659</v>
      </c>
      <c r="E390" s="7" t="s">
        <v>695</v>
      </c>
      <c r="F390" s="7" t="s">
        <v>145</v>
      </c>
      <c r="G390" s="7" t="s">
        <v>703</v>
      </c>
      <c r="H390" s="7">
        <v>8</v>
      </c>
      <c r="I390" s="7">
        <v>2</v>
      </c>
      <c r="J390" s="7">
        <v>16</v>
      </c>
      <c r="K390" s="7" t="s">
        <v>704</v>
      </c>
    </row>
    <row r="391" spans="1:11" x14ac:dyDescent="0.25">
      <c r="A391" s="7">
        <v>390</v>
      </c>
      <c r="B391" s="7" t="s">
        <v>657</v>
      </c>
      <c r="C391" s="7" t="s">
        <v>658</v>
      </c>
      <c r="D391" s="7" t="s">
        <v>659</v>
      </c>
      <c r="E391" s="7" t="s">
        <v>695</v>
      </c>
      <c r="F391" s="7" t="s">
        <v>145</v>
      </c>
      <c r="G391" s="7" t="s">
        <v>705</v>
      </c>
      <c r="H391" s="7">
        <v>18</v>
      </c>
      <c r="I391" s="7">
        <v>3</v>
      </c>
      <c r="J391" s="7">
        <v>54</v>
      </c>
      <c r="K391" s="7" t="s">
        <v>706</v>
      </c>
    </row>
    <row r="392" spans="1:11" x14ac:dyDescent="0.25">
      <c r="A392" s="7">
        <v>391</v>
      </c>
      <c r="B392" s="7" t="s">
        <v>657</v>
      </c>
      <c r="C392" s="7" t="s">
        <v>658</v>
      </c>
      <c r="D392" s="7" t="s">
        <v>659</v>
      </c>
      <c r="E392" s="7" t="s">
        <v>695</v>
      </c>
      <c r="F392" s="7" t="s">
        <v>145</v>
      </c>
      <c r="G392" s="7" t="s">
        <v>261</v>
      </c>
      <c r="H392" s="7">
        <v>6</v>
      </c>
      <c r="I392" s="7">
        <v>2</v>
      </c>
      <c r="J392" s="7">
        <v>12</v>
      </c>
      <c r="K392" s="7" t="s">
        <v>707</v>
      </c>
    </row>
    <row r="393" spans="1:11" x14ac:dyDescent="0.25">
      <c r="A393" s="7">
        <v>392</v>
      </c>
      <c r="B393" s="7" t="s">
        <v>657</v>
      </c>
      <c r="C393" s="7" t="s">
        <v>658</v>
      </c>
      <c r="D393" s="7" t="s">
        <v>659</v>
      </c>
      <c r="E393" s="7" t="s">
        <v>695</v>
      </c>
      <c r="F393" s="7" t="s">
        <v>145</v>
      </c>
      <c r="G393" s="7" t="s">
        <v>293</v>
      </c>
      <c r="H393" s="7">
        <v>18</v>
      </c>
      <c r="I393" s="7">
        <v>2</v>
      </c>
      <c r="J393" s="7">
        <v>36</v>
      </c>
      <c r="K393" s="7" t="s">
        <v>708</v>
      </c>
    </row>
    <row r="394" spans="1:11" x14ac:dyDescent="0.25">
      <c r="A394" s="7">
        <v>393</v>
      </c>
      <c r="B394" s="7" t="s">
        <v>657</v>
      </c>
      <c r="C394" s="7" t="s">
        <v>658</v>
      </c>
      <c r="D394" s="7" t="s">
        <v>659</v>
      </c>
      <c r="E394" s="7" t="s">
        <v>695</v>
      </c>
      <c r="F394" s="7" t="s">
        <v>145</v>
      </c>
      <c r="G394" s="7" t="s">
        <v>295</v>
      </c>
      <c r="H394" s="7">
        <v>2</v>
      </c>
      <c r="I394" s="7">
        <v>2</v>
      </c>
      <c r="J394" s="7">
        <v>4</v>
      </c>
      <c r="K394" s="7" t="s">
        <v>709</v>
      </c>
    </row>
    <row r="395" spans="1:11" x14ac:dyDescent="0.25">
      <c r="A395" s="7">
        <v>394</v>
      </c>
      <c r="B395" s="7" t="s">
        <v>657</v>
      </c>
      <c r="C395" s="7" t="s">
        <v>658</v>
      </c>
      <c r="D395" s="7" t="s">
        <v>659</v>
      </c>
      <c r="E395" s="7" t="s">
        <v>695</v>
      </c>
      <c r="F395" s="7" t="s">
        <v>145</v>
      </c>
      <c r="G395" s="7" t="s">
        <v>311</v>
      </c>
      <c r="H395" s="7">
        <v>9</v>
      </c>
      <c r="I395" s="7">
        <v>2</v>
      </c>
      <c r="J395" s="7">
        <v>18</v>
      </c>
      <c r="K395" s="7" t="s">
        <v>710</v>
      </c>
    </row>
    <row r="396" spans="1:11" x14ac:dyDescent="0.25">
      <c r="A396" s="7">
        <v>395</v>
      </c>
      <c r="B396" s="7" t="s">
        <v>657</v>
      </c>
      <c r="C396" s="7" t="s">
        <v>658</v>
      </c>
      <c r="D396" s="7" t="s">
        <v>659</v>
      </c>
      <c r="E396" s="7" t="s">
        <v>695</v>
      </c>
      <c r="F396" s="7" t="s">
        <v>145</v>
      </c>
      <c r="G396" s="7" t="s">
        <v>124</v>
      </c>
      <c r="H396" s="7">
        <v>36</v>
      </c>
      <c r="I396" s="7">
        <v>2</v>
      </c>
      <c r="J396" s="7">
        <v>72</v>
      </c>
      <c r="K396" s="7" t="s">
        <v>711</v>
      </c>
    </row>
    <row r="397" spans="1:11" x14ac:dyDescent="0.25">
      <c r="A397" s="7">
        <v>396</v>
      </c>
      <c r="B397" s="7" t="s">
        <v>657</v>
      </c>
      <c r="C397" s="7" t="s">
        <v>658</v>
      </c>
      <c r="D397" s="7" t="s">
        <v>659</v>
      </c>
      <c r="E397" s="7" t="s">
        <v>695</v>
      </c>
      <c r="F397" s="7" t="s">
        <v>145</v>
      </c>
      <c r="G397" s="7" t="s">
        <v>450</v>
      </c>
      <c r="H397" s="7">
        <v>18</v>
      </c>
      <c r="I397" s="7">
        <v>2</v>
      </c>
      <c r="J397" s="7">
        <v>36</v>
      </c>
      <c r="K397" s="7" t="s">
        <v>712</v>
      </c>
    </row>
    <row r="398" spans="1:11" x14ac:dyDescent="0.25">
      <c r="A398" s="7">
        <v>397</v>
      </c>
      <c r="B398" s="7" t="s">
        <v>657</v>
      </c>
      <c r="C398" s="7" t="s">
        <v>658</v>
      </c>
      <c r="D398" s="7" t="s">
        <v>659</v>
      </c>
      <c r="E398" s="7" t="s">
        <v>695</v>
      </c>
      <c r="F398" s="7" t="s">
        <v>145</v>
      </c>
      <c r="G398" s="7" t="s">
        <v>126</v>
      </c>
      <c r="H398" s="7">
        <v>24</v>
      </c>
      <c r="I398" s="7">
        <v>2</v>
      </c>
      <c r="J398" s="7">
        <v>48</v>
      </c>
      <c r="K398" s="7" t="s">
        <v>713</v>
      </c>
    </row>
    <row r="399" spans="1:11" x14ac:dyDescent="0.25">
      <c r="A399" s="7">
        <v>398</v>
      </c>
      <c r="B399" s="7" t="s">
        <v>657</v>
      </c>
      <c r="C399" s="7" t="s">
        <v>658</v>
      </c>
      <c r="D399" s="7" t="s">
        <v>659</v>
      </c>
      <c r="E399" s="7" t="s">
        <v>695</v>
      </c>
      <c r="F399" s="7" t="s">
        <v>145</v>
      </c>
      <c r="G399" s="7" t="s">
        <v>128</v>
      </c>
      <c r="H399" s="7">
        <v>24</v>
      </c>
      <c r="I399" s="7">
        <v>2</v>
      </c>
      <c r="J399" s="7">
        <v>48</v>
      </c>
      <c r="K399" s="7" t="s">
        <v>714</v>
      </c>
    </row>
    <row r="400" spans="1:11" x14ac:dyDescent="0.25">
      <c r="A400" s="7">
        <v>399</v>
      </c>
      <c r="B400" s="7" t="s">
        <v>657</v>
      </c>
      <c r="C400" s="7" t="s">
        <v>658</v>
      </c>
      <c r="D400" s="7" t="s">
        <v>659</v>
      </c>
      <c r="E400" s="7" t="s">
        <v>695</v>
      </c>
      <c r="F400" s="7" t="s">
        <v>145</v>
      </c>
      <c r="G400" s="7" t="s">
        <v>715</v>
      </c>
      <c r="H400" s="7">
        <v>18</v>
      </c>
      <c r="I400" s="7">
        <v>2</v>
      </c>
      <c r="J400" s="7">
        <v>36</v>
      </c>
      <c r="K400" s="7" t="s">
        <v>716</v>
      </c>
    </row>
    <row r="401" spans="1:11" x14ac:dyDescent="0.25">
      <c r="A401" s="7">
        <v>400</v>
      </c>
      <c r="B401" s="7" t="s">
        <v>657</v>
      </c>
      <c r="C401" s="7" t="s">
        <v>658</v>
      </c>
      <c r="D401" s="7" t="s">
        <v>659</v>
      </c>
      <c r="E401" s="7" t="s">
        <v>695</v>
      </c>
      <c r="F401" s="7" t="s">
        <v>145</v>
      </c>
      <c r="G401" s="7" t="s">
        <v>717</v>
      </c>
      <c r="H401" s="7">
        <v>12</v>
      </c>
      <c r="I401" s="7">
        <v>2</v>
      </c>
      <c r="J401" s="7">
        <v>24</v>
      </c>
      <c r="K401" s="7" t="s">
        <v>718</v>
      </c>
    </row>
    <row r="402" spans="1:11" x14ac:dyDescent="0.25">
      <c r="A402" s="7">
        <v>401</v>
      </c>
      <c r="B402" s="7" t="s">
        <v>657</v>
      </c>
      <c r="C402" s="7" t="s">
        <v>658</v>
      </c>
      <c r="D402" s="7" t="s">
        <v>659</v>
      </c>
      <c r="E402" s="7" t="s">
        <v>695</v>
      </c>
      <c r="F402" s="7" t="s">
        <v>145</v>
      </c>
      <c r="G402" s="7" t="s">
        <v>719</v>
      </c>
      <c r="H402" s="7">
        <v>8</v>
      </c>
      <c r="I402" s="7">
        <v>2</v>
      </c>
      <c r="J402" s="7">
        <v>16</v>
      </c>
      <c r="K402" s="7" t="s">
        <v>720</v>
      </c>
    </row>
    <row r="403" spans="1:11" x14ac:dyDescent="0.25">
      <c r="A403" s="7">
        <v>402</v>
      </c>
      <c r="B403" s="7" t="s">
        <v>657</v>
      </c>
      <c r="C403" s="7" t="s">
        <v>658</v>
      </c>
      <c r="D403" s="7" t="s">
        <v>659</v>
      </c>
      <c r="E403" s="7" t="s">
        <v>721</v>
      </c>
      <c r="F403" s="7" t="s">
        <v>145</v>
      </c>
      <c r="G403" s="7" t="s">
        <v>263</v>
      </c>
      <c r="H403" s="7">
        <v>4</v>
      </c>
      <c r="I403" s="7">
        <v>2</v>
      </c>
      <c r="J403" s="7">
        <v>8</v>
      </c>
      <c r="K403" s="7" t="s">
        <v>722</v>
      </c>
    </row>
    <row r="404" spans="1:11" x14ac:dyDescent="0.25">
      <c r="A404" s="7">
        <v>403</v>
      </c>
      <c r="B404" s="7" t="s">
        <v>657</v>
      </c>
      <c r="C404" s="7" t="s">
        <v>658</v>
      </c>
      <c r="D404" s="7" t="s">
        <v>659</v>
      </c>
      <c r="E404" s="7" t="s">
        <v>721</v>
      </c>
      <c r="F404" s="7" t="s">
        <v>145</v>
      </c>
      <c r="G404" s="7" t="s">
        <v>265</v>
      </c>
      <c r="H404" s="7">
        <v>6</v>
      </c>
      <c r="I404" s="7">
        <v>2</v>
      </c>
      <c r="J404" s="7">
        <v>12</v>
      </c>
      <c r="K404" s="7" t="s">
        <v>723</v>
      </c>
    </row>
    <row r="405" spans="1:11" x14ac:dyDescent="0.25">
      <c r="A405" s="7">
        <v>404</v>
      </c>
      <c r="B405" s="7" t="s">
        <v>657</v>
      </c>
      <c r="C405" s="7" t="s">
        <v>658</v>
      </c>
      <c r="D405" s="7" t="s">
        <v>659</v>
      </c>
      <c r="E405" s="7" t="s">
        <v>721</v>
      </c>
      <c r="F405" s="7" t="s">
        <v>145</v>
      </c>
      <c r="G405" s="7" t="s">
        <v>575</v>
      </c>
      <c r="H405" s="7">
        <v>4</v>
      </c>
      <c r="I405" s="7">
        <v>2</v>
      </c>
      <c r="J405" s="7">
        <v>8</v>
      </c>
      <c r="K405" s="7" t="s">
        <v>724</v>
      </c>
    </row>
    <row r="406" spans="1:11" x14ac:dyDescent="0.25">
      <c r="A406" s="7">
        <v>405</v>
      </c>
      <c r="B406" s="7" t="s">
        <v>657</v>
      </c>
      <c r="C406" s="7" t="s">
        <v>658</v>
      </c>
      <c r="D406" s="7" t="s">
        <v>659</v>
      </c>
      <c r="E406" s="7" t="s">
        <v>721</v>
      </c>
      <c r="F406" s="7" t="s">
        <v>145</v>
      </c>
      <c r="G406" s="7" t="s">
        <v>577</v>
      </c>
      <c r="H406" s="7">
        <v>4</v>
      </c>
      <c r="I406" s="7">
        <v>2</v>
      </c>
      <c r="J406" s="7">
        <v>8</v>
      </c>
      <c r="K406" s="7" t="s">
        <v>725</v>
      </c>
    </row>
    <row r="407" spans="1:11" x14ac:dyDescent="0.25">
      <c r="A407" s="7">
        <v>406</v>
      </c>
      <c r="B407" s="7" t="s">
        <v>657</v>
      </c>
      <c r="C407" s="7" t="s">
        <v>658</v>
      </c>
      <c r="D407" s="7" t="s">
        <v>659</v>
      </c>
      <c r="E407" s="7" t="s">
        <v>721</v>
      </c>
      <c r="F407" s="7" t="s">
        <v>145</v>
      </c>
      <c r="G407" s="7" t="s">
        <v>275</v>
      </c>
      <c r="H407" s="7">
        <v>4</v>
      </c>
      <c r="I407" s="7">
        <v>2</v>
      </c>
      <c r="J407" s="7">
        <v>8</v>
      </c>
      <c r="K407" s="7" t="s">
        <v>726</v>
      </c>
    </row>
    <row r="408" spans="1:11" x14ac:dyDescent="0.25">
      <c r="A408" s="7">
        <v>407</v>
      </c>
      <c r="B408" s="7" t="s">
        <v>657</v>
      </c>
      <c r="C408" s="7" t="s">
        <v>658</v>
      </c>
      <c r="D408" s="7" t="s">
        <v>659</v>
      </c>
      <c r="E408" s="7" t="s">
        <v>721</v>
      </c>
      <c r="F408" s="7" t="s">
        <v>145</v>
      </c>
      <c r="G408" s="7" t="s">
        <v>279</v>
      </c>
      <c r="H408" s="7">
        <v>6</v>
      </c>
      <c r="I408" s="7">
        <v>2</v>
      </c>
      <c r="J408" s="7">
        <v>12</v>
      </c>
      <c r="K408" s="7" t="s">
        <v>727</v>
      </c>
    </row>
    <row r="409" spans="1:11" x14ac:dyDescent="0.25">
      <c r="A409" s="7">
        <v>408</v>
      </c>
      <c r="B409" s="7" t="s">
        <v>657</v>
      </c>
      <c r="C409" s="7" t="s">
        <v>658</v>
      </c>
      <c r="D409" s="7" t="s">
        <v>659</v>
      </c>
      <c r="E409" s="7" t="s">
        <v>721</v>
      </c>
      <c r="F409" s="7" t="s">
        <v>145</v>
      </c>
      <c r="G409" s="7" t="s">
        <v>728</v>
      </c>
      <c r="H409" s="7">
        <v>2</v>
      </c>
      <c r="I409" s="7">
        <v>1</v>
      </c>
      <c r="J409" s="7">
        <v>2</v>
      </c>
      <c r="K409" s="7" t="s">
        <v>729</v>
      </c>
    </row>
    <row r="410" spans="1:11" x14ac:dyDescent="0.25">
      <c r="A410" s="7">
        <v>409</v>
      </c>
      <c r="B410" s="7" t="s">
        <v>657</v>
      </c>
      <c r="C410" s="7" t="s">
        <v>658</v>
      </c>
      <c r="D410" s="7" t="s">
        <v>659</v>
      </c>
      <c r="E410" s="7" t="s">
        <v>721</v>
      </c>
      <c r="F410" s="7" t="s">
        <v>145</v>
      </c>
      <c r="G410" s="7" t="s">
        <v>730</v>
      </c>
      <c r="H410" s="7">
        <v>6</v>
      </c>
      <c r="I410" s="7">
        <v>2</v>
      </c>
      <c r="J410" s="7">
        <v>12</v>
      </c>
      <c r="K410" s="7" t="s">
        <v>731</v>
      </c>
    </row>
    <row r="411" spans="1:11" x14ac:dyDescent="0.25">
      <c r="A411" s="7">
        <v>410</v>
      </c>
      <c r="B411" s="7" t="s">
        <v>657</v>
      </c>
      <c r="C411" s="7" t="s">
        <v>658</v>
      </c>
      <c r="D411" s="7" t="s">
        <v>659</v>
      </c>
      <c r="E411" s="7" t="s">
        <v>721</v>
      </c>
      <c r="F411" s="7" t="s">
        <v>145</v>
      </c>
      <c r="G411" s="7" t="s">
        <v>732</v>
      </c>
      <c r="H411" s="7">
        <v>2</v>
      </c>
      <c r="I411" s="7">
        <v>1</v>
      </c>
      <c r="J411" s="7">
        <v>2</v>
      </c>
      <c r="K411" s="7" t="s">
        <v>733</v>
      </c>
    </row>
    <row r="412" spans="1:11" x14ac:dyDescent="0.25">
      <c r="A412" s="7">
        <v>411</v>
      </c>
      <c r="B412" s="7" t="s">
        <v>657</v>
      </c>
      <c r="C412" s="7" t="s">
        <v>658</v>
      </c>
      <c r="D412" s="7" t="s">
        <v>659</v>
      </c>
      <c r="E412" s="7" t="s">
        <v>721</v>
      </c>
      <c r="F412" s="7" t="s">
        <v>145</v>
      </c>
      <c r="G412" s="7" t="s">
        <v>734</v>
      </c>
      <c r="H412" s="7">
        <v>6</v>
      </c>
      <c r="I412" s="7">
        <v>2</v>
      </c>
      <c r="J412" s="7">
        <v>12</v>
      </c>
      <c r="K412" s="7" t="s">
        <v>735</v>
      </c>
    </row>
    <row r="413" spans="1:11" x14ac:dyDescent="0.25">
      <c r="A413" s="7">
        <v>412</v>
      </c>
      <c r="B413" s="7" t="s">
        <v>657</v>
      </c>
      <c r="C413" s="7" t="s">
        <v>658</v>
      </c>
      <c r="D413" s="7" t="s">
        <v>659</v>
      </c>
      <c r="E413" s="7" t="s">
        <v>721</v>
      </c>
      <c r="F413" s="7" t="s">
        <v>145</v>
      </c>
      <c r="G413" s="7" t="s">
        <v>736</v>
      </c>
      <c r="H413" s="7">
        <v>4</v>
      </c>
      <c r="I413" s="7">
        <v>2</v>
      </c>
      <c r="J413" s="7">
        <v>8</v>
      </c>
      <c r="K413" s="7" t="s">
        <v>737</v>
      </c>
    </row>
    <row r="414" spans="1:11" x14ac:dyDescent="0.25">
      <c r="A414" s="7">
        <v>413</v>
      </c>
      <c r="B414" s="7" t="s">
        <v>657</v>
      </c>
      <c r="C414" s="7" t="s">
        <v>658</v>
      </c>
      <c r="D414" s="7" t="s">
        <v>659</v>
      </c>
      <c r="E414" s="7" t="s">
        <v>721</v>
      </c>
      <c r="F414" s="7" t="s">
        <v>145</v>
      </c>
      <c r="G414" s="7" t="s">
        <v>291</v>
      </c>
      <c r="H414" s="7">
        <v>10</v>
      </c>
      <c r="I414" s="7">
        <v>2</v>
      </c>
      <c r="J414" s="7">
        <v>20</v>
      </c>
      <c r="K414" s="7" t="s">
        <v>738</v>
      </c>
    </row>
    <row r="415" spans="1:11" x14ac:dyDescent="0.25">
      <c r="A415" s="7">
        <v>414</v>
      </c>
      <c r="B415" s="7" t="s">
        <v>657</v>
      </c>
      <c r="C415" s="7" t="s">
        <v>658</v>
      </c>
      <c r="D415" s="7" t="s">
        <v>659</v>
      </c>
      <c r="E415" s="7" t="s">
        <v>721</v>
      </c>
      <c r="F415" s="7" t="s">
        <v>145</v>
      </c>
      <c r="G415" s="7" t="s">
        <v>297</v>
      </c>
      <c r="H415" s="7">
        <v>12</v>
      </c>
      <c r="I415" s="7">
        <v>2</v>
      </c>
      <c r="J415" s="7">
        <v>24</v>
      </c>
      <c r="K415" s="7" t="s">
        <v>739</v>
      </c>
    </row>
    <row r="416" spans="1:11" x14ac:dyDescent="0.25">
      <c r="A416" s="7">
        <v>415</v>
      </c>
      <c r="B416" s="7" t="s">
        <v>657</v>
      </c>
      <c r="C416" s="7" t="s">
        <v>658</v>
      </c>
      <c r="D416" s="7" t="s">
        <v>659</v>
      </c>
      <c r="E416" s="7" t="s">
        <v>721</v>
      </c>
      <c r="F416" s="7" t="s">
        <v>145</v>
      </c>
      <c r="G416" s="7" t="s">
        <v>299</v>
      </c>
      <c r="H416" s="7">
        <v>10</v>
      </c>
      <c r="I416" s="7">
        <v>2</v>
      </c>
      <c r="J416" s="7">
        <v>20</v>
      </c>
      <c r="K416" s="7" t="s">
        <v>740</v>
      </c>
    </row>
    <row r="417" spans="1:11" x14ac:dyDescent="0.25">
      <c r="A417" s="7">
        <v>416</v>
      </c>
      <c r="B417" s="7" t="s">
        <v>657</v>
      </c>
      <c r="C417" s="7" t="s">
        <v>658</v>
      </c>
      <c r="D417" s="7" t="s">
        <v>659</v>
      </c>
      <c r="E417" s="7" t="s">
        <v>721</v>
      </c>
      <c r="F417" s="7" t="s">
        <v>145</v>
      </c>
      <c r="G417" s="7" t="s">
        <v>600</v>
      </c>
      <c r="H417" s="7">
        <v>4</v>
      </c>
      <c r="I417" s="7">
        <v>2</v>
      </c>
      <c r="J417" s="7">
        <v>8</v>
      </c>
      <c r="K417" s="7" t="s">
        <v>741</v>
      </c>
    </row>
    <row r="418" spans="1:11" x14ac:dyDescent="0.25">
      <c r="A418" s="7">
        <v>417</v>
      </c>
      <c r="B418" s="7" t="s">
        <v>657</v>
      </c>
      <c r="C418" s="7" t="s">
        <v>658</v>
      </c>
      <c r="D418" s="7" t="s">
        <v>659</v>
      </c>
      <c r="E418" s="7" t="s">
        <v>721</v>
      </c>
      <c r="F418" s="7" t="s">
        <v>145</v>
      </c>
      <c r="G418" s="7" t="s">
        <v>303</v>
      </c>
      <c r="H418" s="7">
        <v>2</v>
      </c>
      <c r="I418" s="7">
        <v>2</v>
      </c>
      <c r="J418" s="7">
        <v>4</v>
      </c>
      <c r="K418" s="7" t="s">
        <v>742</v>
      </c>
    </row>
    <row r="419" spans="1:11" x14ac:dyDescent="0.25">
      <c r="A419" s="7">
        <v>418</v>
      </c>
      <c r="B419" s="7" t="s">
        <v>657</v>
      </c>
      <c r="C419" s="7" t="s">
        <v>658</v>
      </c>
      <c r="D419" s="7" t="s">
        <v>659</v>
      </c>
      <c r="E419" s="7" t="s">
        <v>721</v>
      </c>
      <c r="F419" s="7" t="s">
        <v>145</v>
      </c>
      <c r="G419" s="7" t="s">
        <v>309</v>
      </c>
      <c r="H419" s="7">
        <v>1</v>
      </c>
      <c r="I419" s="7">
        <v>2</v>
      </c>
      <c r="J419" s="7">
        <v>2</v>
      </c>
      <c r="K419" s="7" t="s">
        <v>743</v>
      </c>
    </row>
    <row r="420" spans="1:11" x14ac:dyDescent="0.25">
      <c r="A420" s="7">
        <v>419</v>
      </c>
      <c r="B420" s="7" t="s">
        <v>657</v>
      </c>
      <c r="C420" s="7" t="s">
        <v>658</v>
      </c>
      <c r="D420" s="7" t="s">
        <v>659</v>
      </c>
      <c r="E420" s="7" t="s">
        <v>721</v>
      </c>
      <c r="F420" s="7" t="s">
        <v>145</v>
      </c>
      <c r="G420" s="7" t="s">
        <v>313</v>
      </c>
      <c r="H420" s="7">
        <v>4</v>
      </c>
      <c r="I420" s="7">
        <v>2</v>
      </c>
      <c r="J420" s="7">
        <v>8</v>
      </c>
      <c r="K420" s="7" t="s">
        <v>744</v>
      </c>
    </row>
    <row r="421" spans="1:11" x14ac:dyDescent="0.25">
      <c r="A421" s="7">
        <v>420</v>
      </c>
      <c r="B421" s="7" t="s">
        <v>657</v>
      </c>
      <c r="C421" s="7" t="s">
        <v>658</v>
      </c>
      <c r="D421" s="7" t="s">
        <v>659</v>
      </c>
      <c r="E421" s="7" t="s">
        <v>721</v>
      </c>
      <c r="F421" s="7" t="s">
        <v>145</v>
      </c>
      <c r="G421" s="7" t="s">
        <v>315</v>
      </c>
      <c r="H421" s="7">
        <v>3</v>
      </c>
      <c r="I421" s="7">
        <v>1</v>
      </c>
      <c r="J421" s="7">
        <v>3</v>
      </c>
      <c r="K421" s="7" t="s">
        <v>745</v>
      </c>
    </row>
    <row r="422" spans="1:11" x14ac:dyDescent="0.25">
      <c r="A422" s="7">
        <v>421</v>
      </c>
      <c r="B422" s="7" t="s">
        <v>657</v>
      </c>
      <c r="C422" s="7" t="s">
        <v>658</v>
      </c>
      <c r="D422" s="7" t="s">
        <v>659</v>
      </c>
      <c r="E422" s="7" t="s">
        <v>721</v>
      </c>
      <c r="F422" s="7" t="s">
        <v>145</v>
      </c>
      <c r="G422" s="7" t="s">
        <v>608</v>
      </c>
      <c r="H422" s="7">
        <v>3</v>
      </c>
      <c r="I422" s="7">
        <v>1</v>
      </c>
      <c r="J422" s="7">
        <v>3</v>
      </c>
      <c r="K422" s="7" t="s">
        <v>746</v>
      </c>
    </row>
    <row r="423" spans="1:11" x14ac:dyDescent="0.25">
      <c r="A423" s="7">
        <v>422</v>
      </c>
      <c r="B423" s="7" t="s">
        <v>657</v>
      </c>
      <c r="C423" s="7" t="s">
        <v>658</v>
      </c>
      <c r="D423" s="7" t="s">
        <v>659</v>
      </c>
      <c r="E423" s="7" t="s">
        <v>721</v>
      </c>
      <c r="F423" s="7" t="s">
        <v>145</v>
      </c>
      <c r="G423" s="7" t="s">
        <v>610</v>
      </c>
      <c r="H423" s="7">
        <v>2</v>
      </c>
      <c r="I423" s="7">
        <v>1</v>
      </c>
      <c r="J423" s="7">
        <v>2</v>
      </c>
      <c r="K423" s="7" t="s">
        <v>747</v>
      </c>
    </row>
    <row r="424" spans="1:11" x14ac:dyDescent="0.25">
      <c r="A424" s="7">
        <v>423</v>
      </c>
      <c r="B424" s="7" t="s">
        <v>657</v>
      </c>
      <c r="C424" s="7" t="s">
        <v>658</v>
      </c>
      <c r="D424" s="7" t="s">
        <v>659</v>
      </c>
      <c r="E424" s="7" t="s">
        <v>748</v>
      </c>
      <c r="F424" s="7" t="s">
        <v>145</v>
      </c>
      <c r="G424" s="7" t="s">
        <v>146</v>
      </c>
      <c r="H424" s="7">
        <v>16</v>
      </c>
      <c r="I424" s="7">
        <v>3</v>
      </c>
      <c r="J424" s="7">
        <v>48</v>
      </c>
      <c r="K424" s="7" t="s">
        <v>749</v>
      </c>
    </row>
    <row r="425" spans="1:11" x14ac:dyDescent="0.25">
      <c r="A425" s="7">
        <v>424</v>
      </c>
      <c r="B425" s="7" t="s">
        <v>657</v>
      </c>
      <c r="C425" s="7" t="s">
        <v>658</v>
      </c>
      <c r="D425" s="7" t="s">
        <v>659</v>
      </c>
      <c r="E425" s="7" t="s">
        <v>748</v>
      </c>
      <c r="F425" s="7" t="s">
        <v>145</v>
      </c>
      <c r="G425" s="7" t="s">
        <v>148</v>
      </c>
      <c r="H425" s="7">
        <v>18</v>
      </c>
      <c r="I425" s="7">
        <v>2</v>
      </c>
      <c r="J425" s="7">
        <v>36</v>
      </c>
      <c r="K425" s="7" t="s">
        <v>750</v>
      </c>
    </row>
    <row r="426" spans="1:11" x14ac:dyDescent="0.25">
      <c r="A426" s="7">
        <v>425</v>
      </c>
      <c r="B426" s="7" t="s">
        <v>657</v>
      </c>
      <c r="C426" s="7" t="s">
        <v>658</v>
      </c>
      <c r="D426" s="7" t="s">
        <v>659</v>
      </c>
      <c r="E426" s="7" t="s">
        <v>748</v>
      </c>
      <c r="F426" s="7" t="s">
        <v>145</v>
      </c>
      <c r="G426" s="7" t="s">
        <v>150</v>
      </c>
      <c r="H426" s="7">
        <v>2</v>
      </c>
      <c r="I426" s="7">
        <v>2</v>
      </c>
      <c r="J426" s="7">
        <v>4</v>
      </c>
      <c r="K426" s="7" t="s">
        <v>751</v>
      </c>
    </row>
    <row r="427" spans="1:11" x14ac:dyDescent="0.25">
      <c r="A427" s="7">
        <v>426</v>
      </c>
      <c r="B427" s="7" t="s">
        <v>657</v>
      </c>
      <c r="C427" s="7" t="s">
        <v>658</v>
      </c>
      <c r="D427" s="7" t="s">
        <v>659</v>
      </c>
      <c r="E427" s="7" t="s">
        <v>748</v>
      </c>
      <c r="F427" s="7" t="s">
        <v>145</v>
      </c>
      <c r="G427" s="7" t="s">
        <v>152</v>
      </c>
      <c r="H427" s="7">
        <v>6</v>
      </c>
      <c r="I427" s="7">
        <v>2</v>
      </c>
      <c r="J427" s="7">
        <v>12</v>
      </c>
      <c r="K427" s="7" t="s">
        <v>752</v>
      </c>
    </row>
    <row r="428" spans="1:11" x14ac:dyDescent="0.25">
      <c r="A428" s="7">
        <v>427</v>
      </c>
      <c r="B428" s="7" t="s">
        <v>657</v>
      </c>
      <c r="C428" s="7" t="s">
        <v>658</v>
      </c>
      <c r="D428" s="7" t="s">
        <v>659</v>
      </c>
      <c r="E428" s="7" t="s">
        <v>748</v>
      </c>
      <c r="F428" s="7" t="s">
        <v>145</v>
      </c>
      <c r="G428" s="7" t="s">
        <v>156</v>
      </c>
      <c r="H428" s="7">
        <v>6</v>
      </c>
      <c r="I428" s="7">
        <v>1</v>
      </c>
      <c r="J428" s="7">
        <v>6</v>
      </c>
      <c r="K428" s="7" t="s">
        <v>753</v>
      </c>
    </row>
    <row r="429" spans="1:11" x14ac:dyDescent="0.25">
      <c r="A429" s="7">
        <v>428</v>
      </c>
      <c r="B429" s="7" t="s">
        <v>657</v>
      </c>
      <c r="C429" s="7" t="s">
        <v>658</v>
      </c>
      <c r="D429" s="7" t="s">
        <v>659</v>
      </c>
      <c r="E429" s="7" t="s">
        <v>748</v>
      </c>
      <c r="F429" s="7" t="s">
        <v>145</v>
      </c>
      <c r="G429" s="7" t="s">
        <v>472</v>
      </c>
      <c r="H429" s="7">
        <v>8</v>
      </c>
      <c r="I429" s="7">
        <v>2</v>
      </c>
      <c r="J429" s="7">
        <v>16</v>
      </c>
      <c r="K429" s="7" t="s">
        <v>754</v>
      </c>
    </row>
    <row r="430" spans="1:11" x14ac:dyDescent="0.25">
      <c r="A430" s="7">
        <v>429</v>
      </c>
      <c r="B430" s="7" t="s">
        <v>657</v>
      </c>
      <c r="C430" s="7" t="s">
        <v>658</v>
      </c>
      <c r="D430" s="7" t="s">
        <v>659</v>
      </c>
      <c r="E430" s="7" t="s">
        <v>748</v>
      </c>
      <c r="F430" s="7" t="s">
        <v>145</v>
      </c>
      <c r="G430" s="7" t="s">
        <v>474</v>
      </c>
      <c r="H430" s="7">
        <v>4</v>
      </c>
      <c r="I430" s="7">
        <v>2</v>
      </c>
      <c r="J430" s="7">
        <v>8</v>
      </c>
      <c r="K430" s="7" t="s">
        <v>755</v>
      </c>
    </row>
    <row r="431" spans="1:11" x14ac:dyDescent="0.25">
      <c r="A431" s="7">
        <v>430</v>
      </c>
      <c r="B431" s="7" t="s">
        <v>657</v>
      </c>
      <c r="C431" s="7" t="s">
        <v>658</v>
      </c>
      <c r="D431" s="7" t="s">
        <v>659</v>
      </c>
      <c r="E431" s="7" t="s">
        <v>748</v>
      </c>
      <c r="F431" s="7" t="s">
        <v>145</v>
      </c>
      <c r="G431" s="7" t="s">
        <v>478</v>
      </c>
      <c r="H431" s="7">
        <v>10</v>
      </c>
      <c r="I431" s="7">
        <v>2</v>
      </c>
      <c r="J431" s="7">
        <v>20</v>
      </c>
      <c r="K431" s="7" t="s">
        <v>756</v>
      </c>
    </row>
    <row r="432" spans="1:11" x14ac:dyDescent="0.25">
      <c r="A432" s="7">
        <v>431</v>
      </c>
      <c r="B432" s="7" t="s">
        <v>657</v>
      </c>
      <c r="C432" s="7" t="s">
        <v>658</v>
      </c>
      <c r="D432" s="7" t="s">
        <v>659</v>
      </c>
      <c r="E432" s="7" t="s">
        <v>748</v>
      </c>
      <c r="F432" s="7" t="s">
        <v>145</v>
      </c>
      <c r="G432" s="7" t="s">
        <v>484</v>
      </c>
      <c r="H432" s="7">
        <v>24</v>
      </c>
      <c r="I432" s="7">
        <v>2</v>
      </c>
      <c r="J432" s="7">
        <v>48</v>
      </c>
      <c r="K432" s="7" t="s">
        <v>757</v>
      </c>
    </row>
    <row r="433" spans="1:11" x14ac:dyDescent="0.25">
      <c r="A433" s="7">
        <v>432</v>
      </c>
      <c r="B433" s="7" t="s">
        <v>657</v>
      </c>
      <c r="C433" s="7" t="s">
        <v>658</v>
      </c>
      <c r="D433" s="7" t="s">
        <v>659</v>
      </c>
      <c r="E433" s="7" t="s">
        <v>748</v>
      </c>
      <c r="F433" s="7" t="s">
        <v>145</v>
      </c>
      <c r="G433" s="7" t="s">
        <v>168</v>
      </c>
      <c r="H433" s="7">
        <v>4</v>
      </c>
      <c r="I433" s="7">
        <v>1</v>
      </c>
      <c r="J433" s="7">
        <v>4</v>
      </c>
      <c r="K433" s="7" t="s">
        <v>758</v>
      </c>
    </row>
    <row r="434" spans="1:11" x14ac:dyDescent="0.25">
      <c r="A434" s="7">
        <v>433</v>
      </c>
      <c r="B434" s="7" t="s">
        <v>657</v>
      </c>
      <c r="C434" s="7" t="s">
        <v>658</v>
      </c>
      <c r="D434" s="7" t="s">
        <v>659</v>
      </c>
      <c r="E434" s="7" t="s">
        <v>748</v>
      </c>
      <c r="F434" s="7" t="s">
        <v>145</v>
      </c>
      <c r="G434" s="7" t="s">
        <v>170</v>
      </c>
      <c r="H434" s="7">
        <v>4</v>
      </c>
      <c r="I434" s="7">
        <v>1</v>
      </c>
      <c r="J434" s="7">
        <v>4</v>
      </c>
      <c r="K434" s="7" t="s">
        <v>759</v>
      </c>
    </row>
    <row r="435" spans="1:11" x14ac:dyDescent="0.25">
      <c r="A435" s="7">
        <v>434</v>
      </c>
      <c r="B435" s="7" t="s">
        <v>657</v>
      </c>
      <c r="C435" s="7" t="s">
        <v>658</v>
      </c>
      <c r="D435" s="7" t="s">
        <v>659</v>
      </c>
      <c r="E435" s="7" t="s">
        <v>748</v>
      </c>
      <c r="F435" s="7" t="s">
        <v>145</v>
      </c>
      <c r="G435" s="7" t="s">
        <v>172</v>
      </c>
      <c r="H435" s="7">
        <v>10</v>
      </c>
      <c r="I435" s="7">
        <v>3</v>
      </c>
      <c r="J435" s="7">
        <v>30</v>
      </c>
      <c r="K435" s="7" t="s">
        <v>760</v>
      </c>
    </row>
    <row r="436" spans="1:11" x14ac:dyDescent="0.25">
      <c r="A436" s="7">
        <v>435</v>
      </c>
      <c r="B436" s="7" t="s">
        <v>657</v>
      </c>
      <c r="C436" s="7" t="s">
        <v>658</v>
      </c>
      <c r="D436" s="7" t="s">
        <v>659</v>
      </c>
      <c r="E436" s="7" t="s">
        <v>748</v>
      </c>
      <c r="F436" s="7" t="s">
        <v>145</v>
      </c>
      <c r="G436" s="7" t="s">
        <v>489</v>
      </c>
      <c r="H436" s="7">
        <v>3</v>
      </c>
      <c r="I436" s="7">
        <v>2</v>
      </c>
      <c r="J436" s="7">
        <v>6</v>
      </c>
      <c r="K436" s="7" t="s">
        <v>761</v>
      </c>
    </row>
    <row r="437" spans="1:11" x14ac:dyDescent="0.25">
      <c r="A437" s="7">
        <v>436</v>
      </c>
      <c r="B437" s="7" t="s">
        <v>657</v>
      </c>
      <c r="C437" s="7" t="s">
        <v>658</v>
      </c>
      <c r="D437" s="7" t="s">
        <v>659</v>
      </c>
      <c r="E437" s="7" t="s">
        <v>748</v>
      </c>
      <c r="F437" s="7" t="s">
        <v>145</v>
      </c>
      <c r="G437" s="7" t="s">
        <v>174</v>
      </c>
      <c r="H437" s="7">
        <v>2</v>
      </c>
      <c r="I437" s="7">
        <v>2</v>
      </c>
      <c r="J437" s="7">
        <v>4</v>
      </c>
      <c r="K437" s="7" t="s">
        <v>762</v>
      </c>
    </row>
    <row r="438" spans="1:11" x14ac:dyDescent="0.25">
      <c r="A438" s="7">
        <v>437</v>
      </c>
      <c r="B438" s="7" t="s">
        <v>657</v>
      </c>
      <c r="C438" s="7" t="s">
        <v>658</v>
      </c>
      <c r="D438" s="7" t="s">
        <v>659</v>
      </c>
      <c r="E438" s="7" t="s">
        <v>748</v>
      </c>
      <c r="F438" s="7" t="s">
        <v>145</v>
      </c>
      <c r="G438" s="7" t="s">
        <v>178</v>
      </c>
      <c r="H438" s="7">
        <v>4</v>
      </c>
      <c r="I438" s="7">
        <v>1</v>
      </c>
      <c r="J438" s="7">
        <v>4</v>
      </c>
      <c r="K438" s="7" t="s">
        <v>763</v>
      </c>
    </row>
    <row r="439" spans="1:11" x14ac:dyDescent="0.25">
      <c r="A439" s="7">
        <v>438</v>
      </c>
      <c r="B439" s="7" t="s">
        <v>657</v>
      </c>
      <c r="C439" s="7" t="s">
        <v>658</v>
      </c>
      <c r="D439" s="7" t="s">
        <v>659</v>
      </c>
      <c r="E439" s="7" t="s">
        <v>748</v>
      </c>
      <c r="F439" s="7" t="s">
        <v>145</v>
      </c>
      <c r="G439" s="7" t="s">
        <v>494</v>
      </c>
      <c r="H439" s="7">
        <v>6</v>
      </c>
      <c r="I439" s="7">
        <v>2</v>
      </c>
      <c r="J439" s="7">
        <v>12</v>
      </c>
      <c r="K439" s="7" t="s">
        <v>764</v>
      </c>
    </row>
    <row r="440" spans="1:11" x14ac:dyDescent="0.25">
      <c r="A440" s="7">
        <v>439</v>
      </c>
      <c r="B440" s="7" t="s">
        <v>657</v>
      </c>
      <c r="C440" s="7" t="s">
        <v>658</v>
      </c>
      <c r="D440" s="7" t="s">
        <v>659</v>
      </c>
      <c r="E440" s="7" t="s">
        <v>748</v>
      </c>
      <c r="F440" s="7" t="s">
        <v>145</v>
      </c>
      <c r="G440" s="7" t="s">
        <v>765</v>
      </c>
      <c r="H440" s="7">
        <v>12</v>
      </c>
      <c r="I440" s="7">
        <v>2</v>
      </c>
      <c r="J440" s="7">
        <v>24</v>
      </c>
      <c r="K440" s="7" t="s">
        <v>766</v>
      </c>
    </row>
    <row r="441" spans="1:11" x14ac:dyDescent="0.25">
      <c r="A441" s="7">
        <v>440</v>
      </c>
      <c r="B441" s="7" t="s">
        <v>657</v>
      </c>
      <c r="C441" s="7" t="s">
        <v>658</v>
      </c>
      <c r="D441" s="7" t="s">
        <v>659</v>
      </c>
      <c r="E441" s="7" t="s">
        <v>748</v>
      </c>
      <c r="F441" s="7" t="s">
        <v>145</v>
      </c>
      <c r="G441" s="7" t="s">
        <v>497</v>
      </c>
      <c r="H441" s="7">
        <v>8</v>
      </c>
      <c r="I441" s="7">
        <v>2</v>
      </c>
      <c r="J441" s="7">
        <v>16</v>
      </c>
      <c r="K441" s="7" t="s">
        <v>767</v>
      </c>
    </row>
    <row r="442" spans="1:11" x14ac:dyDescent="0.25">
      <c r="A442" s="7">
        <v>441</v>
      </c>
      <c r="B442" s="7" t="s">
        <v>657</v>
      </c>
      <c r="C442" s="7" t="s">
        <v>658</v>
      </c>
      <c r="D442" s="7" t="s">
        <v>659</v>
      </c>
      <c r="E442" s="7" t="s">
        <v>748</v>
      </c>
      <c r="F442" s="7" t="s">
        <v>145</v>
      </c>
      <c r="G442" s="7" t="s">
        <v>499</v>
      </c>
      <c r="H442" s="7">
        <v>8</v>
      </c>
      <c r="I442" s="7">
        <v>2</v>
      </c>
      <c r="J442" s="7">
        <v>16</v>
      </c>
      <c r="K442" s="7" t="s">
        <v>768</v>
      </c>
    </row>
    <row r="443" spans="1:11" x14ac:dyDescent="0.25">
      <c r="A443" s="7">
        <v>442</v>
      </c>
      <c r="B443" s="7" t="s">
        <v>657</v>
      </c>
      <c r="C443" s="7" t="s">
        <v>658</v>
      </c>
      <c r="D443" s="7" t="s">
        <v>659</v>
      </c>
      <c r="E443" s="7" t="s">
        <v>748</v>
      </c>
      <c r="F443" s="7" t="s">
        <v>145</v>
      </c>
      <c r="G443" s="7" t="s">
        <v>186</v>
      </c>
      <c r="H443" s="7">
        <v>6</v>
      </c>
      <c r="I443" s="7">
        <v>2</v>
      </c>
      <c r="J443" s="7">
        <v>12</v>
      </c>
      <c r="K443" s="7" t="s">
        <v>769</v>
      </c>
    </row>
    <row r="444" spans="1:11" x14ac:dyDescent="0.25">
      <c r="A444" s="7">
        <v>443</v>
      </c>
      <c r="B444" s="7" t="s">
        <v>657</v>
      </c>
      <c r="C444" s="7" t="s">
        <v>658</v>
      </c>
      <c r="D444" s="7" t="s">
        <v>659</v>
      </c>
      <c r="E444" s="7" t="s">
        <v>748</v>
      </c>
      <c r="F444" s="7" t="s">
        <v>145</v>
      </c>
      <c r="G444" s="7" t="s">
        <v>188</v>
      </c>
      <c r="H444" s="7">
        <v>6</v>
      </c>
      <c r="I444" s="7">
        <v>2</v>
      </c>
      <c r="J444" s="7">
        <v>12</v>
      </c>
      <c r="K444" s="7" t="s">
        <v>770</v>
      </c>
    </row>
    <row r="445" spans="1:11" x14ac:dyDescent="0.25">
      <c r="A445" s="7">
        <v>444</v>
      </c>
      <c r="B445" s="7" t="s">
        <v>657</v>
      </c>
      <c r="C445" s="7" t="s">
        <v>658</v>
      </c>
      <c r="D445" s="7" t="s">
        <v>659</v>
      </c>
      <c r="E445" s="7" t="s">
        <v>748</v>
      </c>
      <c r="F445" s="7" t="s">
        <v>145</v>
      </c>
      <c r="G445" s="7" t="s">
        <v>190</v>
      </c>
      <c r="H445" s="7">
        <v>3</v>
      </c>
      <c r="I445" s="7">
        <v>1</v>
      </c>
      <c r="J445" s="7">
        <v>3</v>
      </c>
      <c r="K445" s="7" t="s">
        <v>771</v>
      </c>
    </row>
    <row r="446" spans="1:11" x14ac:dyDescent="0.25">
      <c r="A446" s="7">
        <v>445</v>
      </c>
      <c r="B446" s="7" t="s">
        <v>657</v>
      </c>
      <c r="C446" s="7" t="s">
        <v>658</v>
      </c>
      <c r="D446" s="7" t="s">
        <v>659</v>
      </c>
      <c r="E446" s="7" t="s">
        <v>748</v>
      </c>
      <c r="F446" s="7" t="s">
        <v>145</v>
      </c>
      <c r="G446" s="7" t="s">
        <v>194</v>
      </c>
      <c r="H446" s="7">
        <v>6</v>
      </c>
      <c r="I446" s="7">
        <v>2</v>
      </c>
      <c r="J446" s="7">
        <v>12</v>
      </c>
      <c r="K446" s="7" t="s">
        <v>772</v>
      </c>
    </row>
    <row r="447" spans="1:11" x14ac:dyDescent="0.25">
      <c r="A447" s="7">
        <v>446</v>
      </c>
      <c r="B447" s="7" t="s">
        <v>657</v>
      </c>
      <c r="C447" s="7" t="s">
        <v>658</v>
      </c>
      <c r="D447" s="7" t="s">
        <v>659</v>
      </c>
      <c r="E447" s="7" t="s">
        <v>748</v>
      </c>
      <c r="F447" s="7" t="s">
        <v>145</v>
      </c>
      <c r="G447" s="7" t="s">
        <v>198</v>
      </c>
      <c r="H447" s="7">
        <v>6</v>
      </c>
      <c r="I447" s="7">
        <v>2</v>
      </c>
      <c r="J447" s="7">
        <v>12</v>
      </c>
      <c r="K447" s="7" t="s">
        <v>773</v>
      </c>
    </row>
    <row r="448" spans="1:11" x14ac:dyDescent="0.25">
      <c r="A448" s="7">
        <v>447</v>
      </c>
      <c r="B448" s="7" t="s">
        <v>657</v>
      </c>
      <c r="C448" s="7" t="s">
        <v>658</v>
      </c>
      <c r="D448" s="7" t="s">
        <v>659</v>
      </c>
      <c r="E448" s="7" t="s">
        <v>748</v>
      </c>
      <c r="F448" s="7" t="s">
        <v>145</v>
      </c>
      <c r="G448" s="7" t="s">
        <v>774</v>
      </c>
      <c r="H448" s="7">
        <v>16</v>
      </c>
      <c r="I448" s="7">
        <v>2</v>
      </c>
      <c r="J448" s="7">
        <v>32</v>
      </c>
      <c r="K448" s="7" t="s">
        <v>775</v>
      </c>
    </row>
    <row r="449" spans="1:11" x14ac:dyDescent="0.25">
      <c r="A449" s="7">
        <v>448</v>
      </c>
      <c r="B449" s="7" t="s">
        <v>657</v>
      </c>
      <c r="C449" s="7" t="s">
        <v>658</v>
      </c>
      <c r="D449" s="7" t="s">
        <v>659</v>
      </c>
      <c r="E449" s="7" t="s">
        <v>748</v>
      </c>
      <c r="F449" s="7" t="s">
        <v>145</v>
      </c>
      <c r="G449" s="7" t="s">
        <v>776</v>
      </c>
      <c r="H449" s="7">
        <v>16</v>
      </c>
      <c r="I449" s="7">
        <v>2</v>
      </c>
      <c r="J449" s="7">
        <v>32</v>
      </c>
      <c r="K449" s="7" t="s">
        <v>777</v>
      </c>
    </row>
    <row r="450" spans="1:11" x14ac:dyDescent="0.25">
      <c r="A450" s="7">
        <v>449</v>
      </c>
      <c r="B450" s="7" t="s">
        <v>657</v>
      </c>
      <c r="C450" s="7" t="s">
        <v>658</v>
      </c>
      <c r="D450" s="7" t="s">
        <v>659</v>
      </c>
      <c r="E450" s="7" t="s">
        <v>778</v>
      </c>
      <c r="F450" s="7" t="s">
        <v>145</v>
      </c>
      <c r="G450" s="7" t="s">
        <v>779</v>
      </c>
      <c r="H450" s="7">
        <v>4</v>
      </c>
      <c r="I450" s="7">
        <v>2</v>
      </c>
      <c r="J450" s="7">
        <v>8</v>
      </c>
      <c r="K450" s="7" t="s">
        <v>780</v>
      </c>
    </row>
    <row r="451" spans="1:11" x14ac:dyDescent="0.25">
      <c r="A451" s="7">
        <v>450</v>
      </c>
      <c r="B451" s="7" t="s">
        <v>657</v>
      </c>
      <c r="C451" s="7" t="s">
        <v>658</v>
      </c>
      <c r="D451" s="7" t="s">
        <v>659</v>
      </c>
      <c r="E451" s="7" t="s">
        <v>778</v>
      </c>
      <c r="F451" s="7" t="s">
        <v>145</v>
      </c>
      <c r="G451" s="7" t="s">
        <v>781</v>
      </c>
      <c r="H451" s="7">
        <v>4</v>
      </c>
      <c r="I451" s="7">
        <v>2</v>
      </c>
      <c r="J451" s="7">
        <v>8</v>
      </c>
      <c r="K451" s="7" t="s">
        <v>782</v>
      </c>
    </row>
    <row r="452" spans="1:11" x14ac:dyDescent="0.25">
      <c r="A452" s="7">
        <v>451</v>
      </c>
      <c r="B452" s="7" t="s">
        <v>657</v>
      </c>
      <c r="C452" s="7" t="s">
        <v>658</v>
      </c>
      <c r="D452" s="7" t="s">
        <v>659</v>
      </c>
      <c r="E452" s="7" t="s">
        <v>778</v>
      </c>
      <c r="F452" s="7" t="s">
        <v>145</v>
      </c>
      <c r="G452" s="7" t="s">
        <v>783</v>
      </c>
      <c r="H452" s="7">
        <v>4</v>
      </c>
      <c r="I452" s="7">
        <v>2</v>
      </c>
      <c r="J452" s="7">
        <v>8</v>
      </c>
      <c r="K452" s="7" t="s">
        <v>784</v>
      </c>
    </row>
    <row r="453" spans="1:11" x14ac:dyDescent="0.25">
      <c r="A453" s="7">
        <v>452</v>
      </c>
      <c r="B453" s="7" t="s">
        <v>657</v>
      </c>
      <c r="C453" s="7" t="s">
        <v>658</v>
      </c>
      <c r="D453" s="7" t="s">
        <v>659</v>
      </c>
      <c r="E453" s="7" t="s">
        <v>778</v>
      </c>
      <c r="F453" s="7" t="s">
        <v>145</v>
      </c>
      <c r="G453" s="7" t="s">
        <v>785</v>
      </c>
      <c r="H453" s="7">
        <v>6</v>
      </c>
      <c r="I453" s="7">
        <v>2</v>
      </c>
      <c r="J453" s="7">
        <v>12</v>
      </c>
      <c r="K453" s="7" t="s">
        <v>786</v>
      </c>
    </row>
    <row r="454" spans="1:11" x14ac:dyDescent="0.25">
      <c r="A454" s="7">
        <v>453</v>
      </c>
      <c r="B454" s="7" t="s">
        <v>657</v>
      </c>
      <c r="C454" s="7" t="s">
        <v>658</v>
      </c>
      <c r="D454" s="7" t="s">
        <v>659</v>
      </c>
      <c r="E454" s="7" t="s">
        <v>778</v>
      </c>
      <c r="F454" s="7" t="s">
        <v>145</v>
      </c>
      <c r="G454" s="7" t="s">
        <v>787</v>
      </c>
      <c r="H454" s="7">
        <v>4</v>
      </c>
      <c r="I454" s="7">
        <v>2</v>
      </c>
      <c r="J454" s="7">
        <v>8</v>
      </c>
      <c r="K454" s="7" t="s">
        <v>788</v>
      </c>
    </row>
    <row r="455" spans="1:11" x14ac:dyDescent="0.25">
      <c r="A455" s="7">
        <v>454</v>
      </c>
      <c r="B455" s="7" t="s">
        <v>657</v>
      </c>
      <c r="C455" s="7" t="s">
        <v>658</v>
      </c>
      <c r="D455" s="7" t="s">
        <v>659</v>
      </c>
      <c r="E455" s="7" t="s">
        <v>778</v>
      </c>
      <c r="F455" s="7" t="s">
        <v>145</v>
      </c>
      <c r="G455" s="7" t="s">
        <v>789</v>
      </c>
      <c r="H455" s="7">
        <v>5</v>
      </c>
      <c r="I455" s="7">
        <v>2</v>
      </c>
      <c r="J455" s="7">
        <v>10</v>
      </c>
      <c r="K455" s="7" t="s">
        <v>790</v>
      </c>
    </row>
    <row r="456" spans="1:11" x14ac:dyDescent="0.25">
      <c r="A456" s="7">
        <v>455</v>
      </c>
      <c r="B456" s="7" t="s">
        <v>657</v>
      </c>
      <c r="C456" s="7" t="s">
        <v>658</v>
      </c>
      <c r="D456" s="7" t="s">
        <v>659</v>
      </c>
      <c r="E456" s="7" t="s">
        <v>778</v>
      </c>
      <c r="F456" s="7" t="s">
        <v>145</v>
      </c>
      <c r="G456" s="7" t="s">
        <v>791</v>
      </c>
      <c r="H456" s="7">
        <v>3</v>
      </c>
      <c r="I456" s="7">
        <v>2</v>
      </c>
      <c r="J456" s="7">
        <v>6</v>
      </c>
      <c r="K456" s="7" t="s">
        <v>792</v>
      </c>
    </row>
    <row r="457" spans="1:11" x14ac:dyDescent="0.25">
      <c r="A457" s="7">
        <v>456</v>
      </c>
      <c r="B457" s="7" t="s">
        <v>657</v>
      </c>
      <c r="C457" s="7" t="s">
        <v>658</v>
      </c>
      <c r="D457" s="7" t="s">
        <v>659</v>
      </c>
      <c r="E457" s="7" t="s">
        <v>778</v>
      </c>
      <c r="F457" s="7" t="s">
        <v>145</v>
      </c>
      <c r="G457" s="7" t="s">
        <v>793</v>
      </c>
      <c r="H457" s="7">
        <v>4</v>
      </c>
      <c r="I457" s="7">
        <v>2</v>
      </c>
      <c r="J457" s="7">
        <v>8</v>
      </c>
      <c r="K457" s="7" t="s">
        <v>794</v>
      </c>
    </row>
    <row r="458" spans="1:11" x14ac:dyDescent="0.25">
      <c r="A458" s="7">
        <v>457</v>
      </c>
      <c r="B458" s="7" t="s">
        <v>657</v>
      </c>
      <c r="C458" s="7" t="s">
        <v>658</v>
      </c>
      <c r="D458" s="7" t="s">
        <v>659</v>
      </c>
      <c r="E458" s="7" t="s">
        <v>778</v>
      </c>
      <c r="F458" s="7" t="s">
        <v>145</v>
      </c>
      <c r="G458" s="7" t="s">
        <v>795</v>
      </c>
      <c r="H458" s="7">
        <v>4</v>
      </c>
      <c r="I458" s="7">
        <v>2</v>
      </c>
      <c r="J458" s="7">
        <v>8</v>
      </c>
      <c r="K458" s="7" t="s">
        <v>796</v>
      </c>
    </row>
    <row r="459" spans="1:11" x14ac:dyDescent="0.25">
      <c r="A459" s="7">
        <v>458</v>
      </c>
      <c r="B459" s="7" t="s">
        <v>657</v>
      </c>
      <c r="C459" s="7" t="s">
        <v>658</v>
      </c>
      <c r="D459" s="7" t="s">
        <v>659</v>
      </c>
      <c r="E459" s="7" t="s">
        <v>778</v>
      </c>
      <c r="F459" s="7" t="s">
        <v>145</v>
      </c>
      <c r="G459" s="7" t="s">
        <v>797</v>
      </c>
      <c r="H459" s="7">
        <v>4</v>
      </c>
      <c r="I459" s="7">
        <v>2</v>
      </c>
      <c r="J459" s="7">
        <v>8</v>
      </c>
      <c r="K459" s="7" t="s">
        <v>798</v>
      </c>
    </row>
    <row r="460" spans="1:11" x14ac:dyDescent="0.25">
      <c r="A460" s="7">
        <v>459</v>
      </c>
      <c r="B460" s="7" t="s">
        <v>657</v>
      </c>
      <c r="C460" s="7" t="s">
        <v>658</v>
      </c>
      <c r="D460" s="7" t="s">
        <v>659</v>
      </c>
      <c r="E460" s="7" t="s">
        <v>778</v>
      </c>
      <c r="F460" s="7" t="s">
        <v>145</v>
      </c>
      <c r="G460" s="7" t="s">
        <v>799</v>
      </c>
      <c r="H460" s="7">
        <v>6</v>
      </c>
      <c r="I460" s="7">
        <v>2</v>
      </c>
      <c r="J460" s="7">
        <v>12</v>
      </c>
      <c r="K460" s="7" t="s">
        <v>800</v>
      </c>
    </row>
    <row r="461" spans="1:11" x14ac:dyDescent="0.25">
      <c r="A461" s="7">
        <v>460</v>
      </c>
      <c r="B461" s="7" t="s">
        <v>657</v>
      </c>
      <c r="C461" s="7" t="s">
        <v>658</v>
      </c>
      <c r="D461" s="7" t="s">
        <v>659</v>
      </c>
      <c r="E461" s="7" t="s">
        <v>778</v>
      </c>
      <c r="F461" s="7" t="s">
        <v>145</v>
      </c>
      <c r="G461" s="7" t="s">
        <v>801</v>
      </c>
      <c r="H461" s="7">
        <v>3</v>
      </c>
      <c r="I461" s="7">
        <v>1</v>
      </c>
      <c r="J461" s="7">
        <v>3</v>
      </c>
      <c r="K461" s="7" t="s">
        <v>802</v>
      </c>
    </row>
    <row r="462" spans="1:11" x14ac:dyDescent="0.25">
      <c r="A462" s="7">
        <v>461</v>
      </c>
      <c r="B462" s="7" t="s">
        <v>657</v>
      </c>
      <c r="C462" s="7" t="s">
        <v>658</v>
      </c>
      <c r="D462" s="7" t="s">
        <v>659</v>
      </c>
      <c r="E462" s="7" t="s">
        <v>778</v>
      </c>
      <c r="F462" s="7" t="s">
        <v>145</v>
      </c>
      <c r="G462" s="7" t="s">
        <v>803</v>
      </c>
      <c r="H462" s="7">
        <v>6</v>
      </c>
      <c r="I462" s="7">
        <v>2</v>
      </c>
      <c r="J462" s="7">
        <v>12</v>
      </c>
      <c r="K462" s="7" t="s">
        <v>804</v>
      </c>
    </row>
    <row r="463" spans="1:11" x14ac:dyDescent="0.25">
      <c r="A463" s="7">
        <v>462</v>
      </c>
      <c r="B463" s="7" t="s">
        <v>657</v>
      </c>
      <c r="C463" s="7" t="s">
        <v>658</v>
      </c>
      <c r="D463" s="7" t="s">
        <v>659</v>
      </c>
      <c r="E463" s="7" t="s">
        <v>778</v>
      </c>
      <c r="F463" s="7" t="s">
        <v>145</v>
      </c>
      <c r="G463" s="7" t="s">
        <v>805</v>
      </c>
      <c r="H463" s="7">
        <v>8</v>
      </c>
      <c r="I463" s="7">
        <v>2</v>
      </c>
      <c r="J463" s="7">
        <v>16</v>
      </c>
      <c r="K463" s="7" t="s">
        <v>806</v>
      </c>
    </row>
    <row r="464" spans="1:11" x14ac:dyDescent="0.25">
      <c r="A464" s="7">
        <v>463</v>
      </c>
      <c r="B464" s="7" t="s">
        <v>657</v>
      </c>
      <c r="C464" s="7" t="s">
        <v>658</v>
      </c>
      <c r="D464" s="7" t="s">
        <v>659</v>
      </c>
      <c r="E464" s="7" t="s">
        <v>778</v>
      </c>
      <c r="F464" s="7" t="s">
        <v>145</v>
      </c>
      <c r="G464" s="7" t="s">
        <v>807</v>
      </c>
      <c r="H464" s="7">
        <v>4</v>
      </c>
      <c r="I464" s="7">
        <v>2</v>
      </c>
      <c r="J464" s="7">
        <v>8</v>
      </c>
      <c r="K464" s="7" t="s">
        <v>808</v>
      </c>
    </row>
    <row r="465" spans="1:11" x14ac:dyDescent="0.25">
      <c r="A465" s="7">
        <v>464</v>
      </c>
      <c r="B465" s="7" t="s">
        <v>657</v>
      </c>
      <c r="C465" s="7" t="s">
        <v>658</v>
      </c>
      <c r="D465" s="7" t="s">
        <v>659</v>
      </c>
      <c r="E465" s="7" t="s">
        <v>809</v>
      </c>
      <c r="F465" s="7" t="s">
        <v>145</v>
      </c>
      <c r="G465" s="7" t="s">
        <v>810</v>
      </c>
      <c r="H465" s="7">
        <v>4</v>
      </c>
      <c r="I465" s="7">
        <v>2</v>
      </c>
      <c r="J465" s="7">
        <v>8</v>
      </c>
      <c r="K465" s="7" t="s">
        <v>811</v>
      </c>
    </row>
    <row r="466" spans="1:11" x14ac:dyDescent="0.25">
      <c r="A466" s="7">
        <v>465</v>
      </c>
      <c r="B466" s="7" t="s">
        <v>657</v>
      </c>
      <c r="C466" s="7" t="s">
        <v>658</v>
      </c>
      <c r="D466" s="7" t="s">
        <v>659</v>
      </c>
      <c r="E466" s="7" t="s">
        <v>809</v>
      </c>
      <c r="F466" s="7" t="s">
        <v>145</v>
      </c>
      <c r="G466" s="7" t="s">
        <v>812</v>
      </c>
      <c r="H466" s="7">
        <v>4</v>
      </c>
      <c r="I466" s="7">
        <v>2</v>
      </c>
      <c r="J466" s="7">
        <v>8</v>
      </c>
      <c r="K466" s="7" t="s">
        <v>813</v>
      </c>
    </row>
    <row r="467" spans="1:11" x14ac:dyDescent="0.25">
      <c r="A467" s="7">
        <v>466</v>
      </c>
      <c r="B467" s="7" t="s">
        <v>657</v>
      </c>
      <c r="C467" s="7" t="s">
        <v>658</v>
      </c>
      <c r="D467" s="7" t="s">
        <v>659</v>
      </c>
      <c r="E467" s="7" t="s">
        <v>809</v>
      </c>
      <c r="F467" s="7" t="s">
        <v>145</v>
      </c>
      <c r="G467" s="7" t="s">
        <v>228</v>
      </c>
      <c r="H467" s="7">
        <v>2</v>
      </c>
      <c r="I467" s="7">
        <v>2</v>
      </c>
      <c r="J467" s="7">
        <v>4</v>
      </c>
      <c r="K467" s="7" t="s">
        <v>814</v>
      </c>
    </row>
    <row r="468" spans="1:11" x14ac:dyDescent="0.25">
      <c r="A468" s="7">
        <v>467</v>
      </c>
      <c r="B468" s="7" t="s">
        <v>657</v>
      </c>
      <c r="C468" s="7" t="s">
        <v>658</v>
      </c>
      <c r="D468" s="7" t="s">
        <v>659</v>
      </c>
      <c r="E468" s="7" t="s">
        <v>809</v>
      </c>
      <c r="F468" s="7" t="s">
        <v>145</v>
      </c>
      <c r="G468" s="7" t="s">
        <v>230</v>
      </c>
      <c r="H468" s="7">
        <v>4</v>
      </c>
      <c r="I468" s="7">
        <v>2</v>
      </c>
      <c r="J468" s="7">
        <v>8</v>
      </c>
      <c r="K468" s="7" t="s">
        <v>815</v>
      </c>
    </row>
    <row r="469" spans="1:11" x14ac:dyDescent="0.25">
      <c r="A469" s="7">
        <v>468</v>
      </c>
      <c r="B469" s="7" t="s">
        <v>657</v>
      </c>
      <c r="C469" s="7" t="s">
        <v>658</v>
      </c>
      <c r="D469" s="7" t="s">
        <v>659</v>
      </c>
      <c r="E469" s="7" t="s">
        <v>809</v>
      </c>
      <c r="F469" s="7" t="s">
        <v>145</v>
      </c>
      <c r="G469" s="7" t="s">
        <v>232</v>
      </c>
      <c r="H469" s="7">
        <v>5</v>
      </c>
      <c r="I469" s="7">
        <v>2</v>
      </c>
      <c r="J469" s="7">
        <v>10</v>
      </c>
      <c r="K469" s="7" t="s">
        <v>816</v>
      </c>
    </row>
    <row r="470" spans="1:11" x14ac:dyDescent="0.25">
      <c r="A470" s="7">
        <v>469</v>
      </c>
      <c r="B470" s="7" t="s">
        <v>657</v>
      </c>
      <c r="C470" s="7" t="s">
        <v>658</v>
      </c>
      <c r="D470" s="7" t="s">
        <v>659</v>
      </c>
      <c r="E470" s="7" t="s">
        <v>809</v>
      </c>
      <c r="F470" s="7" t="s">
        <v>145</v>
      </c>
      <c r="G470" s="7" t="s">
        <v>536</v>
      </c>
      <c r="H470" s="7">
        <v>6</v>
      </c>
      <c r="I470" s="7">
        <v>2</v>
      </c>
      <c r="J470" s="7">
        <v>12</v>
      </c>
      <c r="K470" s="7" t="s">
        <v>817</v>
      </c>
    </row>
    <row r="471" spans="1:11" x14ac:dyDescent="0.25">
      <c r="A471" s="7">
        <v>470</v>
      </c>
      <c r="B471" s="7" t="s">
        <v>657</v>
      </c>
      <c r="C471" s="7" t="s">
        <v>658</v>
      </c>
      <c r="D471" s="7" t="s">
        <v>659</v>
      </c>
      <c r="E471" s="7" t="s">
        <v>809</v>
      </c>
      <c r="F471" s="7" t="s">
        <v>145</v>
      </c>
      <c r="G471" s="7" t="s">
        <v>538</v>
      </c>
      <c r="H471" s="7">
        <v>12</v>
      </c>
      <c r="I471" s="7">
        <v>3</v>
      </c>
      <c r="J471" s="7">
        <v>36</v>
      </c>
      <c r="K471" s="7" t="s">
        <v>818</v>
      </c>
    </row>
    <row r="472" spans="1:11" x14ac:dyDescent="0.25">
      <c r="A472" s="7">
        <v>471</v>
      </c>
      <c r="B472" s="7" t="s">
        <v>657</v>
      </c>
      <c r="C472" s="7" t="s">
        <v>658</v>
      </c>
      <c r="D472" s="7" t="s">
        <v>659</v>
      </c>
      <c r="E472" s="7" t="s">
        <v>809</v>
      </c>
      <c r="F472" s="7" t="s">
        <v>145</v>
      </c>
      <c r="G472" s="7" t="s">
        <v>132</v>
      </c>
      <c r="H472" s="7">
        <v>6</v>
      </c>
      <c r="I472" s="7">
        <v>2</v>
      </c>
      <c r="J472" s="7">
        <v>12</v>
      </c>
      <c r="K472" s="7" t="s">
        <v>819</v>
      </c>
    </row>
    <row r="473" spans="1:11" x14ac:dyDescent="0.25">
      <c r="A473" s="7">
        <v>472</v>
      </c>
      <c r="B473" s="7" t="s">
        <v>657</v>
      </c>
      <c r="C473" s="7" t="s">
        <v>658</v>
      </c>
      <c r="D473" s="7" t="s">
        <v>659</v>
      </c>
      <c r="E473" s="7" t="s">
        <v>809</v>
      </c>
      <c r="F473" s="7" t="s">
        <v>145</v>
      </c>
      <c r="G473" s="7" t="s">
        <v>820</v>
      </c>
      <c r="H473" s="7">
        <v>4</v>
      </c>
      <c r="I473" s="7">
        <v>1</v>
      </c>
      <c r="J473" s="7">
        <v>4</v>
      </c>
      <c r="K473" s="7" t="s">
        <v>821</v>
      </c>
    </row>
    <row r="474" spans="1:11" x14ac:dyDescent="0.25">
      <c r="A474" s="7">
        <v>473</v>
      </c>
      <c r="B474" s="7" t="s">
        <v>657</v>
      </c>
      <c r="C474" s="7" t="s">
        <v>658</v>
      </c>
      <c r="D474" s="7" t="s">
        <v>659</v>
      </c>
      <c r="E474" s="7" t="s">
        <v>809</v>
      </c>
      <c r="F474" s="7" t="s">
        <v>145</v>
      </c>
      <c r="G474" s="7" t="s">
        <v>234</v>
      </c>
      <c r="H474" s="7">
        <v>4</v>
      </c>
      <c r="I474" s="7">
        <v>2</v>
      </c>
      <c r="J474" s="7">
        <v>8</v>
      </c>
      <c r="K474" s="7" t="s">
        <v>822</v>
      </c>
    </row>
    <row r="475" spans="1:11" x14ac:dyDescent="0.25">
      <c r="A475" s="7">
        <v>474</v>
      </c>
      <c r="B475" s="7" t="s">
        <v>657</v>
      </c>
      <c r="C475" s="7" t="s">
        <v>658</v>
      </c>
      <c r="D475" s="7" t="s">
        <v>659</v>
      </c>
      <c r="E475" s="7" t="s">
        <v>809</v>
      </c>
      <c r="F475" s="7" t="s">
        <v>145</v>
      </c>
      <c r="G475" s="7" t="s">
        <v>823</v>
      </c>
      <c r="H475" s="7">
        <v>2</v>
      </c>
      <c r="I475" s="7">
        <v>2</v>
      </c>
      <c r="J475" s="7">
        <v>4</v>
      </c>
      <c r="K475" s="7" t="s">
        <v>824</v>
      </c>
    </row>
    <row r="476" spans="1:11" x14ac:dyDescent="0.25">
      <c r="A476" s="7">
        <v>475</v>
      </c>
      <c r="B476" s="7" t="s">
        <v>657</v>
      </c>
      <c r="C476" s="7" t="s">
        <v>658</v>
      </c>
      <c r="D476" s="7" t="s">
        <v>659</v>
      </c>
      <c r="E476" s="7" t="s">
        <v>809</v>
      </c>
      <c r="F476" s="7" t="s">
        <v>145</v>
      </c>
      <c r="G476" s="7" t="s">
        <v>549</v>
      </c>
      <c r="H476" s="7">
        <v>2</v>
      </c>
      <c r="I476" s="7">
        <v>1</v>
      </c>
      <c r="J476" s="7">
        <v>2</v>
      </c>
      <c r="K476" s="7" t="s">
        <v>825</v>
      </c>
    </row>
    <row r="477" spans="1:11" x14ac:dyDescent="0.25">
      <c r="A477" s="7">
        <v>476</v>
      </c>
      <c r="B477" s="7" t="s">
        <v>657</v>
      </c>
      <c r="C477" s="7" t="s">
        <v>658</v>
      </c>
      <c r="D477" s="7" t="s">
        <v>659</v>
      </c>
      <c r="E477" s="7" t="s">
        <v>809</v>
      </c>
      <c r="F477" s="7" t="s">
        <v>145</v>
      </c>
      <c r="G477" s="7" t="s">
        <v>826</v>
      </c>
      <c r="H477" s="7">
        <v>3</v>
      </c>
      <c r="I477" s="7">
        <v>2</v>
      </c>
      <c r="J477" s="7">
        <v>6</v>
      </c>
      <c r="K477" s="7" t="s">
        <v>827</v>
      </c>
    </row>
    <row r="478" spans="1:11" x14ac:dyDescent="0.25">
      <c r="A478" s="7">
        <v>477</v>
      </c>
      <c r="B478" s="7" t="s">
        <v>657</v>
      </c>
      <c r="C478" s="7" t="s">
        <v>658</v>
      </c>
      <c r="D478" s="7" t="s">
        <v>659</v>
      </c>
      <c r="E478" s="7" t="s">
        <v>809</v>
      </c>
      <c r="F478" s="7" t="s">
        <v>145</v>
      </c>
      <c r="G478" s="7" t="s">
        <v>828</v>
      </c>
      <c r="H478" s="7">
        <v>6</v>
      </c>
      <c r="I478" s="7">
        <v>2</v>
      </c>
      <c r="J478" s="7">
        <v>12</v>
      </c>
      <c r="K478" s="7" t="s">
        <v>829</v>
      </c>
    </row>
    <row r="479" spans="1:11" x14ac:dyDescent="0.25">
      <c r="A479" s="7">
        <v>478</v>
      </c>
      <c r="B479" s="7" t="s">
        <v>657</v>
      </c>
      <c r="C479" s="7" t="s">
        <v>658</v>
      </c>
      <c r="D479" s="7" t="s">
        <v>659</v>
      </c>
      <c r="E479" s="7" t="s">
        <v>809</v>
      </c>
      <c r="F479" s="7" t="s">
        <v>145</v>
      </c>
      <c r="G479" s="7" t="s">
        <v>553</v>
      </c>
      <c r="H479" s="7">
        <v>4</v>
      </c>
      <c r="I479" s="7">
        <v>2</v>
      </c>
      <c r="J479" s="7">
        <v>8</v>
      </c>
      <c r="K479" s="7" t="s">
        <v>830</v>
      </c>
    </row>
    <row r="480" spans="1:11" x14ac:dyDescent="0.25">
      <c r="A480" s="7">
        <v>479</v>
      </c>
      <c r="B480" s="7" t="s">
        <v>657</v>
      </c>
      <c r="C480" s="7" t="s">
        <v>658</v>
      </c>
      <c r="D480" s="7" t="s">
        <v>659</v>
      </c>
      <c r="E480" s="7" t="s">
        <v>809</v>
      </c>
      <c r="F480" s="7" t="s">
        <v>145</v>
      </c>
      <c r="G480" s="7" t="s">
        <v>242</v>
      </c>
      <c r="H480" s="7">
        <v>2</v>
      </c>
      <c r="I480" s="7">
        <v>1</v>
      </c>
      <c r="J480" s="7">
        <v>2</v>
      </c>
      <c r="K480" s="7" t="s">
        <v>831</v>
      </c>
    </row>
    <row r="481" spans="1:11" x14ac:dyDescent="0.25">
      <c r="A481" s="7">
        <v>480</v>
      </c>
      <c r="B481" s="7" t="s">
        <v>657</v>
      </c>
      <c r="C481" s="7" t="s">
        <v>658</v>
      </c>
      <c r="D481" s="7" t="s">
        <v>659</v>
      </c>
      <c r="E481" s="7" t="s">
        <v>809</v>
      </c>
      <c r="F481" s="7" t="s">
        <v>145</v>
      </c>
      <c r="G481" s="7" t="s">
        <v>832</v>
      </c>
      <c r="H481" s="7">
        <v>2</v>
      </c>
      <c r="I481" s="7">
        <v>2</v>
      </c>
      <c r="J481" s="7">
        <v>4</v>
      </c>
      <c r="K481" s="7" t="s">
        <v>833</v>
      </c>
    </row>
    <row r="482" spans="1:11" x14ac:dyDescent="0.25">
      <c r="A482" s="7">
        <v>481</v>
      </c>
      <c r="B482" s="7" t="s">
        <v>657</v>
      </c>
      <c r="C482" s="7" t="s">
        <v>658</v>
      </c>
      <c r="D482" s="7" t="s">
        <v>659</v>
      </c>
      <c r="E482" s="7" t="s">
        <v>809</v>
      </c>
      <c r="F482" s="7" t="s">
        <v>145</v>
      </c>
      <c r="G482" s="7" t="s">
        <v>834</v>
      </c>
      <c r="H482" s="7">
        <v>8</v>
      </c>
      <c r="I482" s="7">
        <v>2</v>
      </c>
      <c r="J482" s="7">
        <v>16</v>
      </c>
      <c r="K482" s="7" t="s">
        <v>835</v>
      </c>
    </row>
    <row r="483" spans="1:11" x14ac:dyDescent="0.25">
      <c r="A483" s="7">
        <v>482</v>
      </c>
      <c r="B483" s="7" t="s">
        <v>657</v>
      </c>
      <c r="C483" s="7" t="s">
        <v>658</v>
      </c>
      <c r="D483" s="7" t="s">
        <v>659</v>
      </c>
      <c r="E483" s="7" t="s">
        <v>809</v>
      </c>
      <c r="F483" s="7" t="s">
        <v>145</v>
      </c>
      <c r="G483" s="7" t="s">
        <v>836</v>
      </c>
      <c r="H483" s="7">
        <v>8</v>
      </c>
      <c r="I483" s="7">
        <v>2</v>
      </c>
      <c r="J483" s="7">
        <v>16</v>
      </c>
      <c r="K483" s="7" t="s">
        <v>837</v>
      </c>
    </row>
    <row r="484" spans="1:11" x14ac:dyDescent="0.25">
      <c r="A484" s="7">
        <v>483</v>
      </c>
      <c r="B484" s="7" t="s">
        <v>657</v>
      </c>
      <c r="C484" s="7" t="s">
        <v>658</v>
      </c>
      <c r="D484" s="7" t="s">
        <v>659</v>
      </c>
      <c r="E484" s="7" t="s">
        <v>809</v>
      </c>
      <c r="F484" s="7" t="s">
        <v>145</v>
      </c>
      <c r="G484" s="7" t="s">
        <v>246</v>
      </c>
      <c r="H484" s="7">
        <v>4</v>
      </c>
      <c r="I484" s="7">
        <v>2</v>
      </c>
      <c r="J484" s="7">
        <v>8</v>
      </c>
      <c r="K484" s="7" t="s">
        <v>838</v>
      </c>
    </row>
    <row r="485" spans="1:11" x14ac:dyDescent="0.25">
      <c r="A485" s="7">
        <v>484</v>
      </c>
      <c r="B485" s="7" t="s">
        <v>657</v>
      </c>
      <c r="C485" s="7" t="s">
        <v>658</v>
      </c>
      <c r="D485" s="7" t="s">
        <v>659</v>
      </c>
      <c r="E485" s="7" t="s">
        <v>809</v>
      </c>
      <c r="F485" s="7" t="s">
        <v>145</v>
      </c>
      <c r="G485" s="7" t="s">
        <v>252</v>
      </c>
      <c r="H485" s="7">
        <v>2</v>
      </c>
      <c r="I485" s="7">
        <v>2</v>
      </c>
      <c r="J485" s="7">
        <v>4</v>
      </c>
      <c r="K485" s="7" t="s">
        <v>839</v>
      </c>
    </row>
    <row r="486" spans="1:11" x14ac:dyDescent="0.25">
      <c r="A486" s="7">
        <v>485</v>
      </c>
      <c r="B486" s="7" t="s">
        <v>657</v>
      </c>
      <c r="C486" s="7" t="s">
        <v>658</v>
      </c>
      <c r="D486" s="7" t="s">
        <v>659</v>
      </c>
      <c r="E486" s="7" t="s">
        <v>809</v>
      </c>
      <c r="F486" s="7" t="s">
        <v>145</v>
      </c>
      <c r="G486" s="7" t="s">
        <v>254</v>
      </c>
      <c r="H486" s="7">
        <v>1</v>
      </c>
      <c r="I486" s="7">
        <v>1</v>
      </c>
      <c r="J486" s="7">
        <v>1</v>
      </c>
      <c r="K486" s="7" t="s">
        <v>840</v>
      </c>
    </row>
    <row r="487" spans="1:11" x14ac:dyDescent="0.25">
      <c r="A487" s="7">
        <v>486</v>
      </c>
      <c r="B487" s="7" t="s">
        <v>657</v>
      </c>
      <c r="C487" s="7" t="s">
        <v>658</v>
      </c>
      <c r="D487" s="7" t="s">
        <v>659</v>
      </c>
      <c r="E487" s="7" t="s">
        <v>809</v>
      </c>
      <c r="F487" s="7" t="s">
        <v>145</v>
      </c>
      <c r="G487" s="7" t="s">
        <v>841</v>
      </c>
      <c r="H487" s="7">
        <v>6</v>
      </c>
      <c r="I487" s="7">
        <v>2</v>
      </c>
      <c r="J487" s="7">
        <v>12</v>
      </c>
      <c r="K487" s="7" t="s">
        <v>842</v>
      </c>
    </row>
    <row r="488" spans="1:11" x14ac:dyDescent="0.25">
      <c r="A488" s="7">
        <v>487</v>
      </c>
      <c r="B488" s="7" t="s">
        <v>657</v>
      </c>
      <c r="C488" s="7" t="s">
        <v>658</v>
      </c>
      <c r="D488" s="7" t="s">
        <v>659</v>
      </c>
      <c r="E488" s="7" t="s">
        <v>809</v>
      </c>
      <c r="F488" s="7" t="s">
        <v>145</v>
      </c>
      <c r="G488" s="7" t="s">
        <v>843</v>
      </c>
      <c r="H488" s="7">
        <v>4</v>
      </c>
      <c r="I488" s="7">
        <v>2</v>
      </c>
      <c r="J488" s="7">
        <v>8</v>
      </c>
      <c r="K488" s="7" t="s">
        <v>844</v>
      </c>
    </row>
    <row r="489" spans="1:11" x14ac:dyDescent="0.25">
      <c r="A489" s="7">
        <v>488</v>
      </c>
      <c r="B489" s="7" t="s">
        <v>657</v>
      </c>
      <c r="C489" s="7" t="s">
        <v>658</v>
      </c>
      <c r="D489" s="7" t="s">
        <v>659</v>
      </c>
      <c r="E489" s="7" t="s">
        <v>323</v>
      </c>
      <c r="F489" s="7" t="s">
        <v>145</v>
      </c>
      <c r="G489" s="7" t="s">
        <v>613</v>
      </c>
      <c r="H489" s="7">
        <v>10</v>
      </c>
      <c r="I489" s="7">
        <v>2</v>
      </c>
      <c r="J489" s="7">
        <v>20</v>
      </c>
      <c r="K489" s="7" t="s">
        <v>845</v>
      </c>
    </row>
    <row r="490" spans="1:11" x14ac:dyDescent="0.25">
      <c r="A490" s="7">
        <v>489</v>
      </c>
      <c r="B490" s="7" t="s">
        <v>657</v>
      </c>
      <c r="C490" s="7" t="s">
        <v>658</v>
      </c>
      <c r="D490" s="7" t="s">
        <v>659</v>
      </c>
      <c r="E490" s="7" t="s">
        <v>323</v>
      </c>
      <c r="F490" s="7" t="s">
        <v>145</v>
      </c>
      <c r="G490" s="7" t="s">
        <v>326</v>
      </c>
      <c r="H490" s="7">
        <v>1</v>
      </c>
      <c r="I490" s="7">
        <v>1</v>
      </c>
      <c r="J490" s="7">
        <v>1</v>
      </c>
      <c r="K490" s="7" t="s">
        <v>846</v>
      </c>
    </row>
    <row r="491" spans="1:11" x14ac:dyDescent="0.25">
      <c r="A491" s="7">
        <v>490</v>
      </c>
      <c r="B491" s="7" t="s">
        <v>657</v>
      </c>
      <c r="C491" s="7" t="s">
        <v>658</v>
      </c>
      <c r="D491" s="7" t="s">
        <v>659</v>
      </c>
      <c r="E491" s="7" t="s">
        <v>323</v>
      </c>
      <c r="F491" s="7" t="s">
        <v>145</v>
      </c>
      <c r="G491" s="7" t="s">
        <v>328</v>
      </c>
      <c r="H491" s="7">
        <v>0.5</v>
      </c>
      <c r="I491" s="7">
        <v>1</v>
      </c>
      <c r="J491" s="7">
        <v>0.5</v>
      </c>
      <c r="K491" s="7" t="s">
        <v>847</v>
      </c>
    </row>
    <row r="492" spans="1:11" x14ac:dyDescent="0.25">
      <c r="A492" s="7">
        <v>491</v>
      </c>
      <c r="B492" s="7" t="s">
        <v>657</v>
      </c>
      <c r="C492" s="7" t="s">
        <v>658</v>
      </c>
      <c r="D492" s="7" t="s">
        <v>659</v>
      </c>
      <c r="E492" s="7" t="s">
        <v>323</v>
      </c>
      <c r="F492" s="7" t="s">
        <v>145</v>
      </c>
      <c r="G492" s="7" t="s">
        <v>617</v>
      </c>
      <c r="H492" s="7">
        <v>1</v>
      </c>
      <c r="I492" s="7">
        <v>1</v>
      </c>
      <c r="J492" s="7">
        <v>1</v>
      </c>
      <c r="K492" s="7" t="s">
        <v>848</v>
      </c>
    </row>
    <row r="493" spans="1:11" x14ac:dyDescent="0.25">
      <c r="A493" s="7">
        <v>492</v>
      </c>
      <c r="B493" s="7" t="s">
        <v>657</v>
      </c>
      <c r="C493" s="7" t="s">
        <v>658</v>
      </c>
      <c r="D493" s="7" t="s">
        <v>659</v>
      </c>
      <c r="E493" s="7" t="s">
        <v>323</v>
      </c>
      <c r="F493" s="7" t="s">
        <v>145</v>
      </c>
      <c r="G493" s="7" t="s">
        <v>332</v>
      </c>
      <c r="H493" s="7">
        <v>4</v>
      </c>
      <c r="I493" s="7">
        <v>2</v>
      </c>
      <c r="J493" s="7">
        <v>8</v>
      </c>
      <c r="K493" s="7" t="s">
        <v>849</v>
      </c>
    </row>
    <row r="494" spans="1:11" x14ac:dyDescent="0.25">
      <c r="A494" s="7">
        <v>493</v>
      </c>
      <c r="B494" s="7" t="s">
        <v>657</v>
      </c>
      <c r="C494" s="7" t="s">
        <v>658</v>
      </c>
      <c r="D494" s="7" t="s">
        <v>659</v>
      </c>
      <c r="E494" s="7" t="s">
        <v>850</v>
      </c>
      <c r="F494" s="7" t="s">
        <v>145</v>
      </c>
      <c r="G494" s="7" t="s">
        <v>335</v>
      </c>
      <c r="H494" s="7">
        <v>5</v>
      </c>
      <c r="I494" s="7">
        <v>3</v>
      </c>
      <c r="J494" s="7">
        <v>15</v>
      </c>
      <c r="K494" s="7" t="s">
        <v>851</v>
      </c>
    </row>
    <row r="495" spans="1:11" x14ac:dyDescent="0.25">
      <c r="A495" s="7">
        <v>494</v>
      </c>
      <c r="B495" s="7" t="s">
        <v>657</v>
      </c>
      <c r="C495" s="7" t="s">
        <v>658</v>
      </c>
      <c r="D495" s="7" t="s">
        <v>659</v>
      </c>
      <c r="E495" s="7" t="s">
        <v>850</v>
      </c>
      <c r="F495" s="7" t="s">
        <v>145</v>
      </c>
      <c r="G495" s="7" t="s">
        <v>337</v>
      </c>
      <c r="H495" s="7">
        <v>2</v>
      </c>
      <c r="I495" s="7">
        <v>2</v>
      </c>
      <c r="J495" s="7">
        <v>4</v>
      </c>
      <c r="K495" s="7" t="s">
        <v>852</v>
      </c>
    </row>
    <row r="496" spans="1:11" x14ac:dyDescent="0.25">
      <c r="A496" s="7">
        <v>495</v>
      </c>
      <c r="B496" s="7" t="s">
        <v>657</v>
      </c>
      <c r="C496" s="7" t="s">
        <v>658</v>
      </c>
      <c r="D496" s="7" t="s">
        <v>659</v>
      </c>
      <c r="E496" s="7" t="s">
        <v>850</v>
      </c>
      <c r="F496" s="7" t="s">
        <v>145</v>
      </c>
      <c r="G496" s="7" t="s">
        <v>339</v>
      </c>
      <c r="H496" s="7">
        <v>2</v>
      </c>
      <c r="I496" s="7">
        <v>2</v>
      </c>
      <c r="J496" s="7">
        <v>4</v>
      </c>
      <c r="K496" s="7" t="s">
        <v>853</v>
      </c>
    </row>
    <row r="497" spans="1:11" x14ac:dyDescent="0.25">
      <c r="A497" s="7">
        <v>496</v>
      </c>
      <c r="B497" s="7" t="s">
        <v>657</v>
      </c>
      <c r="C497" s="7" t="s">
        <v>658</v>
      </c>
      <c r="D497" s="7" t="s">
        <v>659</v>
      </c>
      <c r="E497" s="7" t="s">
        <v>850</v>
      </c>
      <c r="F497" s="7" t="s">
        <v>145</v>
      </c>
      <c r="G497" s="7" t="s">
        <v>341</v>
      </c>
      <c r="H497" s="7">
        <v>4</v>
      </c>
      <c r="I497" s="7">
        <v>2</v>
      </c>
      <c r="J497" s="7">
        <v>8</v>
      </c>
      <c r="K497" s="7" t="s">
        <v>854</v>
      </c>
    </row>
    <row r="498" spans="1:11" x14ac:dyDescent="0.25">
      <c r="A498" s="7">
        <v>497</v>
      </c>
      <c r="B498" s="7" t="s">
        <v>657</v>
      </c>
      <c r="C498" s="7" t="s">
        <v>658</v>
      </c>
      <c r="D498" s="7" t="s">
        <v>659</v>
      </c>
      <c r="E498" s="7" t="s">
        <v>850</v>
      </c>
      <c r="F498" s="7" t="s">
        <v>145</v>
      </c>
      <c r="G498" s="7" t="s">
        <v>343</v>
      </c>
      <c r="H498" s="7">
        <v>1</v>
      </c>
      <c r="I498" s="7">
        <v>1</v>
      </c>
      <c r="J498" s="7">
        <v>1</v>
      </c>
      <c r="K498" s="7" t="s">
        <v>855</v>
      </c>
    </row>
    <row r="499" spans="1:11" x14ac:dyDescent="0.25">
      <c r="A499" s="7">
        <v>498</v>
      </c>
      <c r="B499" s="7" t="s">
        <v>657</v>
      </c>
      <c r="C499" s="7" t="s">
        <v>658</v>
      </c>
      <c r="D499" s="7" t="s">
        <v>659</v>
      </c>
      <c r="E499" s="7" t="s">
        <v>850</v>
      </c>
      <c r="F499" s="7" t="s">
        <v>145</v>
      </c>
      <c r="G499" s="7" t="s">
        <v>345</v>
      </c>
      <c r="H499" s="7">
        <v>2</v>
      </c>
      <c r="I499" s="7">
        <v>2</v>
      </c>
      <c r="J499" s="7">
        <v>4</v>
      </c>
      <c r="K499" s="7" t="s">
        <v>856</v>
      </c>
    </row>
    <row r="500" spans="1:11" x14ac:dyDescent="0.25">
      <c r="A500" s="7">
        <v>499</v>
      </c>
      <c r="B500" s="7" t="s">
        <v>657</v>
      </c>
      <c r="C500" s="7" t="s">
        <v>658</v>
      </c>
      <c r="D500" s="7" t="s">
        <v>659</v>
      </c>
      <c r="E500" s="7" t="s">
        <v>850</v>
      </c>
      <c r="F500" s="7" t="s">
        <v>145</v>
      </c>
      <c r="G500" s="7" t="s">
        <v>347</v>
      </c>
      <c r="H500" s="7">
        <v>4</v>
      </c>
      <c r="I500" s="7">
        <v>2</v>
      </c>
      <c r="J500" s="7">
        <v>8</v>
      </c>
      <c r="K500" s="7" t="s">
        <v>857</v>
      </c>
    </row>
    <row r="501" spans="1:11" x14ac:dyDescent="0.25">
      <c r="A501" s="7">
        <v>500</v>
      </c>
      <c r="B501" s="7" t="s">
        <v>657</v>
      </c>
      <c r="C501" s="7" t="s">
        <v>658</v>
      </c>
      <c r="D501" s="7" t="s">
        <v>659</v>
      </c>
      <c r="E501" s="7" t="s">
        <v>850</v>
      </c>
      <c r="F501" s="7" t="s">
        <v>145</v>
      </c>
      <c r="G501" s="7" t="s">
        <v>349</v>
      </c>
      <c r="H501" s="7">
        <v>1.5</v>
      </c>
      <c r="I501" s="7">
        <v>1</v>
      </c>
      <c r="J501" s="7">
        <v>1.5</v>
      </c>
      <c r="K501" s="7" t="s">
        <v>858</v>
      </c>
    </row>
    <row r="502" spans="1:11" x14ac:dyDescent="0.25">
      <c r="A502" s="7">
        <v>501</v>
      </c>
      <c r="B502" s="7" t="s">
        <v>657</v>
      </c>
      <c r="C502" s="7" t="s">
        <v>658</v>
      </c>
      <c r="D502" s="7" t="s">
        <v>659</v>
      </c>
      <c r="E502" s="7" t="s">
        <v>850</v>
      </c>
      <c r="F502" s="7" t="s">
        <v>145</v>
      </c>
      <c r="G502" s="7" t="s">
        <v>351</v>
      </c>
      <c r="H502" s="7">
        <v>3</v>
      </c>
      <c r="I502" s="7">
        <v>2</v>
      </c>
      <c r="J502" s="7">
        <v>6</v>
      </c>
      <c r="K502" s="7" t="s">
        <v>859</v>
      </c>
    </row>
    <row r="503" spans="1:11" x14ac:dyDescent="0.25">
      <c r="A503" s="7">
        <v>502</v>
      </c>
      <c r="B503" s="7" t="s">
        <v>657</v>
      </c>
      <c r="C503" s="7" t="s">
        <v>658</v>
      </c>
      <c r="D503" s="7" t="s">
        <v>659</v>
      </c>
      <c r="E503" s="7" t="s">
        <v>850</v>
      </c>
      <c r="F503" s="7" t="s">
        <v>145</v>
      </c>
      <c r="G503" s="7" t="s">
        <v>353</v>
      </c>
      <c r="H503" s="7">
        <v>1</v>
      </c>
      <c r="I503" s="7">
        <v>1</v>
      </c>
      <c r="J503" s="7">
        <v>1</v>
      </c>
      <c r="K503" s="7" t="s">
        <v>860</v>
      </c>
    </row>
    <row r="504" spans="1:11" x14ac:dyDescent="0.25">
      <c r="A504" s="7">
        <v>503</v>
      </c>
      <c r="B504" s="7" t="s">
        <v>657</v>
      </c>
      <c r="C504" s="7" t="s">
        <v>658</v>
      </c>
      <c r="D504" s="7" t="s">
        <v>659</v>
      </c>
      <c r="E504" s="7" t="s">
        <v>850</v>
      </c>
      <c r="F504" s="7" t="s">
        <v>145</v>
      </c>
      <c r="G504" s="7" t="s">
        <v>355</v>
      </c>
      <c r="H504" s="7">
        <v>2</v>
      </c>
      <c r="I504" s="7">
        <v>2</v>
      </c>
      <c r="J504" s="7">
        <v>4</v>
      </c>
      <c r="K504" s="7" t="s">
        <v>861</v>
      </c>
    </row>
    <row r="505" spans="1:11" x14ac:dyDescent="0.25">
      <c r="A505" s="7">
        <v>504</v>
      </c>
      <c r="B505" s="7" t="s">
        <v>657</v>
      </c>
      <c r="C505" s="7" t="s">
        <v>658</v>
      </c>
      <c r="D505" s="7" t="s">
        <v>659</v>
      </c>
      <c r="E505" s="7" t="s">
        <v>850</v>
      </c>
      <c r="F505" s="7" t="s">
        <v>145</v>
      </c>
      <c r="G505" s="7" t="s">
        <v>357</v>
      </c>
      <c r="H505" s="7">
        <v>2</v>
      </c>
      <c r="I505" s="7">
        <v>1</v>
      </c>
      <c r="J505" s="7">
        <v>2</v>
      </c>
      <c r="K505" s="7" t="s">
        <v>862</v>
      </c>
    </row>
    <row r="506" spans="1:11" x14ac:dyDescent="0.25">
      <c r="A506" s="7">
        <v>505</v>
      </c>
      <c r="B506" s="7" t="s">
        <v>657</v>
      </c>
      <c r="C506" s="7" t="s">
        <v>658</v>
      </c>
      <c r="D506" s="7" t="s">
        <v>659</v>
      </c>
      <c r="E506" s="7" t="s">
        <v>850</v>
      </c>
      <c r="F506" s="7" t="s">
        <v>145</v>
      </c>
      <c r="G506" s="7" t="s">
        <v>359</v>
      </c>
      <c r="H506" s="7">
        <v>2</v>
      </c>
      <c r="I506" s="7">
        <v>2</v>
      </c>
      <c r="J506" s="7">
        <v>4</v>
      </c>
      <c r="K506" s="7" t="s">
        <v>863</v>
      </c>
    </row>
    <row r="507" spans="1:11" x14ac:dyDescent="0.25">
      <c r="A507" s="7">
        <v>506</v>
      </c>
      <c r="B507" s="7" t="s">
        <v>657</v>
      </c>
      <c r="C507" s="7" t="s">
        <v>658</v>
      </c>
      <c r="D507" s="7" t="s">
        <v>659</v>
      </c>
      <c r="E507" s="7" t="s">
        <v>850</v>
      </c>
      <c r="F507" s="7" t="s">
        <v>145</v>
      </c>
      <c r="G507" s="7" t="s">
        <v>637</v>
      </c>
      <c r="H507" s="7">
        <v>4</v>
      </c>
      <c r="I507" s="7">
        <v>2</v>
      </c>
      <c r="J507" s="7">
        <v>8</v>
      </c>
      <c r="K507" s="7" t="s">
        <v>864</v>
      </c>
    </row>
    <row r="508" spans="1:11" x14ac:dyDescent="0.25">
      <c r="A508" s="7">
        <v>507</v>
      </c>
      <c r="B508" s="7" t="s">
        <v>657</v>
      </c>
      <c r="C508" s="7" t="s">
        <v>658</v>
      </c>
      <c r="D508" s="7" t="s">
        <v>659</v>
      </c>
      <c r="E508" s="7" t="s">
        <v>850</v>
      </c>
      <c r="F508" s="7" t="s">
        <v>145</v>
      </c>
      <c r="G508" s="7" t="s">
        <v>361</v>
      </c>
      <c r="H508" s="7">
        <v>2</v>
      </c>
      <c r="I508" s="7">
        <v>3</v>
      </c>
      <c r="J508" s="7">
        <v>6</v>
      </c>
      <c r="K508" s="7" t="s">
        <v>865</v>
      </c>
    </row>
    <row r="509" spans="1:11" x14ac:dyDescent="0.25">
      <c r="A509" s="7">
        <v>508</v>
      </c>
      <c r="B509" s="7" t="s">
        <v>657</v>
      </c>
      <c r="C509" s="7" t="s">
        <v>658</v>
      </c>
      <c r="D509" s="7" t="s">
        <v>659</v>
      </c>
      <c r="E509" s="7" t="s">
        <v>850</v>
      </c>
      <c r="F509" s="7" t="s">
        <v>145</v>
      </c>
      <c r="G509" s="7" t="s">
        <v>363</v>
      </c>
      <c r="H509" s="7">
        <v>4</v>
      </c>
      <c r="I509" s="7">
        <v>2</v>
      </c>
      <c r="J509" s="7">
        <v>8</v>
      </c>
      <c r="K509" s="7" t="s">
        <v>866</v>
      </c>
    </row>
    <row r="510" spans="1:11" x14ac:dyDescent="0.25">
      <c r="A510" s="7">
        <v>509</v>
      </c>
      <c r="B510" s="7" t="s">
        <v>657</v>
      </c>
      <c r="C510" s="7" t="s">
        <v>658</v>
      </c>
      <c r="D510" s="7" t="s">
        <v>659</v>
      </c>
      <c r="E510" s="7" t="s">
        <v>850</v>
      </c>
      <c r="F510" s="7" t="s">
        <v>145</v>
      </c>
      <c r="G510" s="7" t="s">
        <v>365</v>
      </c>
      <c r="H510" s="7">
        <v>16</v>
      </c>
      <c r="I510" s="7">
        <v>2</v>
      </c>
      <c r="J510" s="7">
        <v>32</v>
      </c>
      <c r="K510" s="7" t="s">
        <v>867</v>
      </c>
    </row>
    <row r="511" spans="1:11" x14ac:dyDescent="0.25">
      <c r="A511" s="7">
        <v>510</v>
      </c>
      <c r="B511" s="7" t="s">
        <v>657</v>
      </c>
      <c r="C511" s="7" t="s">
        <v>658</v>
      </c>
      <c r="D511" s="7" t="s">
        <v>659</v>
      </c>
      <c r="E511" s="7" t="s">
        <v>850</v>
      </c>
      <c r="F511" s="7" t="s">
        <v>145</v>
      </c>
      <c r="G511" s="7" t="s">
        <v>367</v>
      </c>
      <c r="H511" s="7">
        <v>8</v>
      </c>
      <c r="I511" s="7">
        <v>2</v>
      </c>
      <c r="J511" s="7">
        <v>16</v>
      </c>
      <c r="K511" s="7" t="s">
        <v>868</v>
      </c>
    </row>
    <row r="512" spans="1:11" x14ac:dyDescent="0.25">
      <c r="A512" s="7">
        <v>511</v>
      </c>
      <c r="B512" s="7" t="s">
        <v>657</v>
      </c>
      <c r="C512" s="7" t="s">
        <v>658</v>
      </c>
      <c r="D512" s="7" t="s">
        <v>659</v>
      </c>
      <c r="E512" s="7" t="s">
        <v>850</v>
      </c>
      <c r="F512" s="7" t="s">
        <v>145</v>
      </c>
      <c r="G512" s="7" t="s">
        <v>371</v>
      </c>
      <c r="H512" s="7">
        <v>2</v>
      </c>
      <c r="I512" s="7">
        <v>2</v>
      </c>
      <c r="J512" s="7">
        <v>4</v>
      </c>
      <c r="K512" s="7" t="s">
        <v>869</v>
      </c>
    </row>
    <row r="513" spans="1:11" x14ac:dyDescent="0.25">
      <c r="A513" s="7">
        <v>512</v>
      </c>
      <c r="B513" s="7" t="s">
        <v>657</v>
      </c>
      <c r="C513" s="7" t="s">
        <v>658</v>
      </c>
      <c r="D513" s="7" t="s">
        <v>659</v>
      </c>
      <c r="E513" s="7" t="s">
        <v>850</v>
      </c>
      <c r="F513" s="7" t="s">
        <v>145</v>
      </c>
      <c r="G513" s="7" t="s">
        <v>373</v>
      </c>
      <c r="H513" s="7">
        <v>4</v>
      </c>
      <c r="I513" s="7">
        <v>2</v>
      </c>
      <c r="J513" s="7">
        <v>8</v>
      </c>
      <c r="K513" s="7" t="s">
        <v>870</v>
      </c>
    </row>
    <row r="514" spans="1:11" x14ac:dyDescent="0.25">
      <c r="A514" s="7">
        <v>513</v>
      </c>
      <c r="B514" s="7" t="s">
        <v>657</v>
      </c>
      <c r="C514" s="7" t="s">
        <v>658</v>
      </c>
      <c r="D514" s="7" t="s">
        <v>659</v>
      </c>
      <c r="E514" s="7" t="s">
        <v>850</v>
      </c>
      <c r="F514" s="7" t="s">
        <v>145</v>
      </c>
      <c r="G514" s="7" t="s">
        <v>375</v>
      </c>
      <c r="H514" s="7">
        <v>8</v>
      </c>
      <c r="I514" s="7">
        <v>2</v>
      </c>
      <c r="J514" s="7">
        <v>16</v>
      </c>
      <c r="K514" s="7" t="s">
        <v>871</v>
      </c>
    </row>
    <row r="515" spans="1:11" x14ac:dyDescent="0.25">
      <c r="A515" s="7">
        <v>514</v>
      </c>
      <c r="B515" s="7" t="s">
        <v>657</v>
      </c>
      <c r="C515" s="7" t="s">
        <v>658</v>
      </c>
      <c r="D515" s="7" t="s">
        <v>659</v>
      </c>
      <c r="E515" s="7" t="s">
        <v>850</v>
      </c>
      <c r="F515" s="7" t="s">
        <v>145</v>
      </c>
      <c r="G515" s="7" t="s">
        <v>377</v>
      </c>
      <c r="H515" s="7">
        <v>0.5</v>
      </c>
      <c r="I515" s="7">
        <v>1</v>
      </c>
      <c r="J515" s="7">
        <v>0.5</v>
      </c>
      <c r="K515" s="7" t="s">
        <v>872</v>
      </c>
    </row>
    <row r="516" spans="1:11" x14ac:dyDescent="0.25">
      <c r="A516" s="7">
        <v>515</v>
      </c>
      <c r="B516" s="7" t="s">
        <v>657</v>
      </c>
      <c r="C516" s="7" t="s">
        <v>658</v>
      </c>
      <c r="D516" s="7" t="s">
        <v>659</v>
      </c>
      <c r="E516" s="7" t="s">
        <v>850</v>
      </c>
      <c r="F516" s="7" t="s">
        <v>145</v>
      </c>
      <c r="G516" s="7" t="s">
        <v>379</v>
      </c>
      <c r="H516" s="7">
        <v>4</v>
      </c>
      <c r="I516" s="7">
        <v>2</v>
      </c>
      <c r="J516" s="7">
        <v>8</v>
      </c>
      <c r="K516" s="7" t="s">
        <v>873</v>
      </c>
    </row>
    <row r="517" spans="1:11" x14ac:dyDescent="0.25">
      <c r="A517" s="7">
        <v>516</v>
      </c>
      <c r="B517" s="7" t="s">
        <v>657</v>
      </c>
      <c r="C517" s="7" t="s">
        <v>658</v>
      </c>
      <c r="D517" s="7" t="s">
        <v>659</v>
      </c>
      <c r="E517" s="7" t="s">
        <v>850</v>
      </c>
      <c r="F517" s="7" t="s">
        <v>145</v>
      </c>
      <c r="G517" s="7" t="s">
        <v>381</v>
      </c>
      <c r="H517" s="7">
        <v>4</v>
      </c>
      <c r="I517" s="7">
        <v>2</v>
      </c>
      <c r="J517" s="7">
        <v>8</v>
      </c>
      <c r="K517" s="7" t="s">
        <v>874</v>
      </c>
    </row>
    <row r="518" spans="1:11" x14ac:dyDescent="0.25">
      <c r="A518" s="7">
        <v>517</v>
      </c>
      <c r="B518" s="7" t="s">
        <v>657</v>
      </c>
      <c r="C518" s="7" t="s">
        <v>658</v>
      </c>
      <c r="D518" s="7" t="s">
        <v>659</v>
      </c>
      <c r="E518" s="7" t="s">
        <v>850</v>
      </c>
      <c r="F518" s="7" t="s">
        <v>145</v>
      </c>
      <c r="G518" s="7" t="s">
        <v>383</v>
      </c>
      <c r="H518" s="7">
        <v>2</v>
      </c>
      <c r="I518" s="7">
        <v>2</v>
      </c>
      <c r="J518" s="7">
        <v>4</v>
      </c>
      <c r="K518" s="7" t="s">
        <v>875</v>
      </c>
    </row>
    <row r="519" spans="1:11" x14ac:dyDescent="0.25">
      <c r="A519" s="7">
        <v>518</v>
      </c>
      <c r="B519" s="7" t="s">
        <v>657</v>
      </c>
      <c r="C519" s="7" t="s">
        <v>658</v>
      </c>
      <c r="D519" s="7" t="s">
        <v>659</v>
      </c>
      <c r="E519" s="7" t="s">
        <v>850</v>
      </c>
      <c r="F519" s="7" t="s">
        <v>145</v>
      </c>
      <c r="G519" s="7" t="s">
        <v>385</v>
      </c>
      <c r="H519" s="7">
        <v>6</v>
      </c>
      <c r="I519" s="7">
        <v>2</v>
      </c>
      <c r="J519" s="7">
        <v>12</v>
      </c>
      <c r="K519" s="7" t="s">
        <v>876</v>
      </c>
    </row>
    <row r="520" spans="1:11" x14ac:dyDescent="0.25">
      <c r="A520" s="7">
        <v>519</v>
      </c>
      <c r="B520" s="7" t="s">
        <v>657</v>
      </c>
      <c r="C520" s="7" t="s">
        <v>658</v>
      </c>
      <c r="D520" s="7" t="s">
        <v>659</v>
      </c>
      <c r="E520" s="7" t="s">
        <v>850</v>
      </c>
      <c r="F520" s="7" t="s">
        <v>145</v>
      </c>
      <c r="G520" s="7" t="s">
        <v>654</v>
      </c>
      <c r="H520" s="7">
        <v>4</v>
      </c>
      <c r="I520" s="7">
        <v>2</v>
      </c>
      <c r="J520" s="7">
        <v>8</v>
      </c>
      <c r="K520" s="7" t="s">
        <v>877</v>
      </c>
    </row>
    <row r="521" spans="1:11" x14ac:dyDescent="0.25">
      <c r="A521" s="7">
        <v>520</v>
      </c>
      <c r="B521" s="7" t="s">
        <v>657</v>
      </c>
      <c r="C521" s="7" t="s">
        <v>658</v>
      </c>
      <c r="D521" s="7" t="s">
        <v>659</v>
      </c>
      <c r="E521" s="7" t="s">
        <v>850</v>
      </c>
      <c r="F521" s="7" t="s">
        <v>145</v>
      </c>
      <c r="G521" s="7" t="s">
        <v>389</v>
      </c>
      <c r="H521" s="7">
        <v>0.5</v>
      </c>
      <c r="I521" s="7">
        <v>1</v>
      </c>
      <c r="J521" s="7">
        <v>0.5</v>
      </c>
      <c r="K521" s="7" t="s">
        <v>878</v>
      </c>
    </row>
    <row r="522" spans="1:11" x14ac:dyDescent="0.25">
      <c r="A522" s="7">
        <v>521</v>
      </c>
      <c r="B522" s="7" t="s">
        <v>657</v>
      </c>
      <c r="C522" s="7" t="s">
        <v>658</v>
      </c>
      <c r="D522" s="7" t="s">
        <v>659</v>
      </c>
      <c r="E522" s="7" t="s">
        <v>850</v>
      </c>
      <c r="F522" s="7" t="s">
        <v>145</v>
      </c>
      <c r="G522" s="7" t="s">
        <v>879</v>
      </c>
      <c r="H522" s="7">
        <v>1.5</v>
      </c>
      <c r="I522" s="7">
        <v>2</v>
      </c>
      <c r="J522" s="7">
        <v>3</v>
      </c>
      <c r="K522" s="7" t="s">
        <v>880</v>
      </c>
    </row>
    <row r="523" spans="1:11" x14ac:dyDescent="0.25">
      <c r="A523" s="7">
        <v>522</v>
      </c>
      <c r="B523" s="7" t="s">
        <v>881</v>
      </c>
      <c r="C523" s="7" t="s">
        <v>882</v>
      </c>
      <c r="D523" s="7" t="s">
        <v>883</v>
      </c>
      <c r="E523" s="7" t="s">
        <v>884</v>
      </c>
      <c r="F523" s="7" t="s">
        <v>49</v>
      </c>
      <c r="G523" s="7" t="s">
        <v>661</v>
      </c>
      <c r="H523" s="7">
        <v>1</v>
      </c>
      <c r="I523" s="7">
        <v>1</v>
      </c>
      <c r="J523" s="7">
        <v>1</v>
      </c>
      <c r="K523" s="7" t="s">
        <v>885</v>
      </c>
    </row>
    <row r="524" spans="1:11" x14ac:dyDescent="0.25">
      <c r="A524" s="7">
        <v>523</v>
      </c>
      <c r="B524" s="7" t="s">
        <v>881</v>
      </c>
      <c r="C524" s="7" t="s">
        <v>882</v>
      </c>
      <c r="D524" s="7" t="s">
        <v>883</v>
      </c>
      <c r="E524" s="7" t="s">
        <v>884</v>
      </c>
      <c r="F524" s="7" t="s">
        <v>49</v>
      </c>
      <c r="G524" s="7" t="s">
        <v>663</v>
      </c>
      <c r="H524" s="7">
        <v>1</v>
      </c>
      <c r="I524" s="7">
        <v>1</v>
      </c>
      <c r="J524" s="7">
        <v>1</v>
      </c>
      <c r="K524" s="7" t="s">
        <v>886</v>
      </c>
    </row>
    <row r="525" spans="1:11" x14ac:dyDescent="0.25">
      <c r="A525" s="7">
        <v>524</v>
      </c>
      <c r="B525" s="7" t="s">
        <v>881</v>
      </c>
      <c r="C525" s="7" t="s">
        <v>882</v>
      </c>
      <c r="D525" s="7" t="s">
        <v>883</v>
      </c>
      <c r="E525" s="7" t="s">
        <v>887</v>
      </c>
      <c r="F525" s="7" t="s">
        <v>49</v>
      </c>
      <c r="G525" s="7" t="s">
        <v>888</v>
      </c>
      <c r="H525" s="7">
        <v>4</v>
      </c>
      <c r="I525" s="7">
        <v>1</v>
      </c>
      <c r="J525" s="7">
        <v>4</v>
      </c>
      <c r="K525" s="7" t="s">
        <v>889</v>
      </c>
    </row>
    <row r="526" spans="1:11" x14ac:dyDescent="0.25">
      <c r="A526" s="7">
        <v>525</v>
      </c>
      <c r="B526" s="7" t="s">
        <v>881</v>
      </c>
      <c r="C526" s="7" t="s">
        <v>882</v>
      </c>
      <c r="D526" s="7" t="s">
        <v>883</v>
      </c>
      <c r="E526" s="7" t="s">
        <v>887</v>
      </c>
      <c r="F526" s="7" t="s">
        <v>49</v>
      </c>
      <c r="G526" s="7" t="s">
        <v>890</v>
      </c>
      <c r="H526" s="7">
        <v>2</v>
      </c>
      <c r="I526" s="7">
        <v>1</v>
      </c>
      <c r="J526" s="7">
        <v>2</v>
      </c>
      <c r="K526" s="7" t="s">
        <v>891</v>
      </c>
    </row>
    <row r="527" spans="1:11" x14ac:dyDescent="0.25">
      <c r="A527" s="7">
        <v>526</v>
      </c>
      <c r="B527" s="7" t="s">
        <v>881</v>
      </c>
      <c r="C527" s="7" t="s">
        <v>882</v>
      </c>
      <c r="D527" s="7" t="s">
        <v>883</v>
      </c>
      <c r="E527" s="7" t="s">
        <v>887</v>
      </c>
      <c r="F527" s="7" t="s">
        <v>49</v>
      </c>
      <c r="G527" s="7" t="s">
        <v>892</v>
      </c>
      <c r="H527" s="7">
        <v>2</v>
      </c>
      <c r="I527" s="7">
        <v>2</v>
      </c>
      <c r="J527" s="7">
        <v>4</v>
      </c>
      <c r="K527" s="7" t="s">
        <v>893</v>
      </c>
    </row>
    <row r="528" spans="1:11" x14ac:dyDescent="0.25">
      <c r="A528" s="7">
        <v>527</v>
      </c>
      <c r="B528" s="7" t="s">
        <v>881</v>
      </c>
      <c r="C528" s="7" t="s">
        <v>882</v>
      </c>
      <c r="D528" s="7" t="s">
        <v>883</v>
      </c>
      <c r="E528" s="7" t="s">
        <v>887</v>
      </c>
      <c r="F528" s="7" t="s">
        <v>49</v>
      </c>
      <c r="G528" s="7" t="s">
        <v>894</v>
      </c>
      <c r="H528" s="7">
        <v>2</v>
      </c>
      <c r="I528" s="7">
        <v>2</v>
      </c>
      <c r="J528" s="7">
        <v>4</v>
      </c>
      <c r="K528" s="7" t="s">
        <v>895</v>
      </c>
    </row>
    <row r="529" spans="1:11" x14ac:dyDescent="0.25">
      <c r="A529" s="7">
        <v>528</v>
      </c>
      <c r="B529" s="7" t="s">
        <v>881</v>
      </c>
      <c r="C529" s="7" t="s">
        <v>882</v>
      </c>
      <c r="D529" s="7" t="s">
        <v>883</v>
      </c>
      <c r="E529" s="7" t="s">
        <v>887</v>
      </c>
      <c r="F529" s="7" t="s">
        <v>49</v>
      </c>
      <c r="G529" s="7" t="s">
        <v>896</v>
      </c>
      <c r="H529" s="7">
        <v>2</v>
      </c>
      <c r="I529" s="7">
        <v>1</v>
      </c>
      <c r="J529" s="7">
        <v>2</v>
      </c>
      <c r="K529" s="7" t="s">
        <v>897</v>
      </c>
    </row>
    <row r="530" spans="1:11" x14ac:dyDescent="0.25">
      <c r="A530" s="7">
        <v>529</v>
      </c>
      <c r="B530" s="7" t="s">
        <v>881</v>
      </c>
      <c r="C530" s="7" t="s">
        <v>882</v>
      </c>
      <c r="D530" s="7" t="s">
        <v>883</v>
      </c>
      <c r="E530" s="7" t="s">
        <v>898</v>
      </c>
      <c r="F530" s="7" t="s">
        <v>49</v>
      </c>
      <c r="G530" s="7" t="s">
        <v>899</v>
      </c>
      <c r="H530" s="7">
        <v>12</v>
      </c>
      <c r="I530" s="7" t="s">
        <v>70</v>
      </c>
      <c r="J530" s="7">
        <v>16</v>
      </c>
      <c r="K530" s="7" t="s">
        <v>900</v>
      </c>
    </row>
    <row r="531" spans="1:11" x14ac:dyDescent="0.25">
      <c r="A531" s="7">
        <v>530</v>
      </c>
      <c r="B531" s="7" t="s">
        <v>881</v>
      </c>
      <c r="C531" s="7" t="s">
        <v>882</v>
      </c>
      <c r="D531" s="7" t="s">
        <v>883</v>
      </c>
      <c r="E531" s="7" t="s">
        <v>898</v>
      </c>
      <c r="F531" s="7" t="s">
        <v>49</v>
      </c>
      <c r="G531" s="7" t="s">
        <v>901</v>
      </c>
      <c r="H531" s="7">
        <v>2</v>
      </c>
      <c r="I531" s="7">
        <v>1</v>
      </c>
      <c r="J531" s="7">
        <v>2</v>
      </c>
      <c r="K531" s="7" t="s">
        <v>902</v>
      </c>
    </row>
    <row r="532" spans="1:11" x14ac:dyDescent="0.25">
      <c r="A532" s="7">
        <v>531</v>
      </c>
      <c r="B532" s="7" t="s">
        <v>881</v>
      </c>
      <c r="C532" s="7" t="s">
        <v>882</v>
      </c>
      <c r="D532" s="7" t="s">
        <v>883</v>
      </c>
      <c r="E532" s="7" t="s">
        <v>898</v>
      </c>
      <c r="F532" s="7" t="s">
        <v>49</v>
      </c>
      <c r="G532" s="7" t="s">
        <v>903</v>
      </c>
      <c r="H532" s="7">
        <v>1</v>
      </c>
      <c r="I532" s="7">
        <v>1</v>
      </c>
      <c r="J532" s="7">
        <v>1</v>
      </c>
      <c r="K532" s="7" t="s">
        <v>904</v>
      </c>
    </row>
    <row r="533" spans="1:11" x14ac:dyDescent="0.25">
      <c r="A533" s="7">
        <v>532</v>
      </c>
      <c r="B533" s="7" t="s">
        <v>881</v>
      </c>
      <c r="C533" s="7" t="s">
        <v>882</v>
      </c>
      <c r="D533" s="7" t="s">
        <v>883</v>
      </c>
      <c r="E533" s="7" t="s">
        <v>898</v>
      </c>
      <c r="F533" s="7" t="s">
        <v>49</v>
      </c>
      <c r="G533" s="7" t="s">
        <v>905</v>
      </c>
      <c r="H533" s="7">
        <v>3</v>
      </c>
      <c r="I533" s="7">
        <v>1</v>
      </c>
      <c r="J533" s="7">
        <v>3</v>
      </c>
      <c r="K533" s="7" t="s">
        <v>906</v>
      </c>
    </row>
    <row r="534" spans="1:11" x14ac:dyDescent="0.25">
      <c r="A534" s="7">
        <v>533</v>
      </c>
      <c r="B534" s="7" t="s">
        <v>881</v>
      </c>
      <c r="C534" s="7" t="s">
        <v>882</v>
      </c>
      <c r="D534" s="7" t="s">
        <v>883</v>
      </c>
      <c r="E534" s="7" t="s">
        <v>898</v>
      </c>
      <c r="F534" s="7" t="s">
        <v>49</v>
      </c>
      <c r="G534" s="7" t="s">
        <v>907</v>
      </c>
      <c r="H534" s="7">
        <v>1</v>
      </c>
      <c r="I534" s="7">
        <v>1</v>
      </c>
      <c r="J534" s="7">
        <v>1</v>
      </c>
      <c r="K534" s="7" t="s">
        <v>908</v>
      </c>
    </row>
    <row r="535" spans="1:11" x14ac:dyDescent="0.25">
      <c r="A535" s="7">
        <v>534</v>
      </c>
      <c r="B535" s="7" t="s">
        <v>881</v>
      </c>
      <c r="C535" s="7" t="s">
        <v>882</v>
      </c>
      <c r="D535" s="7" t="s">
        <v>883</v>
      </c>
      <c r="E535" s="7" t="s">
        <v>909</v>
      </c>
      <c r="F535" s="7" t="s">
        <v>49</v>
      </c>
      <c r="G535" s="7" t="s">
        <v>910</v>
      </c>
      <c r="H535" s="7">
        <v>19</v>
      </c>
      <c r="I535" s="7" t="s">
        <v>70</v>
      </c>
      <c r="J535" s="7">
        <v>23</v>
      </c>
      <c r="K535" s="7" t="s">
        <v>911</v>
      </c>
    </row>
    <row r="536" spans="1:11" x14ac:dyDescent="0.25">
      <c r="A536" s="7">
        <v>535</v>
      </c>
      <c r="B536" s="7" t="s">
        <v>881</v>
      </c>
      <c r="C536" s="7" t="s">
        <v>882</v>
      </c>
      <c r="D536" s="7" t="s">
        <v>883</v>
      </c>
      <c r="E536" s="7" t="s">
        <v>909</v>
      </c>
      <c r="F536" s="7" t="s">
        <v>49</v>
      </c>
      <c r="G536" s="7" t="s">
        <v>912</v>
      </c>
      <c r="H536" s="7">
        <v>0.5</v>
      </c>
      <c r="I536" s="7">
        <v>1</v>
      </c>
      <c r="J536" s="7">
        <v>0.5</v>
      </c>
      <c r="K536" s="7" t="s">
        <v>913</v>
      </c>
    </row>
    <row r="537" spans="1:11" x14ac:dyDescent="0.25">
      <c r="A537" s="7">
        <v>536</v>
      </c>
      <c r="B537" s="7" t="s">
        <v>881</v>
      </c>
      <c r="C537" s="7" t="s">
        <v>882</v>
      </c>
      <c r="D537" s="7" t="s">
        <v>883</v>
      </c>
      <c r="E537" s="7" t="s">
        <v>909</v>
      </c>
      <c r="F537" s="7" t="s">
        <v>49</v>
      </c>
      <c r="G537" s="7" t="s">
        <v>914</v>
      </c>
      <c r="H537" s="7">
        <v>1.5</v>
      </c>
      <c r="I537" s="7">
        <v>2</v>
      </c>
      <c r="J537" s="7">
        <v>3</v>
      </c>
      <c r="K537" s="7" t="s">
        <v>915</v>
      </c>
    </row>
    <row r="538" spans="1:11" x14ac:dyDescent="0.25">
      <c r="A538" s="7">
        <v>537</v>
      </c>
      <c r="B538" s="7" t="s">
        <v>881</v>
      </c>
      <c r="C538" s="7" t="s">
        <v>882</v>
      </c>
      <c r="D538" s="7" t="s">
        <v>883</v>
      </c>
      <c r="E538" s="7" t="s">
        <v>909</v>
      </c>
      <c r="F538" s="7" t="s">
        <v>49</v>
      </c>
      <c r="G538" s="7" t="s">
        <v>916</v>
      </c>
      <c r="H538" s="7">
        <v>1</v>
      </c>
      <c r="I538" s="7">
        <v>1</v>
      </c>
      <c r="J538" s="7">
        <v>1</v>
      </c>
      <c r="K538" s="7" t="s">
        <v>917</v>
      </c>
    </row>
    <row r="539" spans="1:11" x14ac:dyDescent="0.25">
      <c r="A539" s="7">
        <v>538</v>
      </c>
      <c r="B539" s="7" t="s">
        <v>881</v>
      </c>
      <c r="C539" s="7" t="s">
        <v>882</v>
      </c>
      <c r="D539" s="7" t="s">
        <v>883</v>
      </c>
      <c r="E539" s="7" t="s">
        <v>909</v>
      </c>
      <c r="F539" s="7" t="s">
        <v>49</v>
      </c>
      <c r="G539" s="7" t="s">
        <v>918</v>
      </c>
      <c r="H539" s="7">
        <v>4</v>
      </c>
      <c r="I539" s="7">
        <v>2</v>
      </c>
      <c r="J539" s="7">
        <v>8</v>
      </c>
      <c r="K539" s="7" t="s">
        <v>919</v>
      </c>
    </row>
    <row r="540" spans="1:11" x14ac:dyDescent="0.25">
      <c r="A540" s="7">
        <v>539</v>
      </c>
      <c r="B540" s="7" t="s">
        <v>881</v>
      </c>
      <c r="C540" s="7" t="s">
        <v>882</v>
      </c>
      <c r="D540" s="7" t="s">
        <v>883</v>
      </c>
      <c r="E540" s="7" t="s">
        <v>920</v>
      </c>
      <c r="F540" s="7" t="s">
        <v>49</v>
      </c>
      <c r="G540" s="7" t="s">
        <v>921</v>
      </c>
      <c r="H540" s="7">
        <v>26</v>
      </c>
      <c r="I540" s="7" t="s">
        <v>70</v>
      </c>
      <c r="J540" s="7">
        <v>35.5</v>
      </c>
      <c r="K540" s="7" t="s">
        <v>922</v>
      </c>
    </row>
    <row r="541" spans="1:11" x14ac:dyDescent="0.25">
      <c r="A541" s="7">
        <v>540</v>
      </c>
      <c r="B541" s="7" t="s">
        <v>881</v>
      </c>
      <c r="C541" s="7" t="s">
        <v>882</v>
      </c>
      <c r="D541" s="7" t="s">
        <v>883</v>
      </c>
      <c r="E541" s="7" t="s">
        <v>920</v>
      </c>
      <c r="F541" s="7" t="s">
        <v>49</v>
      </c>
      <c r="G541" s="7" t="s">
        <v>923</v>
      </c>
      <c r="H541" s="7">
        <v>3</v>
      </c>
      <c r="I541" s="7">
        <v>2</v>
      </c>
      <c r="J541" s="7">
        <v>6</v>
      </c>
      <c r="K541" s="7" t="s">
        <v>924</v>
      </c>
    </row>
    <row r="542" spans="1:11" x14ac:dyDescent="0.25">
      <c r="A542" s="7">
        <v>541</v>
      </c>
      <c r="B542" s="7" t="s">
        <v>881</v>
      </c>
      <c r="C542" s="7" t="s">
        <v>882</v>
      </c>
      <c r="D542" s="7" t="s">
        <v>883</v>
      </c>
      <c r="E542" s="7" t="s">
        <v>920</v>
      </c>
      <c r="F542" s="7" t="s">
        <v>49</v>
      </c>
      <c r="G542" s="7" t="s">
        <v>925</v>
      </c>
      <c r="H542" s="7">
        <v>6</v>
      </c>
      <c r="I542" s="7">
        <v>2</v>
      </c>
      <c r="J542" s="7">
        <v>12</v>
      </c>
      <c r="K542" s="7" t="s">
        <v>926</v>
      </c>
    </row>
    <row r="543" spans="1:11" x14ac:dyDescent="0.25">
      <c r="A543" s="7">
        <v>542</v>
      </c>
      <c r="B543" s="7" t="s">
        <v>881</v>
      </c>
      <c r="C543" s="7" t="s">
        <v>882</v>
      </c>
      <c r="D543" s="7" t="s">
        <v>883</v>
      </c>
      <c r="E543" s="7" t="s">
        <v>920</v>
      </c>
      <c r="F543" s="7" t="s">
        <v>49</v>
      </c>
      <c r="G543" s="7" t="s">
        <v>927</v>
      </c>
      <c r="H543" s="7">
        <v>1</v>
      </c>
      <c r="I543" s="7">
        <v>2</v>
      </c>
      <c r="J543" s="7">
        <v>2</v>
      </c>
      <c r="K543" s="7" t="s">
        <v>928</v>
      </c>
    </row>
    <row r="544" spans="1:11" x14ac:dyDescent="0.25">
      <c r="A544" s="7">
        <v>543</v>
      </c>
      <c r="B544" s="7" t="s">
        <v>881</v>
      </c>
      <c r="C544" s="7" t="s">
        <v>882</v>
      </c>
      <c r="D544" s="7" t="s">
        <v>883</v>
      </c>
      <c r="E544" s="7" t="s">
        <v>929</v>
      </c>
      <c r="F544" s="7" t="s">
        <v>145</v>
      </c>
      <c r="G544" s="7" t="s">
        <v>305</v>
      </c>
      <c r="H544" s="7">
        <v>8</v>
      </c>
      <c r="I544" s="7">
        <v>2</v>
      </c>
      <c r="J544" s="7">
        <v>16</v>
      </c>
      <c r="K544" s="7" t="s">
        <v>930</v>
      </c>
    </row>
    <row r="545" spans="1:11" x14ac:dyDescent="0.25">
      <c r="A545" s="7">
        <v>544</v>
      </c>
      <c r="B545" s="7" t="s">
        <v>881</v>
      </c>
      <c r="C545" s="7" t="s">
        <v>882</v>
      </c>
      <c r="D545" s="7" t="s">
        <v>883</v>
      </c>
      <c r="E545" s="7" t="s">
        <v>929</v>
      </c>
      <c r="F545" s="7" t="s">
        <v>145</v>
      </c>
      <c r="G545" s="7" t="s">
        <v>118</v>
      </c>
      <c r="H545" s="7">
        <v>12</v>
      </c>
      <c r="I545" s="7">
        <v>3</v>
      </c>
      <c r="J545" s="7">
        <v>36</v>
      </c>
      <c r="K545" s="7" t="s">
        <v>931</v>
      </c>
    </row>
    <row r="546" spans="1:11" x14ac:dyDescent="0.25">
      <c r="A546" s="7">
        <v>545</v>
      </c>
      <c r="B546" s="7" t="s">
        <v>881</v>
      </c>
      <c r="C546" s="7" t="s">
        <v>882</v>
      </c>
      <c r="D546" s="7" t="s">
        <v>883</v>
      </c>
      <c r="E546" s="7" t="s">
        <v>929</v>
      </c>
      <c r="F546" s="7" t="s">
        <v>145</v>
      </c>
      <c r="G546" s="7" t="s">
        <v>698</v>
      </c>
      <c r="H546" s="7">
        <v>2</v>
      </c>
      <c r="I546" s="7">
        <v>2</v>
      </c>
      <c r="J546" s="7">
        <v>4</v>
      </c>
      <c r="K546" s="7" t="s">
        <v>932</v>
      </c>
    </row>
    <row r="547" spans="1:11" x14ac:dyDescent="0.25">
      <c r="A547" s="7">
        <v>546</v>
      </c>
      <c r="B547" s="7" t="s">
        <v>881</v>
      </c>
      <c r="C547" s="7" t="s">
        <v>882</v>
      </c>
      <c r="D547" s="7" t="s">
        <v>883</v>
      </c>
      <c r="E547" s="7" t="s">
        <v>929</v>
      </c>
      <c r="F547" s="7" t="s">
        <v>145</v>
      </c>
      <c r="G547" s="7" t="s">
        <v>700</v>
      </c>
      <c r="H547" s="7">
        <v>48</v>
      </c>
      <c r="I547" s="7">
        <v>3</v>
      </c>
      <c r="J547" s="7">
        <v>144</v>
      </c>
      <c r="K547" s="7" t="s">
        <v>933</v>
      </c>
    </row>
    <row r="548" spans="1:11" x14ac:dyDescent="0.25">
      <c r="A548" s="7">
        <v>547</v>
      </c>
      <c r="B548" s="7" t="s">
        <v>881</v>
      </c>
      <c r="C548" s="7" t="s">
        <v>882</v>
      </c>
      <c r="D548" s="7" t="s">
        <v>883</v>
      </c>
      <c r="E548" s="7" t="s">
        <v>929</v>
      </c>
      <c r="F548" s="7" t="s">
        <v>145</v>
      </c>
      <c r="G548" s="7" t="s">
        <v>934</v>
      </c>
      <c r="H548" s="7">
        <v>102</v>
      </c>
      <c r="I548" s="7">
        <v>3</v>
      </c>
      <c r="J548" s="7">
        <v>306</v>
      </c>
      <c r="K548" s="7" t="s">
        <v>935</v>
      </c>
    </row>
    <row r="549" spans="1:11" x14ac:dyDescent="0.25">
      <c r="A549" s="7">
        <v>548</v>
      </c>
      <c r="B549" s="7" t="s">
        <v>881</v>
      </c>
      <c r="C549" s="7" t="s">
        <v>882</v>
      </c>
      <c r="D549" s="7" t="s">
        <v>883</v>
      </c>
      <c r="E549" s="7" t="s">
        <v>929</v>
      </c>
      <c r="F549" s="7" t="s">
        <v>145</v>
      </c>
      <c r="G549" s="7" t="s">
        <v>936</v>
      </c>
      <c r="H549" s="7">
        <v>18</v>
      </c>
      <c r="I549" s="7">
        <v>3</v>
      </c>
      <c r="J549" s="7">
        <v>54</v>
      </c>
      <c r="K549" s="7" t="s">
        <v>937</v>
      </c>
    </row>
    <row r="550" spans="1:11" x14ac:dyDescent="0.25">
      <c r="A550" s="7">
        <v>549</v>
      </c>
      <c r="B550" s="7" t="s">
        <v>881</v>
      </c>
      <c r="C550" s="7" t="s">
        <v>882</v>
      </c>
      <c r="D550" s="7" t="s">
        <v>883</v>
      </c>
      <c r="E550" s="7" t="s">
        <v>929</v>
      </c>
      <c r="F550" s="7" t="s">
        <v>145</v>
      </c>
      <c r="G550" s="7" t="s">
        <v>703</v>
      </c>
      <c r="H550" s="7">
        <v>8</v>
      </c>
      <c r="I550" s="7">
        <v>2</v>
      </c>
      <c r="J550" s="7">
        <v>16</v>
      </c>
      <c r="K550" s="7" t="s">
        <v>938</v>
      </c>
    </row>
    <row r="551" spans="1:11" x14ac:dyDescent="0.25">
      <c r="A551" s="7">
        <v>550</v>
      </c>
      <c r="B551" s="7" t="s">
        <v>881</v>
      </c>
      <c r="C551" s="7" t="s">
        <v>882</v>
      </c>
      <c r="D551" s="7" t="s">
        <v>883</v>
      </c>
      <c r="E551" s="7" t="s">
        <v>929</v>
      </c>
      <c r="F551" s="7" t="s">
        <v>145</v>
      </c>
      <c r="G551" s="7" t="s">
        <v>705</v>
      </c>
      <c r="H551" s="7">
        <v>18</v>
      </c>
      <c r="I551" s="7">
        <v>3</v>
      </c>
      <c r="J551" s="7">
        <v>54</v>
      </c>
      <c r="K551" s="7" t="s">
        <v>939</v>
      </c>
    </row>
    <row r="552" spans="1:11" x14ac:dyDescent="0.25">
      <c r="A552" s="7">
        <v>551</v>
      </c>
      <c r="B552" s="7" t="s">
        <v>881</v>
      </c>
      <c r="C552" s="7" t="s">
        <v>882</v>
      </c>
      <c r="D552" s="7" t="s">
        <v>883</v>
      </c>
      <c r="E552" s="7" t="s">
        <v>929</v>
      </c>
      <c r="F552" s="7" t="s">
        <v>145</v>
      </c>
      <c r="G552" s="7" t="s">
        <v>261</v>
      </c>
      <c r="H552" s="7">
        <v>6</v>
      </c>
      <c r="I552" s="7">
        <v>2</v>
      </c>
      <c r="J552" s="7">
        <v>12</v>
      </c>
      <c r="K552" s="7" t="s">
        <v>940</v>
      </c>
    </row>
    <row r="553" spans="1:11" x14ac:dyDescent="0.25">
      <c r="A553" s="7">
        <v>552</v>
      </c>
      <c r="B553" s="7" t="s">
        <v>881</v>
      </c>
      <c r="C553" s="7" t="s">
        <v>882</v>
      </c>
      <c r="D553" s="7" t="s">
        <v>883</v>
      </c>
      <c r="E553" s="7" t="s">
        <v>929</v>
      </c>
      <c r="F553" s="7" t="s">
        <v>145</v>
      </c>
      <c r="G553" s="7" t="s">
        <v>293</v>
      </c>
      <c r="H553" s="7">
        <v>18</v>
      </c>
      <c r="I553" s="7">
        <v>2</v>
      </c>
      <c r="J553" s="7">
        <v>36</v>
      </c>
      <c r="K553" s="7" t="s">
        <v>941</v>
      </c>
    </row>
    <row r="554" spans="1:11" x14ac:dyDescent="0.25">
      <c r="A554" s="7">
        <v>553</v>
      </c>
      <c r="B554" s="7" t="s">
        <v>881</v>
      </c>
      <c r="C554" s="7" t="s">
        <v>882</v>
      </c>
      <c r="D554" s="7" t="s">
        <v>883</v>
      </c>
      <c r="E554" s="7" t="s">
        <v>929</v>
      </c>
      <c r="F554" s="7" t="s">
        <v>145</v>
      </c>
      <c r="G554" s="7" t="s">
        <v>295</v>
      </c>
      <c r="H554" s="7">
        <v>2</v>
      </c>
      <c r="I554" s="7">
        <v>2</v>
      </c>
      <c r="J554" s="7">
        <v>4</v>
      </c>
      <c r="K554" s="7" t="s">
        <v>942</v>
      </c>
    </row>
    <row r="555" spans="1:11" x14ac:dyDescent="0.25">
      <c r="A555" s="7">
        <v>554</v>
      </c>
      <c r="B555" s="7" t="s">
        <v>881</v>
      </c>
      <c r="C555" s="7" t="s">
        <v>882</v>
      </c>
      <c r="D555" s="7" t="s">
        <v>883</v>
      </c>
      <c r="E555" s="7" t="s">
        <v>929</v>
      </c>
      <c r="F555" s="7" t="s">
        <v>145</v>
      </c>
      <c r="G555" s="7" t="s">
        <v>311</v>
      </c>
      <c r="H555" s="7">
        <v>9</v>
      </c>
      <c r="I555" s="7">
        <v>2</v>
      </c>
      <c r="J555" s="7">
        <v>18</v>
      </c>
      <c r="K555" s="7" t="s">
        <v>943</v>
      </c>
    </row>
    <row r="556" spans="1:11" x14ac:dyDescent="0.25">
      <c r="A556" s="7">
        <v>555</v>
      </c>
      <c r="B556" s="7" t="s">
        <v>881</v>
      </c>
      <c r="C556" s="7" t="s">
        <v>882</v>
      </c>
      <c r="D556" s="7" t="s">
        <v>883</v>
      </c>
      <c r="E556" s="7" t="s">
        <v>944</v>
      </c>
      <c r="F556" s="7" t="s">
        <v>145</v>
      </c>
      <c r="G556" s="7" t="s">
        <v>945</v>
      </c>
      <c r="H556" s="7">
        <v>8</v>
      </c>
      <c r="I556" s="7">
        <v>2</v>
      </c>
      <c r="J556" s="7">
        <v>16</v>
      </c>
      <c r="K556" s="7" t="s">
        <v>946</v>
      </c>
    </row>
    <row r="557" spans="1:11" x14ac:dyDescent="0.25">
      <c r="A557" s="7">
        <v>556</v>
      </c>
      <c r="B557" s="7" t="s">
        <v>881</v>
      </c>
      <c r="C557" s="7" t="s">
        <v>882</v>
      </c>
      <c r="D557" s="7" t="s">
        <v>883</v>
      </c>
      <c r="E557" s="7" t="s">
        <v>944</v>
      </c>
      <c r="F557" s="7" t="s">
        <v>145</v>
      </c>
      <c r="G557" s="7" t="s">
        <v>947</v>
      </c>
      <c r="H557" s="7">
        <v>12</v>
      </c>
      <c r="I557" s="7">
        <v>2</v>
      </c>
      <c r="J557" s="7">
        <v>24</v>
      </c>
      <c r="K557" s="7" t="s">
        <v>948</v>
      </c>
    </row>
    <row r="558" spans="1:11" x14ac:dyDescent="0.25">
      <c r="A558" s="7">
        <v>557</v>
      </c>
      <c r="B558" s="7" t="s">
        <v>881</v>
      </c>
      <c r="C558" s="7" t="s">
        <v>882</v>
      </c>
      <c r="D558" s="7" t="s">
        <v>883</v>
      </c>
      <c r="E558" s="7" t="s">
        <v>944</v>
      </c>
      <c r="F558" s="7" t="s">
        <v>145</v>
      </c>
      <c r="G558" s="7" t="s">
        <v>949</v>
      </c>
      <c r="H558" s="7">
        <v>10</v>
      </c>
      <c r="I558" s="7">
        <v>2</v>
      </c>
      <c r="J558" s="7">
        <v>20</v>
      </c>
      <c r="K558" s="7" t="s">
        <v>950</v>
      </c>
    </row>
    <row r="559" spans="1:11" x14ac:dyDescent="0.25">
      <c r="A559" s="7">
        <v>558</v>
      </c>
      <c r="B559" s="7" t="s">
        <v>881</v>
      </c>
      <c r="C559" s="7" t="s">
        <v>882</v>
      </c>
      <c r="D559" s="7" t="s">
        <v>883</v>
      </c>
      <c r="E559" s="7" t="s">
        <v>944</v>
      </c>
      <c r="F559" s="7" t="s">
        <v>145</v>
      </c>
      <c r="G559" s="7" t="s">
        <v>951</v>
      </c>
      <c r="H559" s="7">
        <v>10</v>
      </c>
      <c r="I559" s="7">
        <v>2</v>
      </c>
      <c r="J559" s="7">
        <v>20</v>
      </c>
      <c r="K559" s="7" t="s">
        <v>952</v>
      </c>
    </row>
    <row r="560" spans="1:11" x14ac:dyDescent="0.25">
      <c r="A560" s="7">
        <v>559</v>
      </c>
      <c r="B560" s="7" t="s">
        <v>881</v>
      </c>
      <c r="C560" s="7" t="s">
        <v>882</v>
      </c>
      <c r="D560" s="7" t="s">
        <v>883</v>
      </c>
      <c r="E560" s="7" t="s">
        <v>944</v>
      </c>
      <c r="F560" s="7" t="s">
        <v>145</v>
      </c>
      <c r="G560" s="7" t="s">
        <v>953</v>
      </c>
      <c r="H560" s="7">
        <v>1</v>
      </c>
      <c r="I560" s="7">
        <v>1</v>
      </c>
      <c r="J560" s="7">
        <v>1</v>
      </c>
      <c r="K560" s="7" t="s">
        <v>954</v>
      </c>
    </row>
    <row r="561" spans="1:11" x14ac:dyDescent="0.25">
      <c r="A561" s="7">
        <v>560</v>
      </c>
      <c r="B561" s="7" t="s">
        <v>881</v>
      </c>
      <c r="C561" s="7" t="s">
        <v>882</v>
      </c>
      <c r="D561" s="7" t="s">
        <v>883</v>
      </c>
      <c r="E561" s="7" t="s">
        <v>944</v>
      </c>
      <c r="F561" s="7" t="s">
        <v>145</v>
      </c>
      <c r="G561" s="7" t="s">
        <v>955</v>
      </c>
      <c r="H561" s="7">
        <v>18</v>
      </c>
      <c r="I561" s="7">
        <v>3</v>
      </c>
      <c r="J561" s="7">
        <v>54</v>
      </c>
      <c r="K561" s="7" t="s">
        <v>956</v>
      </c>
    </row>
    <row r="562" spans="1:11" x14ac:dyDescent="0.25">
      <c r="A562" s="7">
        <v>561</v>
      </c>
      <c r="B562" s="7" t="s">
        <v>881</v>
      </c>
      <c r="C562" s="7" t="s">
        <v>882</v>
      </c>
      <c r="D562" s="7" t="s">
        <v>883</v>
      </c>
      <c r="E562" s="7" t="s">
        <v>944</v>
      </c>
      <c r="F562" s="7" t="s">
        <v>145</v>
      </c>
      <c r="G562" s="7" t="s">
        <v>957</v>
      </c>
      <c r="H562" s="7">
        <v>4</v>
      </c>
      <c r="I562" s="7">
        <v>1</v>
      </c>
      <c r="J562" s="7">
        <v>4</v>
      </c>
      <c r="K562" s="7" t="s">
        <v>958</v>
      </c>
    </row>
    <row r="563" spans="1:11" x14ac:dyDescent="0.25">
      <c r="A563" s="7">
        <v>562</v>
      </c>
      <c r="B563" s="7" t="s">
        <v>881</v>
      </c>
      <c r="C563" s="7" t="s">
        <v>882</v>
      </c>
      <c r="D563" s="7" t="s">
        <v>883</v>
      </c>
      <c r="E563" s="7" t="s">
        <v>944</v>
      </c>
      <c r="F563" s="7" t="s">
        <v>145</v>
      </c>
      <c r="G563" s="7" t="s">
        <v>959</v>
      </c>
      <c r="H563" s="7">
        <v>2</v>
      </c>
      <c r="I563" s="7">
        <v>1</v>
      </c>
      <c r="J563" s="7">
        <v>2</v>
      </c>
      <c r="K563" s="7" t="s">
        <v>960</v>
      </c>
    </row>
    <row r="564" spans="1:11" x14ac:dyDescent="0.25">
      <c r="A564" s="7">
        <v>563</v>
      </c>
      <c r="B564" s="7" t="s">
        <v>881</v>
      </c>
      <c r="C564" s="7" t="s">
        <v>882</v>
      </c>
      <c r="D564" s="7" t="s">
        <v>883</v>
      </c>
      <c r="E564" s="7" t="s">
        <v>944</v>
      </c>
      <c r="F564" s="7" t="s">
        <v>145</v>
      </c>
      <c r="G564" s="7" t="s">
        <v>961</v>
      </c>
      <c r="H564" s="7">
        <v>2</v>
      </c>
      <c r="I564" s="7">
        <v>1</v>
      </c>
      <c r="J564" s="7">
        <v>2</v>
      </c>
      <c r="K564" s="7" t="s">
        <v>962</v>
      </c>
    </row>
    <row r="565" spans="1:11" x14ac:dyDescent="0.25">
      <c r="A565" s="7">
        <v>564</v>
      </c>
      <c r="B565" s="7" t="s">
        <v>881</v>
      </c>
      <c r="C565" s="7" t="s">
        <v>882</v>
      </c>
      <c r="D565" s="7" t="s">
        <v>883</v>
      </c>
      <c r="E565" s="7" t="s">
        <v>963</v>
      </c>
      <c r="F565" s="7" t="s">
        <v>145</v>
      </c>
      <c r="G565" s="7" t="s">
        <v>964</v>
      </c>
      <c r="H565" s="7">
        <v>6</v>
      </c>
      <c r="I565" s="7">
        <v>1</v>
      </c>
      <c r="J565" s="7">
        <v>6</v>
      </c>
      <c r="K565" s="7" t="s">
        <v>965</v>
      </c>
    </row>
    <row r="566" spans="1:11" x14ac:dyDescent="0.25">
      <c r="A566" s="7">
        <v>565</v>
      </c>
      <c r="B566" s="7" t="s">
        <v>881</v>
      </c>
      <c r="C566" s="7" t="s">
        <v>882</v>
      </c>
      <c r="D566" s="7" t="s">
        <v>883</v>
      </c>
      <c r="E566" s="7" t="s">
        <v>963</v>
      </c>
      <c r="F566" s="7" t="s">
        <v>145</v>
      </c>
      <c r="G566" s="7" t="s">
        <v>966</v>
      </c>
      <c r="H566" s="7">
        <v>4</v>
      </c>
      <c r="I566" s="7">
        <v>1</v>
      </c>
      <c r="J566" s="7">
        <v>4</v>
      </c>
      <c r="K566" s="7" t="s">
        <v>967</v>
      </c>
    </row>
    <row r="567" spans="1:11" x14ac:dyDescent="0.25">
      <c r="A567" s="7">
        <v>566</v>
      </c>
      <c r="B567" s="7" t="s">
        <v>881</v>
      </c>
      <c r="C567" s="7" t="s">
        <v>882</v>
      </c>
      <c r="D567" s="7" t="s">
        <v>883</v>
      </c>
      <c r="E567" s="7" t="s">
        <v>963</v>
      </c>
      <c r="F567" s="7" t="s">
        <v>145</v>
      </c>
      <c r="G567" s="7" t="s">
        <v>968</v>
      </c>
      <c r="H567" s="7">
        <v>4</v>
      </c>
      <c r="I567" s="7">
        <v>2</v>
      </c>
      <c r="J567" s="7">
        <v>8</v>
      </c>
      <c r="K567" s="7" t="s">
        <v>969</v>
      </c>
    </row>
    <row r="568" spans="1:11" x14ac:dyDescent="0.25">
      <c r="A568" s="7">
        <v>567</v>
      </c>
      <c r="B568" s="7" t="s">
        <v>881</v>
      </c>
      <c r="C568" s="7" t="s">
        <v>882</v>
      </c>
      <c r="D568" s="7" t="s">
        <v>883</v>
      </c>
      <c r="E568" s="7" t="s">
        <v>963</v>
      </c>
      <c r="F568" s="7" t="s">
        <v>145</v>
      </c>
      <c r="G568" s="7" t="s">
        <v>970</v>
      </c>
      <c r="H568" s="7">
        <v>1.5</v>
      </c>
      <c r="I568" s="7">
        <v>2</v>
      </c>
      <c r="J568" s="7">
        <v>3</v>
      </c>
      <c r="K568" s="7" t="s">
        <v>971</v>
      </c>
    </row>
    <row r="569" spans="1:11" x14ac:dyDescent="0.25">
      <c r="A569" s="7">
        <v>568</v>
      </c>
      <c r="B569" s="7" t="s">
        <v>881</v>
      </c>
      <c r="C569" s="7" t="s">
        <v>882</v>
      </c>
      <c r="D569" s="7" t="s">
        <v>883</v>
      </c>
      <c r="E569" s="7" t="s">
        <v>963</v>
      </c>
      <c r="F569" s="7" t="s">
        <v>145</v>
      </c>
      <c r="G569" s="7" t="s">
        <v>972</v>
      </c>
      <c r="H569" s="7">
        <v>2</v>
      </c>
      <c r="I569" s="7">
        <v>2</v>
      </c>
      <c r="J569" s="7">
        <v>4</v>
      </c>
      <c r="K569" s="7" t="s">
        <v>973</v>
      </c>
    </row>
    <row r="570" spans="1:11" x14ac:dyDescent="0.25">
      <c r="A570" s="7">
        <v>569</v>
      </c>
      <c r="B570" s="7" t="s">
        <v>881</v>
      </c>
      <c r="C570" s="7" t="s">
        <v>882</v>
      </c>
      <c r="D570" s="7" t="s">
        <v>883</v>
      </c>
      <c r="E570" s="7" t="s">
        <v>963</v>
      </c>
      <c r="F570" s="7" t="s">
        <v>145</v>
      </c>
      <c r="G570" s="7" t="s">
        <v>974</v>
      </c>
      <c r="H570" s="7">
        <v>6</v>
      </c>
      <c r="I570" s="7">
        <v>2</v>
      </c>
      <c r="J570" s="7">
        <v>12</v>
      </c>
      <c r="K570" s="7" t="s">
        <v>975</v>
      </c>
    </row>
    <row r="571" spans="1:11" x14ac:dyDescent="0.25">
      <c r="A571" s="7">
        <v>570</v>
      </c>
      <c r="B571" s="7" t="s">
        <v>881</v>
      </c>
      <c r="C571" s="7" t="s">
        <v>976</v>
      </c>
      <c r="D571" s="7" t="s">
        <v>976</v>
      </c>
      <c r="E571" s="7" t="s">
        <v>977</v>
      </c>
      <c r="F571" s="7" t="s">
        <v>145</v>
      </c>
      <c r="G571" s="7" t="s">
        <v>978</v>
      </c>
      <c r="H571" s="7">
        <v>80</v>
      </c>
      <c r="I571" s="7">
        <v>3</v>
      </c>
      <c r="J571" s="7">
        <v>240</v>
      </c>
      <c r="K571" s="7" t="s">
        <v>979</v>
      </c>
    </row>
    <row r="572" spans="1:11" x14ac:dyDescent="0.25">
      <c r="A572" s="7">
        <v>571</v>
      </c>
      <c r="B572" s="7" t="s">
        <v>881</v>
      </c>
      <c r="C572" s="7" t="s">
        <v>976</v>
      </c>
      <c r="D572" s="7" t="s">
        <v>976</v>
      </c>
      <c r="E572" s="7" t="s">
        <v>977</v>
      </c>
      <c r="F572" s="7" t="s">
        <v>145</v>
      </c>
      <c r="G572" s="7" t="s">
        <v>980</v>
      </c>
      <c r="H572" s="7">
        <v>12</v>
      </c>
      <c r="I572" s="7">
        <v>2</v>
      </c>
      <c r="J572" s="7">
        <v>24</v>
      </c>
      <c r="K572" s="7" t="s">
        <v>981</v>
      </c>
    </row>
    <row r="573" spans="1:11" x14ac:dyDescent="0.25">
      <c r="A573" s="7">
        <v>572</v>
      </c>
      <c r="B573" s="7" t="s">
        <v>881</v>
      </c>
      <c r="C573" s="7" t="s">
        <v>976</v>
      </c>
      <c r="D573" s="7" t="s">
        <v>976</v>
      </c>
      <c r="E573" s="7" t="s">
        <v>977</v>
      </c>
      <c r="F573" s="7" t="s">
        <v>145</v>
      </c>
      <c r="G573" s="7" t="s">
        <v>982</v>
      </c>
      <c r="H573" s="7">
        <v>30</v>
      </c>
      <c r="I573" s="7">
        <v>3</v>
      </c>
      <c r="J573" s="7">
        <v>90</v>
      </c>
      <c r="K573" s="7" t="s">
        <v>983</v>
      </c>
    </row>
    <row r="574" spans="1:11" x14ac:dyDescent="0.25">
      <c r="A574" s="7">
        <v>573</v>
      </c>
      <c r="B574" s="7" t="s">
        <v>881</v>
      </c>
      <c r="C574" s="7" t="s">
        <v>976</v>
      </c>
      <c r="D574" s="7" t="s">
        <v>976</v>
      </c>
      <c r="E574" s="7" t="s">
        <v>977</v>
      </c>
      <c r="F574" s="7" t="s">
        <v>145</v>
      </c>
      <c r="G574" s="7" t="s">
        <v>984</v>
      </c>
      <c r="H574" s="7">
        <v>30</v>
      </c>
      <c r="I574" s="7">
        <v>2</v>
      </c>
      <c r="J574" s="7">
        <v>60</v>
      </c>
      <c r="K574" s="7" t="s">
        <v>985</v>
      </c>
    </row>
    <row r="575" spans="1:11" x14ac:dyDescent="0.25">
      <c r="A575" s="7">
        <v>574</v>
      </c>
      <c r="B575" s="7" t="s">
        <v>881</v>
      </c>
      <c r="C575" s="7" t="s">
        <v>976</v>
      </c>
      <c r="D575" s="7" t="s">
        <v>976</v>
      </c>
      <c r="E575" s="7" t="s">
        <v>977</v>
      </c>
      <c r="F575" s="7" t="s">
        <v>145</v>
      </c>
      <c r="G575" s="7" t="s">
        <v>986</v>
      </c>
      <c r="H575" s="7">
        <v>12</v>
      </c>
      <c r="I575" s="7">
        <v>2</v>
      </c>
      <c r="J575" s="7">
        <v>24</v>
      </c>
      <c r="K575" s="7" t="s">
        <v>987</v>
      </c>
    </row>
    <row r="576" spans="1:11" x14ac:dyDescent="0.25">
      <c r="A576" s="7">
        <v>575</v>
      </c>
      <c r="B576" s="7" t="s">
        <v>881</v>
      </c>
      <c r="C576" s="7" t="s">
        <v>976</v>
      </c>
      <c r="D576" s="7" t="s">
        <v>976</v>
      </c>
      <c r="E576" s="7" t="s">
        <v>977</v>
      </c>
      <c r="F576" s="7" t="s">
        <v>145</v>
      </c>
      <c r="G576" s="7" t="s">
        <v>988</v>
      </c>
      <c r="H576" s="7">
        <v>24</v>
      </c>
      <c r="I576" s="7">
        <v>2</v>
      </c>
      <c r="J576" s="7">
        <v>48</v>
      </c>
      <c r="K576" s="7" t="s">
        <v>989</v>
      </c>
    </row>
    <row r="577" spans="1:11" x14ac:dyDescent="0.25">
      <c r="A577" s="7">
        <v>576</v>
      </c>
      <c r="B577" s="7" t="s">
        <v>881</v>
      </c>
      <c r="C577" s="7" t="s">
        <v>976</v>
      </c>
      <c r="D577" s="7" t="s">
        <v>976</v>
      </c>
      <c r="E577" s="7" t="s">
        <v>977</v>
      </c>
      <c r="F577" s="7" t="s">
        <v>145</v>
      </c>
      <c r="G577" s="7" t="s">
        <v>990</v>
      </c>
      <c r="H577" s="7">
        <v>12</v>
      </c>
      <c r="I577" s="7">
        <v>2</v>
      </c>
      <c r="J577" s="7">
        <v>24</v>
      </c>
      <c r="K577" s="7" t="s">
        <v>991</v>
      </c>
    </row>
    <row r="578" spans="1:11" x14ac:dyDescent="0.25">
      <c r="A578" s="7">
        <v>577</v>
      </c>
      <c r="B578" s="7" t="s">
        <v>881</v>
      </c>
      <c r="C578" s="7" t="s">
        <v>976</v>
      </c>
      <c r="D578" s="7" t="s">
        <v>976</v>
      </c>
      <c r="E578" s="7" t="s">
        <v>977</v>
      </c>
      <c r="F578" s="7" t="s">
        <v>145</v>
      </c>
      <c r="G578" s="7" t="s">
        <v>992</v>
      </c>
      <c r="H578" s="7">
        <v>24</v>
      </c>
      <c r="I578" s="7">
        <v>2</v>
      </c>
      <c r="J578" s="7">
        <v>48</v>
      </c>
      <c r="K578" s="7" t="s">
        <v>993</v>
      </c>
    </row>
    <row r="579" spans="1:11" x14ac:dyDescent="0.25">
      <c r="A579" s="7">
        <v>578</v>
      </c>
      <c r="B579" s="7" t="s">
        <v>881</v>
      </c>
      <c r="C579" s="7" t="s">
        <v>976</v>
      </c>
      <c r="D579" s="7" t="s">
        <v>976</v>
      </c>
      <c r="E579" s="7" t="s">
        <v>977</v>
      </c>
      <c r="F579" s="7" t="s">
        <v>145</v>
      </c>
      <c r="G579" s="7" t="s">
        <v>994</v>
      </c>
      <c r="H579" s="7">
        <v>48</v>
      </c>
      <c r="I579" s="7">
        <v>3</v>
      </c>
      <c r="J579" s="7">
        <v>144</v>
      </c>
      <c r="K579" s="7" t="s">
        <v>995</v>
      </c>
    </row>
    <row r="580" spans="1:11" x14ac:dyDescent="0.25">
      <c r="A580" s="7">
        <v>579</v>
      </c>
      <c r="B580" s="7" t="s">
        <v>881</v>
      </c>
      <c r="C580" s="7" t="s">
        <v>976</v>
      </c>
      <c r="D580" s="7" t="s">
        <v>976</v>
      </c>
      <c r="E580" s="7" t="s">
        <v>977</v>
      </c>
      <c r="F580" s="7" t="s">
        <v>145</v>
      </c>
      <c r="G580" s="7" t="s">
        <v>996</v>
      </c>
      <c r="H580" s="7">
        <v>80</v>
      </c>
      <c r="I580" s="7">
        <v>3</v>
      </c>
      <c r="J580" s="7">
        <v>240</v>
      </c>
      <c r="K580" s="7" t="s">
        <v>997</v>
      </c>
    </row>
    <row r="581" spans="1:11" x14ac:dyDescent="0.25">
      <c r="A581" s="7">
        <v>580</v>
      </c>
      <c r="B581" s="7" t="s">
        <v>881</v>
      </c>
      <c r="C581" s="7" t="s">
        <v>976</v>
      </c>
      <c r="D581" s="7" t="s">
        <v>976</v>
      </c>
      <c r="E581" s="7" t="s">
        <v>977</v>
      </c>
      <c r="F581" s="7" t="s">
        <v>145</v>
      </c>
      <c r="G581" s="7" t="s">
        <v>998</v>
      </c>
      <c r="H581" s="7">
        <v>9</v>
      </c>
      <c r="I581" s="7">
        <v>2</v>
      </c>
      <c r="J581" s="7">
        <v>18</v>
      </c>
      <c r="K581" s="7" t="s">
        <v>999</v>
      </c>
    </row>
    <row r="582" spans="1:11" x14ac:dyDescent="0.25">
      <c r="A582" s="7">
        <v>581</v>
      </c>
      <c r="B582" s="7" t="s">
        <v>881</v>
      </c>
      <c r="C582" s="7" t="s">
        <v>976</v>
      </c>
      <c r="D582" s="7" t="s">
        <v>976</v>
      </c>
      <c r="E582" s="7" t="s">
        <v>977</v>
      </c>
      <c r="F582" s="7" t="s">
        <v>145</v>
      </c>
      <c r="G582" s="7" t="s">
        <v>1000</v>
      </c>
      <c r="H582" s="7">
        <v>18</v>
      </c>
      <c r="I582" s="7">
        <v>3</v>
      </c>
      <c r="J582" s="7">
        <v>54</v>
      </c>
      <c r="K582" s="7" t="s">
        <v>1001</v>
      </c>
    </row>
    <row r="583" spans="1:11" x14ac:dyDescent="0.25">
      <c r="A583" s="7">
        <v>582</v>
      </c>
      <c r="B583" s="7" t="s">
        <v>881</v>
      </c>
      <c r="C583" s="7" t="s">
        <v>976</v>
      </c>
      <c r="D583" s="7" t="s">
        <v>976</v>
      </c>
      <c r="E583" s="7" t="s">
        <v>977</v>
      </c>
      <c r="F583" s="7" t="s">
        <v>145</v>
      </c>
      <c r="G583" s="7" t="s">
        <v>1002</v>
      </c>
      <c r="H583" s="7">
        <v>30</v>
      </c>
      <c r="I583" s="7">
        <v>3</v>
      </c>
      <c r="J583" s="7">
        <v>90</v>
      </c>
      <c r="K583" s="7" t="s">
        <v>1003</v>
      </c>
    </row>
    <row r="584" spans="1:11" x14ac:dyDescent="0.25">
      <c r="A584" s="7">
        <v>583</v>
      </c>
      <c r="B584" s="7" t="s">
        <v>881</v>
      </c>
      <c r="C584" s="7" t="s">
        <v>976</v>
      </c>
      <c r="D584" s="7" t="s">
        <v>976</v>
      </c>
      <c r="E584" s="7" t="s">
        <v>977</v>
      </c>
      <c r="F584" s="7" t="s">
        <v>145</v>
      </c>
      <c r="G584" s="7" t="s">
        <v>1004</v>
      </c>
      <c r="H584" s="7">
        <v>60</v>
      </c>
      <c r="I584" s="7">
        <v>3</v>
      </c>
      <c r="J584" s="7">
        <v>180</v>
      </c>
      <c r="K584" s="7" t="s">
        <v>1005</v>
      </c>
    </row>
    <row r="585" spans="1:11" x14ac:dyDescent="0.25">
      <c r="A585" s="7">
        <v>584</v>
      </c>
      <c r="B585" s="7" t="s">
        <v>881</v>
      </c>
      <c r="C585" s="7" t="s">
        <v>976</v>
      </c>
      <c r="D585" s="7" t="s">
        <v>976</v>
      </c>
      <c r="E585" s="7" t="s">
        <v>977</v>
      </c>
      <c r="F585" s="7" t="s">
        <v>145</v>
      </c>
      <c r="G585" s="7" t="s">
        <v>1006</v>
      </c>
      <c r="H585" s="7">
        <v>9</v>
      </c>
      <c r="I585" s="7">
        <v>2</v>
      </c>
      <c r="J585" s="7">
        <v>18</v>
      </c>
      <c r="K585" s="7" t="s">
        <v>1007</v>
      </c>
    </row>
    <row r="586" spans="1:11" x14ac:dyDescent="0.25">
      <c r="A586" s="7">
        <v>585</v>
      </c>
      <c r="B586" s="7" t="s">
        <v>881</v>
      </c>
      <c r="C586" s="7" t="s">
        <v>976</v>
      </c>
      <c r="D586" s="7" t="s">
        <v>976</v>
      </c>
      <c r="E586" s="7" t="s">
        <v>977</v>
      </c>
      <c r="F586" s="7" t="s">
        <v>145</v>
      </c>
      <c r="G586" s="7" t="s">
        <v>1008</v>
      </c>
      <c r="H586" s="7">
        <v>7</v>
      </c>
      <c r="I586" s="7">
        <v>2</v>
      </c>
      <c r="J586" s="7">
        <v>14</v>
      </c>
      <c r="K586" s="7" t="s">
        <v>1009</v>
      </c>
    </row>
    <row r="587" spans="1:11" x14ac:dyDescent="0.25">
      <c r="A587" s="7">
        <v>586</v>
      </c>
      <c r="B587" s="7" t="s">
        <v>881</v>
      </c>
      <c r="C587" s="7" t="s">
        <v>976</v>
      </c>
      <c r="D587" s="7" t="s">
        <v>976</v>
      </c>
      <c r="E587" s="7" t="s">
        <v>977</v>
      </c>
      <c r="F587" s="7" t="s">
        <v>145</v>
      </c>
      <c r="G587" s="7" t="s">
        <v>1010</v>
      </c>
      <c r="H587" s="7">
        <v>18</v>
      </c>
      <c r="I587" s="7">
        <v>3</v>
      </c>
      <c r="J587" s="7">
        <v>54</v>
      </c>
      <c r="K587" s="7" t="s">
        <v>1011</v>
      </c>
    </row>
    <row r="588" spans="1:11" x14ac:dyDescent="0.25">
      <c r="A588" s="7">
        <v>587</v>
      </c>
      <c r="B588" s="7" t="s">
        <v>881</v>
      </c>
      <c r="C588" s="7" t="s">
        <v>976</v>
      </c>
      <c r="D588" s="7" t="s">
        <v>976</v>
      </c>
      <c r="E588" s="7" t="s">
        <v>977</v>
      </c>
      <c r="F588" s="7" t="s">
        <v>145</v>
      </c>
      <c r="G588" s="7" t="s">
        <v>1012</v>
      </c>
      <c r="H588" s="7">
        <v>30</v>
      </c>
      <c r="I588" s="7">
        <v>3</v>
      </c>
      <c r="J588" s="7">
        <v>90</v>
      </c>
      <c r="K588" s="7" t="s">
        <v>1013</v>
      </c>
    </row>
    <row r="589" spans="1:11" x14ac:dyDescent="0.25">
      <c r="A589" s="7">
        <v>588</v>
      </c>
      <c r="B589" s="7" t="s">
        <v>881</v>
      </c>
      <c r="C589" s="7" t="s">
        <v>976</v>
      </c>
      <c r="D589" s="7" t="s">
        <v>976</v>
      </c>
      <c r="E589" s="7" t="s">
        <v>977</v>
      </c>
      <c r="F589" s="7" t="s">
        <v>145</v>
      </c>
      <c r="G589" s="7" t="s">
        <v>1014</v>
      </c>
      <c r="H589" s="7">
        <v>12</v>
      </c>
      <c r="I589" s="7">
        <v>2</v>
      </c>
      <c r="J589" s="7">
        <v>24</v>
      </c>
      <c r="K589" s="7" t="s">
        <v>1015</v>
      </c>
    </row>
    <row r="590" spans="1:11" x14ac:dyDescent="0.25">
      <c r="A590" s="7">
        <v>589</v>
      </c>
      <c r="B590" s="7" t="s">
        <v>881</v>
      </c>
      <c r="C590" s="7" t="s">
        <v>976</v>
      </c>
      <c r="D590" s="7" t="s">
        <v>976</v>
      </c>
      <c r="E590" s="7" t="s">
        <v>977</v>
      </c>
      <c r="F590" s="7" t="s">
        <v>145</v>
      </c>
      <c r="G590" s="7" t="s">
        <v>1016</v>
      </c>
      <c r="H590" s="7">
        <v>6</v>
      </c>
      <c r="I590" s="7">
        <v>2</v>
      </c>
      <c r="J590" s="7">
        <v>12</v>
      </c>
      <c r="K590" s="7" t="s">
        <v>1017</v>
      </c>
    </row>
    <row r="591" spans="1:11" x14ac:dyDescent="0.25">
      <c r="A591" s="7">
        <v>590</v>
      </c>
      <c r="B591" s="7" t="s">
        <v>881</v>
      </c>
      <c r="C591" s="7" t="s">
        <v>976</v>
      </c>
      <c r="D591" s="7" t="s">
        <v>976</v>
      </c>
      <c r="E591" s="7" t="s">
        <v>977</v>
      </c>
      <c r="F591" s="7" t="s">
        <v>145</v>
      </c>
      <c r="G591" s="7" t="s">
        <v>1018</v>
      </c>
      <c r="H591" s="7">
        <v>6</v>
      </c>
      <c r="I591" s="7">
        <v>2</v>
      </c>
      <c r="J591" s="7">
        <v>12</v>
      </c>
      <c r="K591" s="7" t="s">
        <v>1019</v>
      </c>
    </row>
    <row r="592" spans="1:11" x14ac:dyDescent="0.25">
      <c r="A592" s="7">
        <v>591</v>
      </c>
      <c r="B592" s="7" t="s">
        <v>881</v>
      </c>
      <c r="C592" s="7" t="s">
        <v>976</v>
      </c>
      <c r="D592" s="7" t="s">
        <v>976</v>
      </c>
      <c r="E592" s="7" t="s">
        <v>977</v>
      </c>
      <c r="F592" s="7" t="s">
        <v>145</v>
      </c>
      <c r="G592" s="7" t="s">
        <v>1020</v>
      </c>
      <c r="H592" s="7">
        <v>24</v>
      </c>
      <c r="I592" s="7">
        <v>2</v>
      </c>
      <c r="J592" s="7">
        <v>48</v>
      </c>
      <c r="K592" s="7" t="s">
        <v>1021</v>
      </c>
    </row>
    <row r="593" spans="1:11" x14ac:dyDescent="0.25">
      <c r="A593" s="7">
        <v>592</v>
      </c>
      <c r="B593" s="7" t="s">
        <v>881</v>
      </c>
      <c r="C593" s="7" t="s">
        <v>976</v>
      </c>
      <c r="D593" s="7" t="s">
        <v>976</v>
      </c>
      <c r="E593" s="7" t="s">
        <v>977</v>
      </c>
      <c r="F593" s="7" t="s">
        <v>145</v>
      </c>
      <c r="G593" s="7" t="s">
        <v>1022</v>
      </c>
      <c r="H593" s="7">
        <v>12</v>
      </c>
      <c r="I593" s="7">
        <v>2</v>
      </c>
      <c r="J593" s="7">
        <v>24</v>
      </c>
      <c r="K593" s="7" t="s">
        <v>1023</v>
      </c>
    </row>
    <row r="594" spans="1:11" x14ac:dyDescent="0.25">
      <c r="A594" s="7">
        <v>593</v>
      </c>
      <c r="B594" s="7" t="s">
        <v>881</v>
      </c>
      <c r="C594" s="7" t="s">
        <v>976</v>
      </c>
      <c r="D594" s="7" t="s">
        <v>976</v>
      </c>
      <c r="E594" s="7" t="s">
        <v>977</v>
      </c>
      <c r="F594" s="7" t="s">
        <v>145</v>
      </c>
      <c r="G594" s="7" t="s">
        <v>1024</v>
      </c>
      <c r="H594" s="7">
        <v>24</v>
      </c>
      <c r="I594" s="7">
        <v>2</v>
      </c>
      <c r="J594" s="7">
        <v>48</v>
      </c>
      <c r="K594" s="7" t="s">
        <v>1025</v>
      </c>
    </row>
    <row r="595" spans="1:11" x14ac:dyDescent="0.25">
      <c r="A595" s="7">
        <v>594</v>
      </c>
      <c r="B595" s="7" t="s">
        <v>881</v>
      </c>
      <c r="C595" s="7" t="s">
        <v>976</v>
      </c>
      <c r="D595" s="7" t="s">
        <v>976</v>
      </c>
      <c r="E595" s="7" t="s">
        <v>977</v>
      </c>
      <c r="F595" s="7" t="s">
        <v>145</v>
      </c>
      <c r="G595" s="7" t="s">
        <v>1026</v>
      </c>
      <c r="H595" s="7">
        <v>36</v>
      </c>
      <c r="I595" s="7">
        <v>3</v>
      </c>
      <c r="J595" s="7">
        <v>108</v>
      </c>
      <c r="K595" s="7" t="s">
        <v>1027</v>
      </c>
    </row>
    <row r="596" spans="1:11" x14ac:dyDescent="0.25">
      <c r="A596" s="7">
        <v>595</v>
      </c>
      <c r="B596" s="7" t="s">
        <v>881</v>
      </c>
      <c r="C596" s="7" t="s">
        <v>976</v>
      </c>
      <c r="D596" s="7" t="s">
        <v>976</v>
      </c>
      <c r="E596" s="7" t="s">
        <v>977</v>
      </c>
      <c r="F596" s="7" t="s">
        <v>145</v>
      </c>
      <c r="G596" s="7" t="s">
        <v>1028</v>
      </c>
      <c r="H596" s="7">
        <v>6</v>
      </c>
      <c r="I596" s="7">
        <v>2</v>
      </c>
      <c r="J596" s="7">
        <v>12</v>
      </c>
      <c r="K596" s="7" t="s">
        <v>1029</v>
      </c>
    </row>
    <row r="597" spans="1:11" x14ac:dyDescent="0.25">
      <c r="A597" s="7">
        <v>596</v>
      </c>
      <c r="B597" s="7" t="s">
        <v>881</v>
      </c>
      <c r="C597" s="7" t="s">
        <v>976</v>
      </c>
      <c r="D597" s="7" t="s">
        <v>976</v>
      </c>
      <c r="E597" s="7" t="s">
        <v>977</v>
      </c>
      <c r="F597" s="7" t="s">
        <v>145</v>
      </c>
      <c r="G597" s="7" t="s">
        <v>1030</v>
      </c>
      <c r="H597" s="7">
        <v>6</v>
      </c>
      <c r="I597" s="7">
        <v>3</v>
      </c>
      <c r="J597" s="7">
        <v>18</v>
      </c>
      <c r="K597" s="7" t="s">
        <v>1031</v>
      </c>
    </row>
    <row r="598" spans="1:11" x14ac:dyDescent="0.25">
      <c r="A598" s="7">
        <v>597</v>
      </c>
      <c r="B598" s="7" t="s">
        <v>881</v>
      </c>
      <c r="C598" s="7" t="s">
        <v>976</v>
      </c>
      <c r="D598" s="7" t="s">
        <v>976</v>
      </c>
      <c r="E598" s="7" t="s">
        <v>977</v>
      </c>
      <c r="F598" s="7" t="s">
        <v>145</v>
      </c>
      <c r="G598" s="7" t="s">
        <v>1032</v>
      </c>
      <c r="H598" s="7">
        <v>6</v>
      </c>
      <c r="I598" s="7">
        <v>2</v>
      </c>
      <c r="J598" s="7">
        <v>12</v>
      </c>
      <c r="K598" s="7" t="s">
        <v>1033</v>
      </c>
    </row>
    <row r="599" spans="1:11" x14ac:dyDescent="0.25">
      <c r="A599" s="7">
        <v>598</v>
      </c>
      <c r="B599" s="7" t="s">
        <v>881</v>
      </c>
      <c r="C599" s="7" t="s">
        <v>976</v>
      </c>
      <c r="D599" s="7" t="s">
        <v>976</v>
      </c>
      <c r="E599" s="7" t="s">
        <v>977</v>
      </c>
      <c r="F599" s="7" t="s">
        <v>145</v>
      </c>
      <c r="G599" s="7" t="s">
        <v>1034</v>
      </c>
      <c r="H599" s="7">
        <v>3</v>
      </c>
      <c r="I599" s="7">
        <v>2</v>
      </c>
      <c r="J599" s="7">
        <v>6</v>
      </c>
      <c r="K599" s="7" t="s">
        <v>1035</v>
      </c>
    </row>
    <row r="600" spans="1:11" x14ac:dyDescent="0.25">
      <c r="A600" s="7">
        <v>599</v>
      </c>
      <c r="B600" s="7" t="s">
        <v>881</v>
      </c>
      <c r="C600" s="7" t="s">
        <v>976</v>
      </c>
      <c r="D600" s="7" t="s">
        <v>976</v>
      </c>
      <c r="E600" s="7" t="s">
        <v>977</v>
      </c>
      <c r="F600" s="7" t="s">
        <v>145</v>
      </c>
      <c r="G600" s="7" t="s">
        <v>1036</v>
      </c>
      <c r="H600" s="7">
        <v>6</v>
      </c>
      <c r="I600" s="7">
        <v>2</v>
      </c>
      <c r="J600" s="7">
        <v>12</v>
      </c>
      <c r="K600" s="7" t="s">
        <v>1037</v>
      </c>
    </row>
    <row r="601" spans="1:11" x14ac:dyDescent="0.25">
      <c r="A601" s="7">
        <v>600</v>
      </c>
      <c r="B601" s="7" t="s">
        <v>881</v>
      </c>
      <c r="C601" s="7" t="s">
        <v>976</v>
      </c>
      <c r="D601" s="7" t="s">
        <v>976</v>
      </c>
      <c r="E601" s="7" t="s">
        <v>1038</v>
      </c>
      <c r="F601" s="7" t="s">
        <v>145</v>
      </c>
      <c r="G601" s="7" t="s">
        <v>1039</v>
      </c>
      <c r="H601" s="7" t="s">
        <v>1040</v>
      </c>
      <c r="I601" s="7">
        <v>2</v>
      </c>
      <c r="J601" s="7" t="s">
        <v>1041</v>
      </c>
      <c r="K601" s="7" t="s">
        <v>1042</v>
      </c>
    </row>
    <row r="602" spans="1:11" x14ac:dyDescent="0.25">
      <c r="A602" s="7">
        <v>601</v>
      </c>
      <c r="B602" s="7" t="s">
        <v>881</v>
      </c>
      <c r="C602" s="7" t="s">
        <v>976</v>
      </c>
      <c r="D602" s="7" t="s">
        <v>976</v>
      </c>
      <c r="E602" s="7" t="s">
        <v>1038</v>
      </c>
      <c r="F602" s="7" t="s">
        <v>145</v>
      </c>
      <c r="G602" s="7" t="s">
        <v>1043</v>
      </c>
      <c r="H602" s="7" t="s">
        <v>1044</v>
      </c>
      <c r="I602" s="7">
        <v>2</v>
      </c>
      <c r="J602" s="7" t="s">
        <v>1045</v>
      </c>
      <c r="K602" s="7" t="s">
        <v>1046</v>
      </c>
    </row>
    <row r="603" spans="1:11" x14ac:dyDescent="0.25">
      <c r="A603" s="7">
        <v>602</v>
      </c>
      <c r="B603" s="7" t="s">
        <v>881</v>
      </c>
      <c r="C603" s="7" t="s">
        <v>1047</v>
      </c>
      <c r="D603" s="7" t="s">
        <v>1047</v>
      </c>
      <c r="E603" s="7" t="s">
        <v>977</v>
      </c>
      <c r="F603" s="7" t="s">
        <v>145</v>
      </c>
      <c r="G603" s="7" t="s">
        <v>1048</v>
      </c>
      <c r="H603" s="7">
        <v>14</v>
      </c>
      <c r="I603" s="7">
        <v>2</v>
      </c>
      <c r="J603" s="7">
        <v>28</v>
      </c>
      <c r="K603" s="7" t="s">
        <v>1049</v>
      </c>
    </row>
    <row r="604" spans="1:11" x14ac:dyDescent="0.25">
      <c r="A604" s="7">
        <v>603</v>
      </c>
      <c r="B604" s="7" t="s">
        <v>881</v>
      </c>
      <c r="C604" s="7" t="s">
        <v>1047</v>
      </c>
      <c r="D604" s="7" t="s">
        <v>1047</v>
      </c>
      <c r="E604" s="7" t="s">
        <v>977</v>
      </c>
      <c r="F604" s="7" t="s">
        <v>145</v>
      </c>
      <c r="G604" s="7" t="s">
        <v>1050</v>
      </c>
      <c r="H604" s="7">
        <v>24</v>
      </c>
      <c r="I604" s="7">
        <v>3</v>
      </c>
      <c r="J604" s="7">
        <v>72</v>
      </c>
      <c r="K604" s="7" t="s">
        <v>1051</v>
      </c>
    </row>
    <row r="605" spans="1:11" x14ac:dyDescent="0.25">
      <c r="A605" s="7">
        <v>604</v>
      </c>
      <c r="B605" s="7" t="s">
        <v>881</v>
      </c>
      <c r="C605" s="7" t="s">
        <v>1047</v>
      </c>
      <c r="D605" s="7" t="s">
        <v>1047</v>
      </c>
      <c r="E605" s="7" t="s">
        <v>977</v>
      </c>
      <c r="F605" s="7" t="s">
        <v>145</v>
      </c>
      <c r="G605" s="7" t="s">
        <v>1052</v>
      </c>
      <c r="H605" s="7">
        <v>10</v>
      </c>
      <c r="I605" s="7">
        <v>3</v>
      </c>
      <c r="J605" s="7">
        <v>30</v>
      </c>
      <c r="K605" s="7" t="s">
        <v>1053</v>
      </c>
    </row>
    <row r="606" spans="1:11" x14ac:dyDescent="0.25">
      <c r="A606" s="7">
        <v>605</v>
      </c>
      <c r="B606" s="7" t="s">
        <v>881</v>
      </c>
      <c r="C606" s="7" t="s">
        <v>1047</v>
      </c>
      <c r="D606" s="7" t="s">
        <v>1047</v>
      </c>
      <c r="E606" s="7" t="s">
        <v>977</v>
      </c>
      <c r="F606" s="7" t="s">
        <v>145</v>
      </c>
      <c r="G606" s="7" t="s">
        <v>1054</v>
      </c>
      <c r="H606" s="7">
        <v>18</v>
      </c>
      <c r="I606" s="7">
        <v>2</v>
      </c>
      <c r="J606" s="7">
        <v>36</v>
      </c>
      <c r="K606" s="7" t="s">
        <v>1055</v>
      </c>
    </row>
    <row r="607" spans="1:11" x14ac:dyDescent="0.25">
      <c r="A607" s="7">
        <v>606</v>
      </c>
      <c r="B607" s="7" t="s">
        <v>881</v>
      </c>
      <c r="C607" s="7" t="s">
        <v>1047</v>
      </c>
      <c r="D607" s="7" t="s">
        <v>1047</v>
      </c>
      <c r="E607" s="7" t="s">
        <v>977</v>
      </c>
      <c r="F607" s="7" t="s">
        <v>145</v>
      </c>
      <c r="G607" s="7" t="s">
        <v>1056</v>
      </c>
      <c r="H607" s="7">
        <v>9</v>
      </c>
      <c r="I607" s="7">
        <v>2</v>
      </c>
      <c r="J607" s="7">
        <v>18</v>
      </c>
      <c r="K607" s="7" t="s">
        <v>1057</v>
      </c>
    </row>
    <row r="608" spans="1:11" x14ac:dyDescent="0.25">
      <c r="A608" s="7">
        <v>607</v>
      </c>
      <c r="B608" s="7" t="s">
        <v>881</v>
      </c>
      <c r="C608" s="7" t="s">
        <v>1047</v>
      </c>
      <c r="D608" s="7" t="s">
        <v>1047</v>
      </c>
      <c r="E608" s="7" t="s">
        <v>977</v>
      </c>
      <c r="F608" s="7" t="s">
        <v>145</v>
      </c>
      <c r="G608" s="7" t="s">
        <v>1058</v>
      </c>
      <c r="H608" s="7">
        <v>6</v>
      </c>
      <c r="I608" s="7">
        <v>2</v>
      </c>
      <c r="J608" s="7">
        <v>12</v>
      </c>
      <c r="K608" s="7" t="s">
        <v>1059</v>
      </c>
    </row>
    <row r="609" spans="1:11" x14ac:dyDescent="0.25">
      <c r="A609" s="7">
        <v>608</v>
      </c>
      <c r="B609" s="7" t="s">
        <v>881</v>
      </c>
      <c r="C609" s="7" t="s">
        <v>1047</v>
      </c>
      <c r="D609" s="7" t="s">
        <v>1047</v>
      </c>
      <c r="E609" s="7" t="s">
        <v>977</v>
      </c>
      <c r="F609" s="7" t="s">
        <v>145</v>
      </c>
      <c r="G609" s="7" t="s">
        <v>1060</v>
      </c>
      <c r="H609" s="7">
        <v>9</v>
      </c>
      <c r="I609" s="7">
        <v>2</v>
      </c>
      <c r="J609" s="7">
        <v>18</v>
      </c>
      <c r="K609" s="7" t="s">
        <v>1061</v>
      </c>
    </row>
    <row r="610" spans="1:11" x14ac:dyDescent="0.25">
      <c r="A610" s="7">
        <v>609</v>
      </c>
      <c r="B610" s="7" t="s">
        <v>881</v>
      </c>
      <c r="C610" s="7" t="s">
        <v>1047</v>
      </c>
      <c r="D610" s="7" t="s">
        <v>1047</v>
      </c>
      <c r="E610" s="7" t="s">
        <v>977</v>
      </c>
      <c r="F610" s="7" t="s">
        <v>145</v>
      </c>
      <c r="G610" s="7" t="s">
        <v>1062</v>
      </c>
      <c r="H610" s="7">
        <v>12</v>
      </c>
      <c r="I610" s="7">
        <v>3</v>
      </c>
      <c r="J610" s="7">
        <v>36</v>
      </c>
      <c r="K610" s="7" t="s">
        <v>1063</v>
      </c>
    </row>
    <row r="611" spans="1:11" x14ac:dyDescent="0.25">
      <c r="A611" s="7">
        <v>610</v>
      </c>
      <c r="B611" s="7" t="s">
        <v>881</v>
      </c>
      <c r="C611" s="7" t="s">
        <v>1047</v>
      </c>
      <c r="D611" s="7" t="s">
        <v>1047</v>
      </c>
      <c r="E611" s="7" t="s">
        <v>977</v>
      </c>
      <c r="F611" s="7" t="s">
        <v>145</v>
      </c>
      <c r="G611" s="7" t="s">
        <v>1064</v>
      </c>
      <c r="H611" s="7">
        <v>9</v>
      </c>
      <c r="I611" s="7">
        <v>3</v>
      </c>
      <c r="J611" s="7">
        <v>27</v>
      </c>
      <c r="K611" s="7" t="s">
        <v>1065</v>
      </c>
    </row>
    <row r="612" spans="1:11" x14ac:dyDescent="0.25">
      <c r="A612" s="7">
        <v>611</v>
      </c>
      <c r="B612" s="7" t="s">
        <v>881</v>
      </c>
      <c r="C612" s="7" t="s">
        <v>1047</v>
      </c>
      <c r="D612" s="7" t="s">
        <v>1047</v>
      </c>
      <c r="E612" s="7" t="s">
        <v>977</v>
      </c>
      <c r="F612" s="7" t="s">
        <v>145</v>
      </c>
      <c r="G612" s="7" t="s">
        <v>1066</v>
      </c>
      <c r="H612" s="7">
        <v>10</v>
      </c>
      <c r="I612" s="7">
        <v>3</v>
      </c>
      <c r="J612" s="7">
        <v>30</v>
      </c>
      <c r="K612" s="7" t="s">
        <v>1067</v>
      </c>
    </row>
    <row r="613" spans="1:11" x14ac:dyDescent="0.25">
      <c r="A613" s="7">
        <v>612</v>
      </c>
      <c r="B613" s="7" t="s">
        <v>881</v>
      </c>
      <c r="C613" s="7" t="s">
        <v>1047</v>
      </c>
      <c r="D613" s="7" t="s">
        <v>1047</v>
      </c>
      <c r="E613" s="7" t="s">
        <v>977</v>
      </c>
      <c r="F613" s="7" t="s">
        <v>145</v>
      </c>
      <c r="G613" s="7" t="s">
        <v>1068</v>
      </c>
      <c r="H613" s="7">
        <v>18</v>
      </c>
      <c r="I613" s="7">
        <v>3</v>
      </c>
      <c r="J613" s="7">
        <v>54</v>
      </c>
      <c r="K613" s="7" t="s">
        <v>1069</v>
      </c>
    </row>
    <row r="614" spans="1:11" x14ac:dyDescent="0.25">
      <c r="A614" s="7">
        <v>613</v>
      </c>
      <c r="B614" s="7" t="s">
        <v>881</v>
      </c>
      <c r="C614" s="7" t="s">
        <v>1047</v>
      </c>
      <c r="D614" s="7" t="s">
        <v>1047</v>
      </c>
      <c r="E614" s="7" t="s">
        <v>977</v>
      </c>
      <c r="F614" s="7" t="s">
        <v>145</v>
      </c>
      <c r="G614" s="7" t="s">
        <v>1070</v>
      </c>
      <c r="H614" s="7">
        <v>48</v>
      </c>
      <c r="I614" s="7">
        <v>3</v>
      </c>
      <c r="J614" s="7">
        <v>144</v>
      </c>
      <c r="K614" s="7" t="s">
        <v>1071</v>
      </c>
    </row>
    <row r="615" spans="1:11" x14ac:dyDescent="0.25">
      <c r="A615" s="7">
        <v>614</v>
      </c>
      <c r="B615" s="7" t="s">
        <v>881</v>
      </c>
      <c r="C615" s="7" t="s">
        <v>1047</v>
      </c>
      <c r="D615" s="7" t="s">
        <v>1047</v>
      </c>
      <c r="E615" s="7" t="s">
        <v>977</v>
      </c>
      <c r="F615" s="7" t="s">
        <v>145</v>
      </c>
      <c r="G615" s="7" t="s">
        <v>1072</v>
      </c>
      <c r="H615" s="7">
        <v>60</v>
      </c>
      <c r="I615" s="7">
        <v>2</v>
      </c>
      <c r="J615" s="7">
        <v>120</v>
      </c>
      <c r="K615" s="7" t="s">
        <v>1073</v>
      </c>
    </row>
    <row r="616" spans="1:11" x14ac:dyDescent="0.25">
      <c r="A616" s="7">
        <v>615</v>
      </c>
      <c r="B616" s="7" t="s">
        <v>881</v>
      </c>
      <c r="C616" s="7" t="s">
        <v>1047</v>
      </c>
      <c r="D616" s="7" t="s">
        <v>1047</v>
      </c>
      <c r="E616" s="7" t="s">
        <v>977</v>
      </c>
      <c r="F616" s="7" t="s">
        <v>145</v>
      </c>
      <c r="G616" s="7" t="s">
        <v>998</v>
      </c>
      <c r="H616" s="7">
        <v>9</v>
      </c>
      <c r="I616" s="7">
        <v>2</v>
      </c>
      <c r="J616" s="7">
        <v>18</v>
      </c>
      <c r="K616" s="7" t="s">
        <v>1074</v>
      </c>
    </row>
    <row r="617" spans="1:11" x14ac:dyDescent="0.25">
      <c r="A617" s="7">
        <v>616</v>
      </c>
      <c r="B617" s="7" t="s">
        <v>881</v>
      </c>
      <c r="C617" s="7" t="s">
        <v>1047</v>
      </c>
      <c r="D617" s="7" t="s">
        <v>1047</v>
      </c>
      <c r="E617" s="7" t="s">
        <v>977</v>
      </c>
      <c r="F617" s="7" t="s">
        <v>145</v>
      </c>
      <c r="G617" s="7" t="s">
        <v>1006</v>
      </c>
      <c r="H617" s="7">
        <v>6</v>
      </c>
      <c r="I617" s="7">
        <v>2</v>
      </c>
      <c r="J617" s="7">
        <v>12</v>
      </c>
      <c r="K617" s="7" t="s">
        <v>1075</v>
      </c>
    </row>
    <row r="618" spans="1:11" x14ac:dyDescent="0.25">
      <c r="A618" s="7">
        <v>617</v>
      </c>
      <c r="B618" s="7" t="s">
        <v>881</v>
      </c>
      <c r="C618" s="7" t="s">
        <v>1047</v>
      </c>
      <c r="D618" s="7" t="s">
        <v>1047</v>
      </c>
      <c r="E618" s="7" t="s">
        <v>977</v>
      </c>
      <c r="F618" s="7" t="s">
        <v>145</v>
      </c>
      <c r="G618" s="7" t="s">
        <v>1076</v>
      </c>
      <c r="H618" s="7">
        <v>24</v>
      </c>
      <c r="I618" s="7">
        <v>3</v>
      </c>
      <c r="J618" s="7">
        <v>72</v>
      </c>
      <c r="K618" s="7" t="s">
        <v>1077</v>
      </c>
    </row>
    <row r="619" spans="1:11" x14ac:dyDescent="0.25">
      <c r="A619" s="7">
        <v>618</v>
      </c>
      <c r="B619" s="7" t="s">
        <v>881</v>
      </c>
      <c r="C619" s="7" t="s">
        <v>1047</v>
      </c>
      <c r="D619" s="7" t="s">
        <v>1047</v>
      </c>
      <c r="E619" s="7" t="s">
        <v>977</v>
      </c>
      <c r="F619" s="7" t="s">
        <v>145</v>
      </c>
      <c r="G619" s="7" t="s">
        <v>1078</v>
      </c>
      <c r="H619" s="7">
        <v>6</v>
      </c>
      <c r="I619" s="7">
        <v>2</v>
      </c>
      <c r="J619" s="7">
        <v>12</v>
      </c>
      <c r="K619" s="7" t="s">
        <v>1079</v>
      </c>
    </row>
    <row r="620" spans="1:11" x14ac:dyDescent="0.25">
      <c r="A620" s="7">
        <v>619</v>
      </c>
      <c r="B620" s="7" t="s">
        <v>881</v>
      </c>
      <c r="C620" s="7" t="s">
        <v>1047</v>
      </c>
      <c r="D620" s="7" t="s">
        <v>1047</v>
      </c>
      <c r="E620" s="7" t="s">
        <v>977</v>
      </c>
      <c r="F620" s="7" t="s">
        <v>145</v>
      </c>
      <c r="G620" s="7" t="s">
        <v>1080</v>
      </c>
      <c r="H620" s="7">
        <v>12</v>
      </c>
      <c r="I620" s="7">
        <v>3</v>
      </c>
      <c r="J620" s="7">
        <v>36</v>
      </c>
      <c r="K620" s="7" t="s">
        <v>1081</v>
      </c>
    </row>
    <row r="621" spans="1:11" x14ac:dyDescent="0.25">
      <c r="A621" s="7">
        <v>620</v>
      </c>
      <c r="B621" s="7" t="s">
        <v>881</v>
      </c>
      <c r="C621" s="7" t="s">
        <v>1047</v>
      </c>
      <c r="D621" s="7" t="s">
        <v>1047</v>
      </c>
      <c r="E621" s="7" t="s">
        <v>977</v>
      </c>
      <c r="F621" s="7" t="s">
        <v>145</v>
      </c>
      <c r="G621" s="7" t="s">
        <v>1082</v>
      </c>
      <c r="H621" s="7">
        <v>30</v>
      </c>
      <c r="I621" s="7">
        <v>3</v>
      </c>
      <c r="J621" s="7">
        <v>90</v>
      </c>
      <c r="K621" s="7" t="s">
        <v>1083</v>
      </c>
    </row>
    <row r="622" spans="1:11" x14ac:dyDescent="0.25">
      <c r="A622" s="7">
        <v>621</v>
      </c>
      <c r="B622" s="7" t="s">
        <v>881</v>
      </c>
      <c r="C622" s="7" t="s">
        <v>1047</v>
      </c>
      <c r="D622" s="7" t="s">
        <v>1047</v>
      </c>
      <c r="E622" s="7" t="s">
        <v>977</v>
      </c>
      <c r="F622" s="7" t="s">
        <v>145</v>
      </c>
      <c r="G622" s="7" t="s">
        <v>1084</v>
      </c>
      <c r="H622" s="7">
        <v>9</v>
      </c>
      <c r="I622" s="7">
        <v>2</v>
      </c>
      <c r="J622" s="7">
        <v>18</v>
      </c>
      <c r="K622" s="7" t="s">
        <v>1085</v>
      </c>
    </row>
    <row r="623" spans="1:11" x14ac:dyDescent="0.25">
      <c r="A623" s="7">
        <v>622</v>
      </c>
      <c r="B623" s="7" t="s">
        <v>881</v>
      </c>
      <c r="C623" s="7" t="s">
        <v>1047</v>
      </c>
      <c r="D623" s="7" t="s">
        <v>1047</v>
      </c>
      <c r="E623" s="7" t="s">
        <v>977</v>
      </c>
      <c r="F623" s="7" t="s">
        <v>145</v>
      </c>
      <c r="G623" s="7" t="s">
        <v>1086</v>
      </c>
      <c r="H623" s="7">
        <v>24</v>
      </c>
      <c r="I623" s="7">
        <v>2</v>
      </c>
      <c r="J623" s="7">
        <v>48</v>
      </c>
      <c r="K623" s="7" t="s">
        <v>1087</v>
      </c>
    </row>
    <row r="624" spans="1:11" x14ac:dyDescent="0.25">
      <c r="A624" s="7">
        <v>623</v>
      </c>
      <c r="B624" s="7" t="s">
        <v>881</v>
      </c>
      <c r="C624" s="7" t="s">
        <v>1047</v>
      </c>
      <c r="D624" s="7" t="s">
        <v>1047</v>
      </c>
      <c r="E624" s="7" t="s">
        <v>977</v>
      </c>
      <c r="F624" s="7" t="s">
        <v>145</v>
      </c>
      <c r="G624" s="7" t="s">
        <v>1088</v>
      </c>
      <c r="H624" s="7">
        <v>6</v>
      </c>
      <c r="I624" s="7">
        <v>2</v>
      </c>
      <c r="J624" s="7">
        <v>12</v>
      </c>
      <c r="K624" s="7" t="s">
        <v>1089</v>
      </c>
    </row>
    <row r="625" spans="1:11" x14ac:dyDescent="0.25">
      <c r="A625" s="7">
        <v>624</v>
      </c>
      <c r="B625" s="7" t="s">
        <v>881</v>
      </c>
      <c r="C625" s="7" t="s">
        <v>1047</v>
      </c>
      <c r="D625" s="7" t="s">
        <v>1047</v>
      </c>
      <c r="E625" s="7" t="s">
        <v>1038</v>
      </c>
      <c r="F625" s="7" t="s">
        <v>145</v>
      </c>
      <c r="G625" s="7" t="s">
        <v>1039</v>
      </c>
      <c r="H625" s="7" t="s">
        <v>1090</v>
      </c>
      <c r="I625" s="7">
        <v>2</v>
      </c>
      <c r="J625" s="7" t="s">
        <v>1091</v>
      </c>
      <c r="K625" s="7" t="s">
        <v>1092</v>
      </c>
    </row>
    <row r="626" spans="1:11" x14ac:dyDescent="0.25">
      <c r="A626" s="7">
        <v>625</v>
      </c>
      <c r="B626" s="7" t="s">
        <v>881</v>
      </c>
      <c r="C626" s="7" t="s">
        <v>1047</v>
      </c>
      <c r="D626" s="7" t="s">
        <v>1047</v>
      </c>
      <c r="E626" s="7" t="s">
        <v>1038</v>
      </c>
      <c r="F626" s="7" t="s">
        <v>145</v>
      </c>
      <c r="G626" s="7" t="s">
        <v>1043</v>
      </c>
      <c r="H626" s="7" t="s">
        <v>1093</v>
      </c>
      <c r="I626" s="7">
        <v>2</v>
      </c>
      <c r="J626" s="7" t="s">
        <v>1094</v>
      </c>
      <c r="K626" s="7" t="s">
        <v>1095</v>
      </c>
    </row>
    <row r="627" spans="1:11" x14ac:dyDescent="0.25">
      <c r="A627" s="7">
        <v>626</v>
      </c>
      <c r="B627" s="7" t="s">
        <v>881</v>
      </c>
      <c r="C627" s="7" t="s">
        <v>1096</v>
      </c>
      <c r="D627" s="7" t="s">
        <v>1096</v>
      </c>
      <c r="E627" s="7" t="s">
        <v>977</v>
      </c>
      <c r="F627" s="7" t="s">
        <v>145</v>
      </c>
      <c r="G627" s="7" t="s">
        <v>1097</v>
      </c>
      <c r="H627" s="7">
        <v>6</v>
      </c>
      <c r="I627" s="7">
        <v>2</v>
      </c>
      <c r="J627" s="7">
        <v>12</v>
      </c>
      <c r="K627" s="7" t="s">
        <v>1098</v>
      </c>
    </row>
    <row r="628" spans="1:11" x14ac:dyDescent="0.25">
      <c r="A628" s="7">
        <v>627</v>
      </c>
      <c r="B628" s="7" t="s">
        <v>881</v>
      </c>
      <c r="C628" s="7" t="s">
        <v>1096</v>
      </c>
      <c r="D628" s="7" t="s">
        <v>1096</v>
      </c>
      <c r="E628" s="7" t="s">
        <v>977</v>
      </c>
      <c r="F628" s="7" t="s">
        <v>145</v>
      </c>
      <c r="G628" s="7" t="s">
        <v>1099</v>
      </c>
      <c r="H628" s="7">
        <v>10</v>
      </c>
      <c r="I628" s="7">
        <v>2</v>
      </c>
      <c r="J628" s="7">
        <v>20</v>
      </c>
      <c r="K628" s="7" t="s">
        <v>1100</v>
      </c>
    </row>
    <row r="629" spans="1:11" x14ac:dyDescent="0.25">
      <c r="A629" s="7">
        <v>628</v>
      </c>
      <c r="B629" s="7" t="s">
        <v>881</v>
      </c>
      <c r="C629" s="7" t="s">
        <v>1096</v>
      </c>
      <c r="D629" s="7" t="s">
        <v>1096</v>
      </c>
      <c r="E629" s="7" t="s">
        <v>977</v>
      </c>
      <c r="F629" s="7" t="s">
        <v>145</v>
      </c>
      <c r="G629" s="7" t="s">
        <v>1101</v>
      </c>
      <c r="H629" s="7">
        <v>6</v>
      </c>
      <c r="I629" s="7">
        <v>2</v>
      </c>
      <c r="J629" s="7">
        <v>12</v>
      </c>
      <c r="K629" s="7" t="s">
        <v>1102</v>
      </c>
    </row>
    <row r="630" spans="1:11" x14ac:dyDescent="0.25">
      <c r="A630" s="7">
        <v>629</v>
      </c>
      <c r="B630" s="7" t="s">
        <v>881</v>
      </c>
      <c r="C630" s="7" t="s">
        <v>1096</v>
      </c>
      <c r="D630" s="7" t="s">
        <v>1096</v>
      </c>
      <c r="E630" s="7" t="s">
        <v>977</v>
      </c>
      <c r="F630" s="7" t="s">
        <v>145</v>
      </c>
      <c r="G630" s="7" t="s">
        <v>1103</v>
      </c>
      <c r="H630" s="7">
        <v>18</v>
      </c>
      <c r="I630" s="7">
        <v>3</v>
      </c>
      <c r="J630" s="7">
        <v>54</v>
      </c>
      <c r="K630" s="7" t="s">
        <v>1104</v>
      </c>
    </row>
    <row r="631" spans="1:11" x14ac:dyDescent="0.25">
      <c r="A631" s="7">
        <v>630</v>
      </c>
      <c r="B631" s="7" t="s">
        <v>881</v>
      </c>
      <c r="C631" s="7" t="s">
        <v>1096</v>
      </c>
      <c r="D631" s="7" t="s">
        <v>1096</v>
      </c>
      <c r="E631" s="7" t="s">
        <v>977</v>
      </c>
      <c r="F631" s="7" t="s">
        <v>145</v>
      </c>
      <c r="G631" s="7" t="s">
        <v>1105</v>
      </c>
      <c r="H631" s="7">
        <v>36</v>
      </c>
      <c r="I631" s="7">
        <v>3</v>
      </c>
      <c r="J631" s="7">
        <v>108</v>
      </c>
      <c r="K631" s="7" t="s">
        <v>1106</v>
      </c>
    </row>
    <row r="632" spans="1:11" x14ac:dyDescent="0.25">
      <c r="A632" s="7">
        <v>631</v>
      </c>
      <c r="B632" s="7" t="s">
        <v>881</v>
      </c>
      <c r="C632" s="7" t="s">
        <v>1096</v>
      </c>
      <c r="D632" s="7" t="s">
        <v>1096</v>
      </c>
      <c r="E632" s="7" t="s">
        <v>977</v>
      </c>
      <c r="F632" s="7" t="s">
        <v>145</v>
      </c>
      <c r="G632" s="7" t="s">
        <v>1107</v>
      </c>
      <c r="H632" s="7">
        <v>28</v>
      </c>
      <c r="I632" s="7">
        <v>3</v>
      </c>
      <c r="J632" s="7">
        <v>84</v>
      </c>
      <c r="K632" s="7" t="s">
        <v>1108</v>
      </c>
    </row>
    <row r="633" spans="1:11" x14ac:dyDescent="0.25">
      <c r="A633" s="7">
        <v>632</v>
      </c>
      <c r="B633" s="7" t="s">
        <v>881</v>
      </c>
      <c r="C633" s="7" t="s">
        <v>1096</v>
      </c>
      <c r="D633" s="7" t="s">
        <v>1096</v>
      </c>
      <c r="E633" s="7" t="s">
        <v>977</v>
      </c>
      <c r="F633" s="7" t="s">
        <v>145</v>
      </c>
      <c r="G633" s="7" t="s">
        <v>1070</v>
      </c>
      <c r="H633" s="7">
        <v>18</v>
      </c>
      <c r="I633" s="7">
        <v>2</v>
      </c>
      <c r="J633" s="7">
        <v>36</v>
      </c>
      <c r="K633" s="7" t="s">
        <v>1109</v>
      </c>
    </row>
    <row r="634" spans="1:11" x14ac:dyDescent="0.25">
      <c r="A634" s="7">
        <v>633</v>
      </c>
      <c r="B634" s="7" t="s">
        <v>881</v>
      </c>
      <c r="C634" s="7" t="s">
        <v>1096</v>
      </c>
      <c r="D634" s="7" t="s">
        <v>1096</v>
      </c>
      <c r="E634" s="7" t="s">
        <v>977</v>
      </c>
      <c r="F634" s="7" t="s">
        <v>145</v>
      </c>
      <c r="G634" s="7" t="s">
        <v>1110</v>
      </c>
      <c r="H634" s="7">
        <v>9</v>
      </c>
      <c r="I634" s="7">
        <v>2</v>
      </c>
      <c r="J634" s="7">
        <v>18</v>
      </c>
      <c r="K634" s="7" t="s">
        <v>1111</v>
      </c>
    </row>
    <row r="635" spans="1:11" x14ac:dyDescent="0.25">
      <c r="A635" s="7">
        <v>634</v>
      </c>
      <c r="B635" s="7" t="s">
        <v>881</v>
      </c>
      <c r="C635" s="7" t="s">
        <v>1096</v>
      </c>
      <c r="D635" s="7" t="s">
        <v>1096</v>
      </c>
      <c r="E635" s="7" t="s">
        <v>977</v>
      </c>
      <c r="F635" s="7" t="s">
        <v>145</v>
      </c>
      <c r="G635" s="7" t="s">
        <v>1112</v>
      </c>
      <c r="H635" s="7">
        <v>6</v>
      </c>
      <c r="I635" s="7">
        <v>2</v>
      </c>
      <c r="J635" s="7">
        <v>12</v>
      </c>
      <c r="K635" s="7" t="s">
        <v>1113</v>
      </c>
    </row>
    <row r="636" spans="1:11" x14ac:dyDescent="0.25">
      <c r="A636" s="7">
        <v>635</v>
      </c>
      <c r="B636" s="7" t="s">
        <v>881</v>
      </c>
      <c r="C636" s="7" t="s">
        <v>1096</v>
      </c>
      <c r="D636" s="7" t="s">
        <v>1096</v>
      </c>
      <c r="E636" s="7" t="s">
        <v>977</v>
      </c>
      <c r="F636" s="7" t="s">
        <v>145</v>
      </c>
      <c r="G636" s="7" t="s">
        <v>1114</v>
      </c>
      <c r="H636" s="7">
        <v>8</v>
      </c>
      <c r="I636" s="7">
        <v>2</v>
      </c>
      <c r="J636" s="7">
        <v>16</v>
      </c>
      <c r="K636" s="7" t="s">
        <v>1115</v>
      </c>
    </row>
    <row r="637" spans="1:11" x14ac:dyDescent="0.25">
      <c r="A637" s="7">
        <v>636</v>
      </c>
      <c r="B637" s="7" t="s">
        <v>881</v>
      </c>
      <c r="C637" s="7" t="s">
        <v>1096</v>
      </c>
      <c r="D637" s="7" t="s">
        <v>1096</v>
      </c>
      <c r="E637" s="7" t="s">
        <v>977</v>
      </c>
      <c r="F637" s="7" t="s">
        <v>145</v>
      </c>
      <c r="G637" s="7" t="s">
        <v>1116</v>
      </c>
      <c r="H637" s="7">
        <v>6</v>
      </c>
      <c r="I637" s="7">
        <v>2</v>
      </c>
      <c r="J637" s="7">
        <v>12</v>
      </c>
      <c r="K637" s="7" t="s">
        <v>1117</v>
      </c>
    </row>
    <row r="638" spans="1:11" x14ac:dyDescent="0.25">
      <c r="A638" s="7">
        <v>637</v>
      </c>
      <c r="B638" s="7" t="s">
        <v>881</v>
      </c>
      <c r="C638" s="7" t="s">
        <v>1096</v>
      </c>
      <c r="D638" s="7" t="s">
        <v>1096</v>
      </c>
      <c r="E638" s="7" t="s">
        <v>977</v>
      </c>
      <c r="F638" s="7" t="s">
        <v>145</v>
      </c>
      <c r="G638" s="7" t="s">
        <v>1118</v>
      </c>
      <c r="H638" s="7">
        <v>6</v>
      </c>
      <c r="I638" s="7">
        <v>2</v>
      </c>
      <c r="J638" s="7">
        <v>12</v>
      </c>
      <c r="K638" s="7" t="s">
        <v>1119</v>
      </c>
    </row>
    <row r="639" spans="1:11" x14ac:dyDescent="0.25">
      <c r="A639" s="7">
        <v>638</v>
      </c>
      <c r="B639" s="7" t="s">
        <v>881</v>
      </c>
      <c r="C639" s="7" t="s">
        <v>1096</v>
      </c>
      <c r="D639" s="7" t="s">
        <v>1096</v>
      </c>
      <c r="E639" s="7" t="s">
        <v>977</v>
      </c>
      <c r="F639" s="7" t="s">
        <v>145</v>
      </c>
      <c r="G639" s="7" t="s">
        <v>1120</v>
      </c>
      <c r="H639" s="7">
        <v>6</v>
      </c>
      <c r="I639" s="7">
        <v>2</v>
      </c>
      <c r="J639" s="7">
        <v>12</v>
      </c>
      <c r="K639" s="7" t="s">
        <v>1121</v>
      </c>
    </row>
    <row r="640" spans="1:11" x14ac:dyDescent="0.25">
      <c r="A640" s="7">
        <v>639</v>
      </c>
      <c r="B640" s="7" t="s">
        <v>881</v>
      </c>
      <c r="C640" s="7" t="s">
        <v>1096</v>
      </c>
      <c r="D640" s="7" t="s">
        <v>1096</v>
      </c>
      <c r="E640" s="7" t="s">
        <v>977</v>
      </c>
      <c r="F640" s="7" t="s">
        <v>145</v>
      </c>
      <c r="G640" s="7" t="s">
        <v>1122</v>
      </c>
      <c r="H640" s="7">
        <v>24</v>
      </c>
      <c r="I640" s="7">
        <v>3</v>
      </c>
      <c r="J640" s="7">
        <v>72</v>
      </c>
      <c r="K640" s="7" t="s">
        <v>1123</v>
      </c>
    </row>
    <row r="641" spans="1:11" x14ac:dyDescent="0.25">
      <c r="A641" s="7">
        <v>640</v>
      </c>
      <c r="B641" s="7" t="s">
        <v>881</v>
      </c>
      <c r="C641" s="7" t="s">
        <v>1096</v>
      </c>
      <c r="D641" s="7" t="s">
        <v>1096</v>
      </c>
      <c r="E641" s="7" t="s">
        <v>977</v>
      </c>
      <c r="F641" s="7" t="s">
        <v>145</v>
      </c>
      <c r="G641" s="7" t="s">
        <v>1124</v>
      </c>
      <c r="H641" s="7">
        <v>15</v>
      </c>
      <c r="I641" s="7">
        <v>2</v>
      </c>
      <c r="J641" s="7">
        <v>30</v>
      </c>
      <c r="K641" s="7" t="s">
        <v>1125</v>
      </c>
    </row>
    <row r="642" spans="1:11" x14ac:dyDescent="0.25">
      <c r="A642" s="7">
        <v>641</v>
      </c>
      <c r="B642" s="7" t="s">
        <v>881</v>
      </c>
      <c r="C642" s="7" t="s">
        <v>1096</v>
      </c>
      <c r="D642" s="7" t="s">
        <v>1096</v>
      </c>
      <c r="E642" s="7" t="s">
        <v>977</v>
      </c>
      <c r="F642" s="7" t="s">
        <v>145</v>
      </c>
      <c r="G642" s="7" t="s">
        <v>1126</v>
      </c>
      <c r="H642" s="7">
        <v>9</v>
      </c>
      <c r="I642" s="7">
        <v>2</v>
      </c>
      <c r="J642" s="7">
        <v>18</v>
      </c>
      <c r="K642" s="7" t="s">
        <v>1127</v>
      </c>
    </row>
    <row r="643" spans="1:11" x14ac:dyDescent="0.25">
      <c r="A643" s="7">
        <v>642</v>
      </c>
      <c r="B643" s="7" t="s">
        <v>881</v>
      </c>
      <c r="C643" s="7" t="s">
        <v>1096</v>
      </c>
      <c r="D643" s="7" t="s">
        <v>1096</v>
      </c>
      <c r="E643" s="7" t="s">
        <v>977</v>
      </c>
      <c r="F643" s="7" t="s">
        <v>145</v>
      </c>
      <c r="G643" s="7" t="s">
        <v>1128</v>
      </c>
      <c r="H643" s="7">
        <v>6</v>
      </c>
      <c r="I643" s="7">
        <v>2</v>
      </c>
      <c r="J643" s="7">
        <v>12</v>
      </c>
      <c r="K643" s="7" t="s">
        <v>1129</v>
      </c>
    </row>
    <row r="644" spans="1:11" x14ac:dyDescent="0.25">
      <c r="A644" s="7">
        <v>643</v>
      </c>
      <c r="B644" s="7" t="s">
        <v>881</v>
      </c>
      <c r="C644" s="7" t="s">
        <v>1096</v>
      </c>
      <c r="D644" s="7" t="s">
        <v>1096</v>
      </c>
      <c r="E644" s="7" t="s">
        <v>977</v>
      </c>
      <c r="F644" s="7" t="s">
        <v>145</v>
      </c>
      <c r="G644" s="7" t="s">
        <v>1130</v>
      </c>
      <c r="H644" s="7">
        <v>6</v>
      </c>
      <c r="I644" s="7">
        <v>2</v>
      </c>
      <c r="J644" s="7">
        <v>12</v>
      </c>
      <c r="K644" s="7" t="s">
        <v>1131</v>
      </c>
    </row>
    <row r="645" spans="1:11" x14ac:dyDescent="0.25">
      <c r="A645" s="7">
        <v>644</v>
      </c>
      <c r="B645" s="7" t="s">
        <v>881</v>
      </c>
      <c r="C645" s="7" t="s">
        <v>1096</v>
      </c>
      <c r="D645" s="7" t="s">
        <v>1096</v>
      </c>
      <c r="E645" s="7" t="s">
        <v>977</v>
      </c>
      <c r="F645" s="7" t="s">
        <v>145</v>
      </c>
      <c r="G645" s="7" t="s">
        <v>1132</v>
      </c>
      <c r="H645" s="7">
        <v>12</v>
      </c>
      <c r="I645" s="7">
        <v>2</v>
      </c>
      <c r="J645" s="7">
        <v>24</v>
      </c>
      <c r="K645" s="7" t="s">
        <v>1133</v>
      </c>
    </row>
    <row r="646" spans="1:11" x14ac:dyDescent="0.25">
      <c r="A646" s="7">
        <v>645</v>
      </c>
      <c r="B646" s="7" t="s">
        <v>881</v>
      </c>
      <c r="C646" s="7" t="s">
        <v>1096</v>
      </c>
      <c r="D646" s="7" t="s">
        <v>1096</v>
      </c>
      <c r="E646" s="7" t="s">
        <v>977</v>
      </c>
      <c r="F646" s="7" t="s">
        <v>145</v>
      </c>
      <c r="G646" s="7" t="s">
        <v>1134</v>
      </c>
      <c r="H646" s="7">
        <v>12</v>
      </c>
      <c r="I646" s="7">
        <v>2</v>
      </c>
      <c r="J646" s="7">
        <v>24</v>
      </c>
      <c r="K646" s="7" t="s">
        <v>1135</v>
      </c>
    </row>
    <row r="647" spans="1:11" x14ac:dyDescent="0.25">
      <c r="A647" s="7">
        <v>646</v>
      </c>
      <c r="B647" s="7" t="s">
        <v>881</v>
      </c>
      <c r="C647" s="7" t="s">
        <v>1096</v>
      </c>
      <c r="D647" s="7" t="s">
        <v>1096</v>
      </c>
      <c r="E647" s="7" t="s">
        <v>977</v>
      </c>
      <c r="F647" s="7" t="s">
        <v>145</v>
      </c>
      <c r="G647" s="7" t="s">
        <v>1136</v>
      </c>
      <c r="H647" s="7">
        <v>12</v>
      </c>
      <c r="I647" s="7">
        <v>3</v>
      </c>
      <c r="J647" s="7">
        <v>36</v>
      </c>
      <c r="K647" s="7" t="s">
        <v>1137</v>
      </c>
    </row>
    <row r="648" spans="1:11" x14ac:dyDescent="0.25">
      <c r="A648" s="7">
        <v>647</v>
      </c>
      <c r="B648" s="7" t="s">
        <v>881</v>
      </c>
      <c r="C648" s="7" t="s">
        <v>1096</v>
      </c>
      <c r="D648" s="7" t="s">
        <v>1096</v>
      </c>
      <c r="E648" s="7" t="s">
        <v>977</v>
      </c>
      <c r="F648" s="7" t="s">
        <v>145</v>
      </c>
      <c r="G648" s="7" t="s">
        <v>1138</v>
      </c>
      <c r="H648" s="7">
        <v>6</v>
      </c>
      <c r="I648" s="7">
        <v>2</v>
      </c>
      <c r="J648" s="7">
        <v>12</v>
      </c>
      <c r="K648" s="7" t="s">
        <v>1139</v>
      </c>
    </row>
    <row r="649" spans="1:11" x14ac:dyDescent="0.25">
      <c r="A649" s="7">
        <v>648</v>
      </c>
      <c r="B649" s="7" t="s">
        <v>881</v>
      </c>
      <c r="C649" s="7" t="s">
        <v>1096</v>
      </c>
      <c r="D649" s="7" t="s">
        <v>1096</v>
      </c>
      <c r="E649" s="7" t="s">
        <v>1038</v>
      </c>
      <c r="F649" s="7" t="s">
        <v>145</v>
      </c>
      <c r="G649" s="7" t="s">
        <v>1039</v>
      </c>
      <c r="H649" s="7" t="s">
        <v>1044</v>
      </c>
      <c r="I649" s="7">
        <v>2</v>
      </c>
      <c r="J649" s="7" t="s">
        <v>1045</v>
      </c>
      <c r="K649" s="7" t="s">
        <v>1140</v>
      </c>
    </row>
    <row r="650" spans="1:11" x14ac:dyDescent="0.25">
      <c r="A650" s="7">
        <v>649</v>
      </c>
      <c r="B650" s="7" t="s">
        <v>881</v>
      </c>
      <c r="C650" s="7" t="s">
        <v>1096</v>
      </c>
      <c r="D650" s="7" t="s">
        <v>1096</v>
      </c>
      <c r="E650" s="7" t="s">
        <v>1038</v>
      </c>
      <c r="F650" s="7" t="s">
        <v>145</v>
      </c>
      <c r="G650" s="7" t="s">
        <v>1043</v>
      </c>
      <c r="H650" s="7" t="s">
        <v>1044</v>
      </c>
      <c r="I650" s="7">
        <v>2</v>
      </c>
      <c r="J650" s="7" t="s">
        <v>1045</v>
      </c>
      <c r="K650" s="7" t="s">
        <v>1141</v>
      </c>
    </row>
    <row r="651" spans="1:11" x14ac:dyDescent="0.25">
      <c r="A651" s="7">
        <v>650</v>
      </c>
      <c r="B651" s="7" t="s">
        <v>881</v>
      </c>
      <c r="C651" s="7" t="s">
        <v>1142</v>
      </c>
      <c r="D651" s="7" t="s">
        <v>1142</v>
      </c>
      <c r="E651" s="7" t="s">
        <v>1143</v>
      </c>
      <c r="F651" s="7" t="s">
        <v>145</v>
      </c>
      <c r="G651" s="7" t="s">
        <v>1144</v>
      </c>
      <c r="H651" s="7">
        <v>18</v>
      </c>
      <c r="I651" s="7">
        <v>3</v>
      </c>
      <c r="J651" s="7">
        <v>54</v>
      </c>
      <c r="K651" s="7" t="s">
        <v>1145</v>
      </c>
    </row>
    <row r="652" spans="1:11" x14ac:dyDescent="0.25">
      <c r="A652" s="7">
        <v>651</v>
      </c>
      <c r="B652" s="7" t="s">
        <v>881</v>
      </c>
      <c r="C652" s="7" t="s">
        <v>1142</v>
      </c>
      <c r="D652" s="7" t="s">
        <v>1142</v>
      </c>
      <c r="E652" s="7" t="s">
        <v>1143</v>
      </c>
      <c r="F652" s="7" t="s">
        <v>145</v>
      </c>
      <c r="G652" s="7" t="s">
        <v>1146</v>
      </c>
      <c r="H652" s="7">
        <v>6</v>
      </c>
      <c r="I652" s="7">
        <v>2</v>
      </c>
      <c r="J652" s="7">
        <v>12</v>
      </c>
      <c r="K652" s="7" t="s">
        <v>1147</v>
      </c>
    </row>
    <row r="653" spans="1:11" x14ac:dyDescent="0.25">
      <c r="A653" s="7">
        <v>652</v>
      </c>
      <c r="B653" s="7" t="s">
        <v>881</v>
      </c>
      <c r="C653" s="7" t="s">
        <v>1142</v>
      </c>
      <c r="D653" s="7" t="s">
        <v>1142</v>
      </c>
      <c r="E653" s="7" t="s">
        <v>1143</v>
      </c>
      <c r="F653" s="7" t="s">
        <v>145</v>
      </c>
      <c r="G653" s="7" t="s">
        <v>1148</v>
      </c>
      <c r="H653" s="7">
        <v>24</v>
      </c>
      <c r="I653" s="7">
        <v>2</v>
      </c>
      <c r="J653" s="7">
        <v>48</v>
      </c>
      <c r="K653" s="7" t="s">
        <v>1149</v>
      </c>
    </row>
    <row r="654" spans="1:11" x14ac:dyDescent="0.25">
      <c r="A654" s="7">
        <v>653</v>
      </c>
      <c r="B654" s="7" t="s">
        <v>881</v>
      </c>
      <c r="C654" s="7" t="s">
        <v>1142</v>
      </c>
      <c r="D654" s="7" t="s">
        <v>1142</v>
      </c>
      <c r="E654" s="7" t="s">
        <v>1143</v>
      </c>
      <c r="F654" s="7" t="s">
        <v>145</v>
      </c>
      <c r="G654" s="7" t="s">
        <v>1150</v>
      </c>
      <c r="H654" s="7">
        <v>30</v>
      </c>
      <c r="I654" s="7">
        <v>4</v>
      </c>
      <c r="J654" s="7">
        <v>120</v>
      </c>
      <c r="K654" s="7" t="s">
        <v>1151</v>
      </c>
    </row>
    <row r="655" spans="1:11" x14ac:dyDescent="0.25">
      <c r="A655" s="7">
        <v>654</v>
      </c>
      <c r="B655" s="7" t="s">
        <v>881</v>
      </c>
      <c r="C655" s="7" t="s">
        <v>1142</v>
      </c>
      <c r="D655" s="7" t="s">
        <v>1142</v>
      </c>
      <c r="E655" s="7" t="s">
        <v>1143</v>
      </c>
      <c r="F655" s="7" t="s">
        <v>145</v>
      </c>
      <c r="G655" s="7" t="s">
        <v>1152</v>
      </c>
      <c r="H655" s="7">
        <v>12</v>
      </c>
      <c r="I655" s="7">
        <v>2</v>
      </c>
      <c r="J655" s="7">
        <v>24</v>
      </c>
      <c r="K655" s="7" t="s">
        <v>1153</v>
      </c>
    </row>
    <row r="656" spans="1:11" x14ac:dyDescent="0.25">
      <c r="A656" s="7">
        <v>655</v>
      </c>
      <c r="B656" s="7" t="s">
        <v>881</v>
      </c>
      <c r="C656" s="7" t="s">
        <v>1142</v>
      </c>
      <c r="D656" s="7" t="s">
        <v>1142</v>
      </c>
      <c r="E656" s="7" t="s">
        <v>1143</v>
      </c>
      <c r="F656" s="7" t="s">
        <v>145</v>
      </c>
      <c r="G656" s="7" t="s">
        <v>1154</v>
      </c>
      <c r="H656" s="7">
        <v>18</v>
      </c>
      <c r="I656" s="7">
        <v>3</v>
      </c>
      <c r="J656" s="7">
        <v>54</v>
      </c>
      <c r="K656" s="7" t="s">
        <v>1155</v>
      </c>
    </row>
    <row r="657" spans="1:11" x14ac:dyDescent="0.25">
      <c r="A657" s="7">
        <v>656</v>
      </c>
      <c r="B657" s="7" t="s">
        <v>881</v>
      </c>
      <c r="C657" s="7" t="s">
        <v>1142</v>
      </c>
      <c r="D657" s="7" t="s">
        <v>1142</v>
      </c>
      <c r="E657" s="7" t="s">
        <v>1143</v>
      </c>
      <c r="F657" s="7" t="s">
        <v>145</v>
      </c>
      <c r="G657" s="7" t="s">
        <v>1156</v>
      </c>
      <c r="H657" s="7">
        <v>40</v>
      </c>
      <c r="I657" s="7">
        <v>3</v>
      </c>
      <c r="J657" s="7">
        <v>120</v>
      </c>
      <c r="K657" s="7" t="s">
        <v>1157</v>
      </c>
    </row>
    <row r="658" spans="1:11" x14ac:dyDescent="0.25">
      <c r="A658" s="7">
        <v>657</v>
      </c>
      <c r="B658" s="7" t="s">
        <v>881</v>
      </c>
      <c r="C658" s="7" t="s">
        <v>1142</v>
      </c>
      <c r="D658" s="7" t="s">
        <v>1142</v>
      </c>
      <c r="E658" s="7" t="s">
        <v>1143</v>
      </c>
      <c r="F658" s="7" t="s">
        <v>145</v>
      </c>
      <c r="G658" s="7" t="s">
        <v>1158</v>
      </c>
      <c r="H658" s="7">
        <v>30</v>
      </c>
      <c r="I658" s="7">
        <v>2</v>
      </c>
      <c r="J658" s="7">
        <v>60</v>
      </c>
      <c r="K658" s="7" t="s">
        <v>1159</v>
      </c>
    </row>
    <row r="659" spans="1:11" x14ac:dyDescent="0.25">
      <c r="A659" s="7">
        <v>658</v>
      </c>
      <c r="B659" s="7" t="s">
        <v>881</v>
      </c>
      <c r="C659" s="7" t="s">
        <v>1142</v>
      </c>
      <c r="D659" s="7" t="s">
        <v>1142</v>
      </c>
      <c r="E659" s="7" t="s">
        <v>1143</v>
      </c>
      <c r="F659" s="7" t="s">
        <v>145</v>
      </c>
      <c r="G659" s="7" t="s">
        <v>1160</v>
      </c>
      <c r="H659" s="7">
        <v>10</v>
      </c>
      <c r="I659" s="7">
        <v>2</v>
      </c>
      <c r="J659" s="7">
        <v>20</v>
      </c>
      <c r="K659" s="7" t="s">
        <v>1161</v>
      </c>
    </row>
    <row r="660" spans="1:11" x14ac:dyDescent="0.25">
      <c r="A660" s="7">
        <v>659</v>
      </c>
      <c r="B660" s="7" t="s">
        <v>881</v>
      </c>
      <c r="C660" s="7" t="s">
        <v>1142</v>
      </c>
      <c r="D660" s="7" t="s">
        <v>1142</v>
      </c>
      <c r="E660" s="7" t="s">
        <v>1143</v>
      </c>
      <c r="F660" s="7" t="s">
        <v>145</v>
      </c>
      <c r="G660" s="7" t="s">
        <v>1162</v>
      </c>
      <c r="H660" s="7">
        <v>14</v>
      </c>
      <c r="I660" s="7">
        <v>2</v>
      </c>
      <c r="J660" s="7">
        <v>28</v>
      </c>
      <c r="K660" s="7" t="s">
        <v>1163</v>
      </c>
    </row>
    <row r="661" spans="1:11" x14ac:dyDescent="0.25">
      <c r="A661" s="7">
        <v>660</v>
      </c>
      <c r="B661" s="7" t="s">
        <v>881</v>
      </c>
      <c r="C661" s="7" t="s">
        <v>1142</v>
      </c>
      <c r="D661" s="7" t="s">
        <v>1142</v>
      </c>
      <c r="E661" s="7" t="s">
        <v>1143</v>
      </c>
      <c r="F661" s="7" t="s">
        <v>145</v>
      </c>
      <c r="G661" s="7" t="s">
        <v>1164</v>
      </c>
      <c r="H661" s="7">
        <v>18</v>
      </c>
      <c r="I661" s="7">
        <v>2</v>
      </c>
      <c r="J661" s="7">
        <v>36</v>
      </c>
      <c r="K661" s="7" t="s">
        <v>1165</v>
      </c>
    </row>
    <row r="662" spans="1:11" x14ac:dyDescent="0.25">
      <c r="A662" s="7">
        <v>661</v>
      </c>
      <c r="B662" s="7" t="s">
        <v>881</v>
      </c>
      <c r="C662" s="7" t="s">
        <v>1142</v>
      </c>
      <c r="D662" s="7" t="s">
        <v>1142</v>
      </c>
      <c r="E662" s="7" t="s">
        <v>1143</v>
      </c>
      <c r="F662" s="7" t="s">
        <v>145</v>
      </c>
      <c r="G662" s="7" t="s">
        <v>1166</v>
      </c>
      <c r="H662" s="7">
        <v>8</v>
      </c>
      <c r="I662" s="7">
        <v>2</v>
      </c>
      <c r="J662" s="7">
        <v>16</v>
      </c>
      <c r="K662" s="7" t="s">
        <v>1167</v>
      </c>
    </row>
    <row r="663" spans="1:11" x14ac:dyDescent="0.25">
      <c r="A663" s="7">
        <v>662</v>
      </c>
      <c r="B663" s="7" t="s">
        <v>881</v>
      </c>
      <c r="C663" s="7" t="s">
        <v>1142</v>
      </c>
      <c r="D663" s="7" t="s">
        <v>1142</v>
      </c>
      <c r="E663" s="7" t="s">
        <v>1143</v>
      </c>
      <c r="F663" s="7" t="s">
        <v>145</v>
      </c>
      <c r="G663" s="7" t="s">
        <v>1168</v>
      </c>
      <c r="H663" s="7">
        <v>16</v>
      </c>
      <c r="I663" s="7">
        <v>2</v>
      </c>
      <c r="J663" s="7">
        <v>32</v>
      </c>
      <c r="K663" s="7" t="s">
        <v>1169</v>
      </c>
    </row>
    <row r="664" spans="1:11" x14ac:dyDescent="0.25">
      <c r="A664" s="7">
        <v>663</v>
      </c>
      <c r="B664" s="7" t="s">
        <v>881</v>
      </c>
      <c r="C664" s="7" t="s">
        <v>1142</v>
      </c>
      <c r="D664" s="7" t="s">
        <v>1142</v>
      </c>
      <c r="E664" s="7" t="s">
        <v>1143</v>
      </c>
      <c r="F664" s="7" t="s">
        <v>145</v>
      </c>
      <c r="G664" s="7" t="s">
        <v>1170</v>
      </c>
      <c r="H664" s="7">
        <v>18</v>
      </c>
      <c r="I664" s="7">
        <v>2</v>
      </c>
      <c r="J664" s="7">
        <v>36</v>
      </c>
      <c r="K664" s="7" t="s">
        <v>1171</v>
      </c>
    </row>
    <row r="665" spans="1:11" x14ac:dyDescent="0.25">
      <c r="A665" s="7">
        <v>664</v>
      </c>
      <c r="B665" s="7" t="s">
        <v>881</v>
      </c>
      <c r="C665" s="7" t="s">
        <v>1142</v>
      </c>
      <c r="D665" s="7" t="s">
        <v>1142</v>
      </c>
      <c r="E665" s="7" t="s">
        <v>1143</v>
      </c>
      <c r="F665" s="7" t="s">
        <v>145</v>
      </c>
      <c r="G665" s="7" t="s">
        <v>1172</v>
      </c>
      <c r="H665" s="7">
        <v>13</v>
      </c>
      <c r="I665" s="7">
        <v>2</v>
      </c>
      <c r="J665" s="7">
        <v>26</v>
      </c>
      <c r="K665" s="7" t="s">
        <v>1173</v>
      </c>
    </row>
    <row r="666" spans="1:11" x14ac:dyDescent="0.25">
      <c r="A666" s="7">
        <v>665</v>
      </c>
      <c r="B666" s="7" t="s">
        <v>881</v>
      </c>
      <c r="C666" s="7" t="s">
        <v>1142</v>
      </c>
      <c r="D666" s="7" t="s">
        <v>1142</v>
      </c>
      <c r="E666" s="7" t="s">
        <v>1143</v>
      </c>
      <c r="F666" s="7" t="s">
        <v>145</v>
      </c>
      <c r="G666" s="7" t="s">
        <v>1174</v>
      </c>
      <c r="H666" s="7">
        <v>12</v>
      </c>
      <c r="I666" s="7">
        <v>1</v>
      </c>
      <c r="J666" s="7">
        <v>12</v>
      </c>
      <c r="K666" s="7" t="s">
        <v>1175</v>
      </c>
    </row>
    <row r="667" spans="1:11" x14ac:dyDescent="0.25">
      <c r="A667" s="7">
        <v>666</v>
      </c>
      <c r="B667" s="7" t="s">
        <v>881</v>
      </c>
      <c r="C667" s="7" t="s">
        <v>1142</v>
      </c>
      <c r="D667" s="7" t="s">
        <v>1142</v>
      </c>
      <c r="E667" s="7" t="s">
        <v>1143</v>
      </c>
      <c r="F667" s="7" t="s">
        <v>145</v>
      </c>
      <c r="G667" s="7" t="s">
        <v>1176</v>
      </c>
      <c r="H667" s="7">
        <v>6</v>
      </c>
      <c r="I667" s="7">
        <v>2</v>
      </c>
      <c r="J667" s="7">
        <v>12</v>
      </c>
      <c r="K667" s="7" t="s">
        <v>1177</v>
      </c>
    </row>
    <row r="668" spans="1:11" x14ac:dyDescent="0.25">
      <c r="A668" s="7">
        <v>667</v>
      </c>
      <c r="B668" s="7" t="s">
        <v>881</v>
      </c>
      <c r="C668" s="7" t="s">
        <v>1142</v>
      </c>
      <c r="D668" s="7" t="s">
        <v>1142</v>
      </c>
      <c r="E668" s="7" t="s">
        <v>1143</v>
      </c>
      <c r="F668" s="7" t="s">
        <v>145</v>
      </c>
      <c r="G668" s="7" t="s">
        <v>1178</v>
      </c>
      <c r="H668" s="7">
        <v>16</v>
      </c>
      <c r="I668" s="7">
        <v>2</v>
      </c>
      <c r="J668" s="7">
        <v>32</v>
      </c>
      <c r="K668" s="7" t="s">
        <v>1179</v>
      </c>
    </row>
    <row r="669" spans="1:11" x14ac:dyDescent="0.25">
      <c r="A669" s="7">
        <v>668</v>
      </c>
      <c r="B669" s="7" t="s">
        <v>881</v>
      </c>
      <c r="C669" s="7" t="s">
        <v>1142</v>
      </c>
      <c r="D669" s="7" t="s">
        <v>1142</v>
      </c>
      <c r="E669" s="7" t="s">
        <v>1143</v>
      </c>
      <c r="F669" s="7" t="s">
        <v>145</v>
      </c>
      <c r="G669" s="7" t="s">
        <v>1180</v>
      </c>
      <c r="H669" s="7">
        <v>12</v>
      </c>
      <c r="I669" s="7">
        <v>2</v>
      </c>
      <c r="J669" s="7">
        <v>24</v>
      </c>
      <c r="K669" s="7" t="s">
        <v>1181</v>
      </c>
    </row>
    <row r="670" spans="1:11" x14ac:dyDescent="0.25">
      <c r="A670" s="7">
        <v>669</v>
      </c>
      <c r="B670" s="7" t="s">
        <v>881</v>
      </c>
      <c r="C670" s="7" t="s">
        <v>1142</v>
      </c>
      <c r="D670" s="7" t="s">
        <v>1142</v>
      </c>
      <c r="E670" s="7" t="s">
        <v>1143</v>
      </c>
      <c r="F670" s="7" t="s">
        <v>145</v>
      </c>
      <c r="G670" s="7" t="s">
        <v>1182</v>
      </c>
      <c r="H670" s="7">
        <v>12</v>
      </c>
      <c r="I670" s="7">
        <v>2</v>
      </c>
      <c r="J670" s="7">
        <v>24</v>
      </c>
      <c r="K670" s="7" t="s">
        <v>1183</v>
      </c>
    </row>
    <row r="671" spans="1:11" x14ac:dyDescent="0.25">
      <c r="A671" s="7">
        <v>670</v>
      </c>
      <c r="B671" s="7" t="s">
        <v>881</v>
      </c>
      <c r="C671" s="7" t="s">
        <v>1142</v>
      </c>
      <c r="D671" s="7" t="s">
        <v>1142</v>
      </c>
      <c r="E671" s="7" t="s">
        <v>1143</v>
      </c>
      <c r="F671" s="7" t="s">
        <v>145</v>
      </c>
      <c r="G671" s="7" t="s">
        <v>1122</v>
      </c>
      <c r="H671" s="7">
        <v>24</v>
      </c>
      <c r="I671" s="7">
        <v>3</v>
      </c>
      <c r="J671" s="7">
        <v>72</v>
      </c>
      <c r="K671" s="7" t="s">
        <v>1184</v>
      </c>
    </row>
    <row r="672" spans="1:11" x14ac:dyDescent="0.25">
      <c r="A672" s="7">
        <v>671</v>
      </c>
      <c r="B672" s="7" t="s">
        <v>881</v>
      </c>
      <c r="C672" s="7" t="s">
        <v>1142</v>
      </c>
      <c r="D672" s="7" t="s">
        <v>1142</v>
      </c>
      <c r="E672" s="7" t="s">
        <v>1143</v>
      </c>
      <c r="F672" s="7" t="s">
        <v>145</v>
      </c>
      <c r="G672" s="7" t="s">
        <v>1185</v>
      </c>
      <c r="H672" s="7">
        <v>24</v>
      </c>
      <c r="I672" s="7">
        <v>3</v>
      </c>
      <c r="J672" s="7">
        <v>72</v>
      </c>
      <c r="K672" s="7" t="s">
        <v>1186</v>
      </c>
    </row>
    <row r="673" spans="1:11" x14ac:dyDescent="0.25">
      <c r="A673" s="7">
        <v>672</v>
      </c>
      <c r="B673" s="7" t="s">
        <v>881</v>
      </c>
      <c r="C673" s="7" t="s">
        <v>1142</v>
      </c>
      <c r="D673" s="7" t="s">
        <v>1142</v>
      </c>
      <c r="E673" s="7" t="s">
        <v>1038</v>
      </c>
      <c r="F673" s="7" t="s">
        <v>145</v>
      </c>
      <c r="G673" s="7" t="s">
        <v>1039</v>
      </c>
      <c r="H673" s="7" t="s">
        <v>1090</v>
      </c>
      <c r="I673" s="7">
        <v>2</v>
      </c>
      <c r="J673" s="7" t="s">
        <v>1091</v>
      </c>
      <c r="K673" s="7" t="s">
        <v>1187</v>
      </c>
    </row>
    <row r="674" spans="1:11" x14ac:dyDescent="0.25">
      <c r="A674" s="7">
        <v>673</v>
      </c>
      <c r="B674" s="7" t="s">
        <v>881</v>
      </c>
      <c r="C674" s="7" t="s">
        <v>1142</v>
      </c>
      <c r="D674" s="7" t="s">
        <v>1142</v>
      </c>
      <c r="E674" s="7" t="s">
        <v>1038</v>
      </c>
      <c r="F674" s="7" t="s">
        <v>145</v>
      </c>
      <c r="G674" s="7" t="s">
        <v>1043</v>
      </c>
      <c r="H674" s="7" t="s">
        <v>1188</v>
      </c>
      <c r="I674" s="7">
        <v>2</v>
      </c>
      <c r="J674" s="7" t="s">
        <v>1094</v>
      </c>
      <c r="K674" s="7" t="s">
        <v>1189</v>
      </c>
    </row>
    <row r="675" spans="1:11" x14ac:dyDescent="0.25">
      <c r="A675" s="7">
        <v>674</v>
      </c>
      <c r="B675" s="7" t="s">
        <v>1190</v>
      </c>
      <c r="C675" s="7" t="s">
        <v>1191</v>
      </c>
      <c r="D675" s="7" t="s">
        <v>1191</v>
      </c>
      <c r="E675" s="7" t="s">
        <v>884</v>
      </c>
      <c r="F675" s="7" t="s">
        <v>49</v>
      </c>
      <c r="G675" s="7" t="s">
        <v>661</v>
      </c>
      <c r="H675" s="7">
        <v>1</v>
      </c>
      <c r="I675" s="7">
        <v>1</v>
      </c>
      <c r="J675" s="7">
        <v>1</v>
      </c>
      <c r="K675" s="7" t="s">
        <v>1192</v>
      </c>
    </row>
    <row r="676" spans="1:11" x14ac:dyDescent="0.25">
      <c r="A676" s="7">
        <v>675</v>
      </c>
      <c r="B676" s="7" t="s">
        <v>1190</v>
      </c>
      <c r="C676" s="7" t="s">
        <v>1191</v>
      </c>
      <c r="D676" s="7" t="s">
        <v>1191</v>
      </c>
      <c r="E676" s="7" t="s">
        <v>884</v>
      </c>
      <c r="F676" s="7" t="s">
        <v>49</v>
      </c>
      <c r="G676" s="7" t="s">
        <v>663</v>
      </c>
      <c r="H676" s="7">
        <v>1</v>
      </c>
      <c r="I676" s="7">
        <v>1</v>
      </c>
      <c r="J676" s="7">
        <v>1</v>
      </c>
      <c r="K676" s="7" t="s">
        <v>1193</v>
      </c>
    </row>
    <row r="677" spans="1:11" x14ac:dyDescent="0.25">
      <c r="A677" s="7">
        <v>676</v>
      </c>
      <c r="B677" s="7" t="s">
        <v>1190</v>
      </c>
      <c r="C677" s="7" t="s">
        <v>1191</v>
      </c>
      <c r="D677" s="7" t="s">
        <v>1191</v>
      </c>
      <c r="E677" s="7" t="s">
        <v>887</v>
      </c>
      <c r="F677" s="7" t="s">
        <v>49</v>
      </c>
      <c r="G677" s="7" t="s">
        <v>1194</v>
      </c>
      <c r="H677" s="7">
        <v>2</v>
      </c>
      <c r="I677" s="7">
        <v>2</v>
      </c>
      <c r="J677" s="7">
        <v>4</v>
      </c>
      <c r="K677" s="7" t="s">
        <v>1195</v>
      </c>
    </row>
    <row r="678" spans="1:11" x14ac:dyDescent="0.25">
      <c r="A678" s="7">
        <v>677</v>
      </c>
      <c r="B678" s="7" t="s">
        <v>1190</v>
      </c>
      <c r="C678" s="7" t="s">
        <v>1191</v>
      </c>
      <c r="D678" s="7" t="s">
        <v>1191</v>
      </c>
      <c r="E678" s="7" t="s">
        <v>887</v>
      </c>
      <c r="F678" s="7" t="s">
        <v>49</v>
      </c>
      <c r="G678" s="7" t="s">
        <v>56</v>
      </c>
      <c r="H678" s="7">
        <v>1.5</v>
      </c>
      <c r="I678" s="7">
        <v>1</v>
      </c>
      <c r="J678" s="7">
        <v>1.5</v>
      </c>
      <c r="K678" s="7" t="s">
        <v>1196</v>
      </c>
    </row>
    <row r="679" spans="1:11" x14ac:dyDescent="0.25">
      <c r="A679" s="7">
        <v>678</v>
      </c>
      <c r="B679" s="7" t="s">
        <v>1190</v>
      </c>
      <c r="C679" s="7" t="s">
        <v>1191</v>
      </c>
      <c r="D679" s="7" t="s">
        <v>1191</v>
      </c>
      <c r="E679" s="7" t="s">
        <v>898</v>
      </c>
      <c r="F679" s="7" t="s">
        <v>49</v>
      </c>
      <c r="G679" s="7" t="s">
        <v>899</v>
      </c>
      <c r="H679" s="7">
        <v>3.5</v>
      </c>
      <c r="I679" s="7" t="s">
        <v>70</v>
      </c>
      <c r="J679" s="7">
        <v>5.5</v>
      </c>
      <c r="K679" s="7" t="s">
        <v>1197</v>
      </c>
    </row>
    <row r="680" spans="1:11" x14ac:dyDescent="0.25">
      <c r="A680" s="7">
        <v>679</v>
      </c>
      <c r="B680" s="7" t="s">
        <v>1190</v>
      </c>
      <c r="C680" s="7" t="s">
        <v>1191</v>
      </c>
      <c r="D680" s="7" t="s">
        <v>1191</v>
      </c>
      <c r="E680" s="7" t="s">
        <v>898</v>
      </c>
      <c r="F680" s="7" t="s">
        <v>49</v>
      </c>
      <c r="G680" s="7" t="s">
        <v>1198</v>
      </c>
      <c r="H680" s="7">
        <v>3</v>
      </c>
      <c r="I680" s="7">
        <v>1</v>
      </c>
      <c r="J680" s="7">
        <v>3</v>
      </c>
      <c r="K680" s="7" t="s">
        <v>1199</v>
      </c>
    </row>
    <row r="681" spans="1:11" x14ac:dyDescent="0.25">
      <c r="A681" s="7">
        <v>680</v>
      </c>
      <c r="B681" s="7" t="s">
        <v>1190</v>
      </c>
      <c r="C681" s="7" t="s">
        <v>1191</v>
      </c>
      <c r="D681" s="7" t="s">
        <v>1191</v>
      </c>
      <c r="E681" s="7" t="s">
        <v>909</v>
      </c>
      <c r="F681" s="7" t="s">
        <v>49</v>
      </c>
      <c r="G681" s="7" t="s">
        <v>910</v>
      </c>
      <c r="H681" s="7">
        <v>6.5</v>
      </c>
      <c r="I681" s="7" t="s">
        <v>70</v>
      </c>
      <c r="J681" s="7">
        <v>8.5</v>
      </c>
      <c r="K681" s="7" t="s">
        <v>1200</v>
      </c>
    </row>
    <row r="682" spans="1:11" x14ac:dyDescent="0.25">
      <c r="A682" s="7">
        <v>681</v>
      </c>
      <c r="B682" s="7" t="s">
        <v>1190</v>
      </c>
      <c r="C682" s="7" t="s">
        <v>1191</v>
      </c>
      <c r="D682" s="7" t="s">
        <v>1191</v>
      </c>
      <c r="E682" s="7" t="s">
        <v>909</v>
      </c>
      <c r="F682" s="7" t="s">
        <v>49</v>
      </c>
      <c r="G682" s="7" t="s">
        <v>1201</v>
      </c>
      <c r="H682" s="7">
        <v>1</v>
      </c>
      <c r="I682" s="7">
        <v>1</v>
      </c>
      <c r="J682" s="7">
        <v>1</v>
      </c>
      <c r="K682" s="7" t="s">
        <v>1202</v>
      </c>
    </row>
    <row r="683" spans="1:11" x14ac:dyDescent="0.25">
      <c r="A683" s="7">
        <v>682</v>
      </c>
      <c r="B683" s="7" t="s">
        <v>1190</v>
      </c>
      <c r="C683" s="7" t="s">
        <v>1191</v>
      </c>
      <c r="D683" s="7" t="s">
        <v>1191</v>
      </c>
      <c r="E683" s="7" t="s">
        <v>1203</v>
      </c>
      <c r="F683" s="7" t="s">
        <v>145</v>
      </c>
      <c r="G683" s="7" t="s">
        <v>1204</v>
      </c>
      <c r="H683" s="7">
        <v>8</v>
      </c>
      <c r="I683" s="7">
        <v>2</v>
      </c>
      <c r="J683" s="7">
        <v>16</v>
      </c>
      <c r="K683" s="7" t="s">
        <v>1205</v>
      </c>
    </row>
    <row r="684" spans="1:11" x14ac:dyDescent="0.25">
      <c r="A684" s="7">
        <v>683</v>
      </c>
      <c r="B684" s="7" t="s">
        <v>1190</v>
      </c>
      <c r="C684" s="7" t="s">
        <v>1191</v>
      </c>
      <c r="D684" s="7" t="s">
        <v>1191</v>
      </c>
      <c r="E684" s="7" t="s">
        <v>1203</v>
      </c>
      <c r="F684" s="7" t="s">
        <v>145</v>
      </c>
      <c r="G684" s="7" t="s">
        <v>1206</v>
      </c>
      <c r="H684" s="7">
        <v>3</v>
      </c>
      <c r="I684" s="7">
        <v>1</v>
      </c>
      <c r="J684" s="7">
        <v>3</v>
      </c>
      <c r="K684" s="7" t="s">
        <v>1207</v>
      </c>
    </row>
    <row r="685" spans="1:11" x14ac:dyDescent="0.25">
      <c r="A685" s="7">
        <v>684</v>
      </c>
      <c r="B685" s="7" t="s">
        <v>1190</v>
      </c>
      <c r="C685" s="7" t="s">
        <v>1191</v>
      </c>
      <c r="D685" s="7" t="s">
        <v>1191</v>
      </c>
      <c r="E685" s="7" t="s">
        <v>1203</v>
      </c>
      <c r="F685" s="7" t="s">
        <v>145</v>
      </c>
      <c r="G685" s="7" t="s">
        <v>1208</v>
      </c>
      <c r="H685" s="7">
        <v>4</v>
      </c>
      <c r="I685" s="7">
        <v>2</v>
      </c>
      <c r="J685" s="7">
        <v>8</v>
      </c>
      <c r="K685" s="7" t="s">
        <v>1209</v>
      </c>
    </row>
    <row r="686" spans="1:11" x14ac:dyDescent="0.25">
      <c r="A686" s="7">
        <v>685</v>
      </c>
      <c r="B686" s="7" t="s">
        <v>1190</v>
      </c>
      <c r="C686" s="7" t="s">
        <v>1191</v>
      </c>
      <c r="D686" s="7" t="s">
        <v>1191</v>
      </c>
      <c r="E686" s="7" t="s">
        <v>1203</v>
      </c>
      <c r="F686" s="7" t="s">
        <v>145</v>
      </c>
      <c r="G686" s="7" t="s">
        <v>1210</v>
      </c>
      <c r="H686" s="7">
        <v>6</v>
      </c>
      <c r="I686" s="7">
        <v>2</v>
      </c>
      <c r="J686" s="7">
        <v>12</v>
      </c>
      <c r="K686" s="7" t="s">
        <v>1211</v>
      </c>
    </row>
    <row r="687" spans="1:11" x14ac:dyDescent="0.25">
      <c r="A687" s="7">
        <v>686</v>
      </c>
      <c r="B687" s="7" t="s">
        <v>1190</v>
      </c>
      <c r="C687" s="7" t="s">
        <v>1191</v>
      </c>
      <c r="D687" s="7" t="s">
        <v>1191</v>
      </c>
      <c r="E687" s="7" t="s">
        <v>1203</v>
      </c>
      <c r="F687" s="7" t="s">
        <v>145</v>
      </c>
      <c r="G687" s="7" t="s">
        <v>953</v>
      </c>
      <c r="H687" s="7">
        <v>2</v>
      </c>
      <c r="I687" s="7">
        <v>1</v>
      </c>
      <c r="J687" s="7">
        <v>2</v>
      </c>
      <c r="K687" s="7" t="s">
        <v>1212</v>
      </c>
    </row>
    <row r="688" spans="1:11" x14ac:dyDescent="0.25">
      <c r="A688" s="7">
        <v>687</v>
      </c>
      <c r="B688" s="7" t="s">
        <v>1190</v>
      </c>
      <c r="C688" s="7" t="s">
        <v>1191</v>
      </c>
      <c r="D688" s="7" t="s">
        <v>1191</v>
      </c>
      <c r="E688" s="7" t="s">
        <v>1213</v>
      </c>
      <c r="F688" s="7" t="s">
        <v>117</v>
      </c>
      <c r="G688" s="7" t="s">
        <v>118</v>
      </c>
      <c r="H688" s="7">
        <v>6</v>
      </c>
      <c r="I688" s="7">
        <v>3</v>
      </c>
      <c r="J688" s="7">
        <v>18</v>
      </c>
      <c r="K688" s="7" t="s">
        <v>1214</v>
      </c>
    </row>
    <row r="689" spans="1:11" x14ac:dyDescent="0.25">
      <c r="A689" s="7">
        <v>688</v>
      </c>
      <c r="B689" s="7" t="s">
        <v>1190</v>
      </c>
      <c r="C689" s="7" t="s">
        <v>1191</v>
      </c>
      <c r="D689" s="7" t="s">
        <v>1191</v>
      </c>
      <c r="E689" s="7" t="s">
        <v>1213</v>
      </c>
      <c r="F689" s="7" t="s">
        <v>117</v>
      </c>
      <c r="G689" s="7" t="s">
        <v>698</v>
      </c>
      <c r="H689" s="7">
        <v>2</v>
      </c>
      <c r="I689" s="7">
        <v>2</v>
      </c>
      <c r="J689" s="7">
        <v>4</v>
      </c>
      <c r="K689" s="7" t="s">
        <v>1215</v>
      </c>
    </row>
    <row r="690" spans="1:11" x14ac:dyDescent="0.25">
      <c r="A690" s="7">
        <v>689</v>
      </c>
      <c r="B690" s="7" t="s">
        <v>1190</v>
      </c>
      <c r="C690" s="7" t="s">
        <v>1191</v>
      </c>
      <c r="D690" s="7" t="s">
        <v>1191</v>
      </c>
      <c r="E690" s="7" t="s">
        <v>1213</v>
      </c>
      <c r="F690" s="7" t="s">
        <v>117</v>
      </c>
      <c r="G690" s="7" t="s">
        <v>700</v>
      </c>
      <c r="H690" s="7">
        <v>38</v>
      </c>
      <c r="I690" s="7">
        <v>3</v>
      </c>
      <c r="J690" s="7">
        <v>114</v>
      </c>
      <c r="K690" s="7" t="s">
        <v>1216</v>
      </c>
    </row>
    <row r="691" spans="1:11" x14ac:dyDescent="0.25">
      <c r="A691" s="7">
        <v>690</v>
      </c>
      <c r="B691" s="7" t="s">
        <v>1190</v>
      </c>
      <c r="C691" s="7" t="s">
        <v>1191</v>
      </c>
      <c r="D691" s="7" t="s">
        <v>1191</v>
      </c>
      <c r="E691" s="7" t="s">
        <v>1213</v>
      </c>
      <c r="F691" s="7" t="s">
        <v>117</v>
      </c>
      <c r="G691" s="7" t="s">
        <v>934</v>
      </c>
      <c r="H691" s="7">
        <v>70</v>
      </c>
      <c r="I691" s="7">
        <v>3</v>
      </c>
      <c r="J691" s="7">
        <v>210</v>
      </c>
      <c r="K691" s="7" t="s">
        <v>1217</v>
      </c>
    </row>
    <row r="692" spans="1:11" x14ac:dyDescent="0.25">
      <c r="A692" s="7">
        <v>691</v>
      </c>
      <c r="B692" s="7" t="s">
        <v>1190</v>
      </c>
      <c r="C692" s="7" t="s">
        <v>1191</v>
      </c>
      <c r="D692" s="7" t="s">
        <v>1191</v>
      </c>
      <c r="E692" s="7" t="s">
        <v>1213</v>
      </c>
      <c r="F692" s="7" t="s">
        <v>117</v>
      </c>
      <c r="G692" s="7" t="s">
        <v>703</v>
      </c>
      <c r="H692" s="7">
        <v>6</v>
      </c>
      <c r="I692" s="7">
        <v>2</v>
      </c>
      <c r="J692" s="7">
        <v>12</v>
      </c>
      <c r="K692" s="7" t="s">
        <v>1218</v>
      </c>
    </row>
    <row r="693" spans="1:11" x14ac:dyDescent="0.25">
      <c r="A693" s="7">
        <v>692</v>
      </c>
      <c r="B693" s="7" t="s">
        <v>1190</v>
      </c>
      <c r="C693" s="7" t="s">
        <v>1191</v>
      </c>
      <c r="D693" s="7" t="s">
        <v>1191</v>
      </c>
      <c r="E693" s="7" t="s">
        <v>1213</v>
      </c>
      <c r="F693" s="7" t="s">
        <v>117</v>
      </c>
      <c r="G693" s="7" t="s">
        <v>705</v>
      </c>
      <c r="H693" s="7">
        <v>12</v>
      </c>
      <c r="I693" s="7">
        <v>3</v>
      </c>
      <c r="J693" s="7">
        <v>36</v>
      </c>
      <c r="K693" s="7" t="s">
        <v>1219</v>
      </c>
    </row>
    <row r="694" spans="1:11" x14ac:dyDescent="0.25">
      <c r="A694" s="7">
        <v>693</v>
      </c>
      <c r="B694" s="7" t="s">
        <v>1190</v>
      </c>
      <c r="C694" s="7" t="s">
        <v>1191</v>
      </c>
      <c r="D694" s="7" t="s">
        <v>1191</v>
      </c>
      <c r="E694" s="7" t="s">
        <v>1213</v>
      </c>
      <c r="F694" s="7" t="s">
        <v>117</v>
      </c>
      <c r="G694" s="7" t="s">
        <v>261</v>
      </c>
      <c r="H694" s="7">
        <v>3</v>
      </c>
      <c r="I694" s="7">
        <v>2</v>
      </c>
      <c r="J694" s="7">
        <v>6</v>
      </c>
      <c r="K694" s="7" t="s">
        <v>1220</v>
      </c>
    </row>
    <row r="695" spans="1:11" x14ac:dyDescent="0.25">
      <c r="A695" s="7">
        <v>694</v>
      </c>
      <c r="B695" s="7" t="s">
        <v>1190</v>
      </c>
      <c r="C695" s="7" t="s">
        <v>1191</v>
      </c>
      <c r="D695" s="7" t="s">
        <v>1191</v>
      </c>
      <c r="E695" s="7" t="s">
        <v>1213</v>
      </c>
      <c r="F695" s="7" t="s">
        <v>117</v>
      </c>
      <c r="G695" s="7" t="s">
        <v>293</v>
      </c>
      <c r="H695" s="7">
        <v>8</v>
      </c>
      <c r="I695" s="7">
        <v>2</v>
      </c>
      <c r="J695" s="7">
        <v>16</v>
      </c>
      <c r="K695" s="7" t="s">
        <v>1221</v>
      </c>
    </row>
    <row r="696" spans="1:11" x14ac:dyDescent="0.25">
      <c r="A696" s="7">
        <v>695</v>
      </c>
      <c r="B696" s="7" t="s">
        <v>1190</v>
      </c>
      <c r="C696" s="7" t="s">
        <v>1191</v>
      </c>
      <c r="D696" s="7" t="s">
        <v>1191</v>
      </c>
      <c r="E696" s="7" t="s">
        <v>1213</v>
      </c>
      <c r="F696" s="7" t="s">
        <v>117</v>
      </c>
      <c r="G696" s="7" t="s">
        <v>295</v>
      </c>
      <c r="H696" s="7">
        <v>2</v>
      </c>
      <c r="I696" s="7">
        <v>2</v>
      </c>
      <c r="J696" s="7">
        <v>4</v>
      </c>
      <c r="K696" s="7" t="s">
        <v>1222</v>
      </c>
    </row>
    <row r="697" spans="1:11" x14ac:dyDescent="0.25">
      <c r="A697" s="7">
        <v>696</v>
      </c>
      <c r="B697" s="7" t="s">
        <v>1190</v>
      </c>
      <c r="C697" s="7" t="s">
        <v>1191</v>
      </c>
      <c r="D697" s="7" t="s">
        <v>1191</v>
      </c>
      <c r="E697" s="7" t="s">
        <v>1213</v>
      </c>
      <c r="F697" s="7" t="s">
        <v>117</v>
      </c>
      <c r="G697" s="7" t="s">
        <v>311</v>
      </c>
      <c r="H697" s="7">
        <v>6</v>
      </c>
      <c r="I697" s="7">
        <v>2</v>
      </c>
      <c r="J697" s="7">
        <v>12</v>
      </c>
      <c r="K697" s="7" t="s">
        <v>1223</v>
      </c>
    </row>
    <row r="698" spans="1:11" x14ac:dyDescent="0.25">
      <c r="A698" s="7">
        <v>697</v>
      </c>
      <c r="B698" s="7" t="s">
        <v>1190</v>
      </c>
      <c r="C698" s="7" t="s">
        <v>1191</v>
      </c>
      <c r="D698" s="7" t="s">
        <v>1191</v>
      </c>
      <c r="E698" s="7" t="s">
        <v>1224</v>
      </c>
      <c r="F698" s="7" t="s">
        <v>117</v>
      </c>
      <c r="G698" s="7" t="s">
        <v>118</v>
      </c>
      <c r="H698" s="7">
        <v>8</v>
      </c>
      <c r="I698" s="7">
        <v>3</v>
      </c>
      <c r="J698" s="7">
        <v>24</v>
      </c>
      <c r="K698" s="7" t="s">
        <v>1214</v>
      </c>
    </row>
    <row r="699" spans="1:11" x14ac:dyDescent="0.25">
      <c r="A699" s="7">
        <v>698</v>
      </c>
      <c r="B699" s="7" t="s">
        <v>1190</v>
      </c>
      <c r="C699" s="7" t="s">
        <v>1191</v>
      </c>
      <c r="D699" s="7" t="s">
        <v>1191</v>
      </c>
      <c r="E699" s="7" t="s">
        <v>1224</v>
      </c>
      <c r="F699" s="7" t="s">
        <v>117</v>
      </c>
      <c r="G699" s="7" t="s">
        <v>698</v>
      </c>
      <c r="H699" s="7">
        <v>2</v>
      </c>
      <c r="I699" s="7">
        <v>2</v>
      </c>
      <c r="J699" s="7">
        <v>4</v>
      </c>
      <c r="K699" s="7" t="s">
        <v>1215</v>
      </c>
    </row>
    <row r="700" spans="1:11" x14ac:dyDescent="0.25">
      <c r="A700" s="7">
        <v>699</v>
      </c>
      <c r="B700" s="7" t="s">
        <v>1190</v>
      </c>
      <c r="C700" s="7" t="s">
        <v>1191</v>
      </c>
      <c r="D700" s="7" t="s">
        <v>1191</v>
      </c>
      <c r="E700" s="7" t="s">
        <v>1224</v>
      </c>
      <c r="F700" s="7" t="s">
        <v>117</v>
      </c>
      <c r="G700" s="7" t="s">
        <v>700</v>
      </c>
      <c r="H700" s="7">
        <v>42</v>
      </c>
      <c r="I700" s="7">
        <v>3</v>
      </c>
      <c r="J700" s="7">
        <v>126</v>
      </c>
      <c r="K700" s="7" t="s">
        <v>1216</v>
      </c>
    </row>
    <row r="701" spans="1:11" x14ac:dyDescent="0.25">
      <c r="A701" s="7">
        <v>700</v>
      </c>
      <c r="B701" s="7" t="s">
        <v>1190</v>
      </c>
      <c r="C701" s="7" t="s">
        <v>1191</v>
      </c>
      <c r="D701" s="7" t="s">
        <v>1191</v>
      </c>
      <c r="E701" s="7" t="s">
        <v>1224</v>
      </c>
      <c r="F701" s="7" t="s">
        <v>117</v>
      </c>
      <c r="G701" s="7" t="s">
        <v>934</v>
      </c>
      <c r="H701" s="7">
        <v>80</v>
      </c>
      <c r="I701" s="7">
        <v>3</v>
      </c>
      <c r="J701" s="7">
        <v>240</v>
      </c>
      <c r="K701" s="7" t="s">
        <v>1217</v>
      </c>
    </row>
    <row r="702" spans="1:11" x14ac:dyDescent="0.25">
      <c r="A702" s="7">
        <v>701</v>
      </c>
      <c r="B702" s="7" t="s">
        <v>1190</v>
      </c>
      <c r="C702" s="7" t="s">
        <v>1191</v>
      </c>
      <c r="D702" s="7" t="s">
        <v>1191</v>
      </c>
      <c r="E702" s="7" t="s">
        <v>1224</v>
      </c>
      <c r="F702" s="7" t="s">
        <v>117</v>
      </c>
      <c r="G702" s="7" t="s">
        <v>703</v>
      </c>
      <c r="H702" s="7">
        <v>6</v>
      </c>
      <c r="I702" s="7">
        <v>2</v>
      </c>
      <c r="J702" s="7">
        <v>12</v>
      </c>
      <c r="K702" s="7" t="s">
        <v>1218</v>
      </c>
    </row>
    <row r="703" spans="1:11" x14ac:dyDescent="0.25">
      <c r="A703" s="7">
        <v>702</v>
      </c>
      <c r="B703" s="7" t="s">
        <v>1190</v>
      </c>
      <c r="C703" s="7" t="s">
        <v>1191</v>
      </c>
      <c r="D703" s="7" t="s">
        <v>1191</v>
      </c>
      <c r="E703" s="7" t="s">
        <v>1224</v>
      </c>
      <c r="F703" s="7" t="s">
        <v>117</v>
      </c>
      <c r="G703" s="7" t="s">
        <v>705</v>
      </c>
      <c r="H703" s="7">
        <v>14</v>
      </c>
      <c r="I703" s="7">
        <v>3</v>
      </c>
      <c r="J703" s="7">
        <v>42</v>
      </c>
      <c r="K703" s="7" t="s">
        <v>1219</v>
      </c>
    </row>
    <row r="704" spans="1:11" x14ac:dyDescent="0.25">
      <c r="A704" s="7">
        <v>703</v>
      </c>
      <c r="B704" s="7" t="s">
        <v>1190</v>
      </c>
      <c r="C704" s="7" t="s">
        <v>1191</v>
      </c>
      <c r="D704" s="7" t="s">
        <v>1191</v>
      </c>
      <c r="E704" s="7" t="s">
        <v>1224</v>
      </c>
      <c r="F704" s="7" t="s">
        <v>117</v>
      </c>
      <c r="G704" s="7" t="s">
        <v>261</v>
      </c>
      <c r="H704" s="7">
        <v>3</v>
      </c>
      <c r="I704" s="7">
        <v>2</v>
      </c>
      <c r="J704" s="7">
        <v>6</v>
      </c>
      <c r="K704" s="7" t="s">
        <v>1220</v>
      </c>
    </row>
    <row r="705" spans="1:11" x14ac:dyDescent="0.25">
      <c r="A705" s="7">
        <v>704</v>
      </c>
      <c r="B705" s="7" t="s">
        <v>1190</v>
      </c>
      <c r="C705" s="7" t="s">
        <v>1191</v>
      </c>
      <c r="D705" s="7" t="s">
        <v>1191</v>
      </c>
      <c r="E705" s="7" t="s">
        <v>1224</v>
      </c>
      <c r="F705" s="7" t="s">
        <v>117</v>
      </c>
      <c r="G705" s="7" t="s">
        <v>293</v>
      </c>
      <c r="H705" s="7">
        <v>10</v>
      </c>
      <c r="I705" s="7">
        <v>2</v>
      </c>
      <c r="J705" s="7">
        <v>20</v>
      </c>
      <c r="K705" s="7" t="s">
        <v>1221</v>
      </c>
    </row>
    <row r="706" spans="1:11" x14ac:dyDescent="0.25">
      <c r="A706" s="7">
        <v>705</v>
      </c>
      <c r="B706" s="7" t="s">
        <v>1190</v>
      </c>
      <c r="C706" s="7" t="s">
        <v>1191</v>
      </c>
      <c r="D706" s="7" t="s">
        <v>1191</v>
      </c>
      <c r="E706" s="7" t="s">
        <v>1224</v>
      </c>
      <c r="F706" s="7" t="s">
        <v>117</v>
      </c>
      <c r="G706" s="7" t="s">
        <v>295</v>
      </c>
      <c r="H706" s="7">
        <v>2</v>
      </c>
      <c r="I706" s="7">
        <v>2</v>
      </c>
      <c r="J706" s="7">
        <v>4</v>
      </c>
      <c r="K706" s="7" t="s">
        <v>1222</v>
      </c>
    </row>
    <row r="707" spans="1:11" x14ac:dyDescent="0.25">
      <c r="A707" s="7">
        <v>706</v>
      </c>
      <c r="B707" s="7" t="s">
        <v>1190</v>
      </c>
      <c r="C707" s="7" t="s">
        <v>1191</v>
      </c>
      <c r="D707" s="7" t="s">
        <v>1191</v>
      </c>
      <c r="E707" s="7" t="s">
        <v>1224</v>
      </c>
      <c r="F707" s="7" t="s">
        <v>117</v>
      </c>
      <c r="G707" s="7" t="s">
        <v>311</v>
      </c>
      <c r="H707" s="7">
        <v>9</v>
      </c>
      <c r="I707" s="7">
        <v>2</v>
      </c>
      <c r="J707" s="7">
        <v>18</v>
      </c>
      <c r="K707" s="7" t="s">
        <v>1223</v>
      </c>
    </row>
    <row r="708" spans="1:11" x14ac:dyDescent="0.25">
      <c r="A708" s="7">
        <v>707</v>
      </c>
      <c r="B708" s="7" t="s">
        <v>1190</v>
      </c>
      <c r="C708" s="7" t="s">
        <v>1191</v>
      </c>
      <c r="D708" s="7" t="s">
        <v>1191</v>
      </c>
      <c r="E708" s="7" t="s">
        <v>1225</v>
      </c>
      <c r="F708" s="7" t="s">
        <v>117</v>
      </c>
      <c r="G708" s="7" t="s">
        <v>305</v>
      </c>
      <c r="H708" s="7">
        <v>8</v>
      </c>
      <c r="I708" s="7">
        <v>2</v>
      </c>
      <c r="J708" s="7">
        <v>16</v>
      </c>
      <c r="K708" s="7" t="s">
        <v>1226</v>
      </c>
    </row>
    <row r="709" spans="1:11" x14ac:dyDescent="0.25">
      <c r="A709" s="7">
        <v>708</v>
      </c>
      <c r="B709" s="7" t="s">
        <v>1190</v>
      </c>
      <c r="C709" s="7" t="s">
        <v>1191</v>
      </c>
      <c r="D709" s="7" t="s">
        <v>1191</v>
      </c>
      <c r="E709" s="7" t="s">
        <v>1225</v>
      </c>
      <c r="F709" s="7" t="s">
        <v>117</v>
      </c>
      <c r="G709" s="7" t="s">
        <v>118</v>
      </c>
      <c r="H709" s="7">
        <v>12</v>
      </c>
      <c r="I709" s="7">
        <v>3</v>
      </c>
      <c r="J709" s="7">
        <v>36</v>
      </c>
      <c r="K709" s="7" t="s">
        <v>1214</v>
      </c>
    </row>
    <row r="710" spans="1:11" x14ac:dyDescent="0.25">
      <c r="A710" s="7">
        <v>709</v>
      </c>
      <c r="B710" s="7" t="s">
        <v>1190</v>
      </c>
      <c r="C710" s="7" t="s">
        <v>1191</v>
      </c>
      <c r="D710" s="7" t="s">
        <v>1191</v>
      </c>
      <c r="E710" s="7" t="s">
        <v>1225</v>
      </c>
      <c r="F710" s="7" t="s">
        <v>117</v>
      </c>
      <c r="G710" s="7" t="s">
        <v>698</v>
      </c>
      <c r="H710" s="7">
        <v>2</v>
      </c>
      <c r="I710" s="7">
        <v>2</v>
      </c>
      <c r="J710" s="7">
        <v>4</v>
      </c>
      <c r="K710" s="7" t="s">
        <v>1215</v>
      </c>
    </row>
    <row r="711" spans="1:11" x14ac:dyDescent="0.25">
      <c r="A711" s="7">
        <v>710</v>
      </c>
      <c r="B711" s="7" t="s">
        <v>1190</v>
      </c>
      <c r="C711" s="7" t="s">
        <v>1191</v>
      </c>
      <c r="D711" s="7" t="s">
        <v>1191</v>
      </c>
      <c r="E711" s="7" t="s">
        <v>1225</v>
      </c>
      <c r="F711" s="7" t="s">
        <v>117</v>
      </c>
      <c r="G711" s="7" t="s">
        <v>700</v>
      </c>
      <c r="H711" s="7">
        <v>48</v>
      </c>
      <c r="I711" s="7">
        <v>3</v>
      </c>
      <c r="J711" s="7">
        <v>144</v>
      </c>
      <c r="K711" s="7" t="s">
        <v>1216</v>
      </c>
    </row>
    <row r="712" spans="1:11" x14ac:dyDescent="0.25">
      <c r="A712" s="7">
        <v>711</v>
      </c>
      <c r="B712" s="7" t="s">
        <v>1190</v>
      </c>
      <c r="C712" s="7" t="s">
        <v>1191</v>
      </c>
      <c r="D712" s="7" t="s">
        <v>1191</v>
      </c>
      <c r="E712" s="7" t="s">
        <v>1225</v>
      </c>
      <c r="F712" s="7" t="s">
        <v>117</v>
      </c>
      <c r="G712" s="7" t="s">
        <v>934</v>
      </c>
      <c r="H712" s="7">
        <v>102</v>
      </c>
      <c r="I712" s="7">
        <v>3</v>
      </c>
      <c r="J712" s="7">
        <v>306</v>
      </c>
      <c r="K712" s="7" t="s">
        <v>1217</v>
      </c>
    </row>
    <row r="713" spans="1:11" x14ac:dyDescent="0.25">
      <c r="A713" s="7">
        <v>712</v>
      </c>
      <c r="B713" s="7" t="s">
        <v>1190</v>
      </c>
      <c r="C713" s="7" t="s">
        <v>1191</v>
      </c>
      <c r="D713" s="7" t="s">
        <v>1191</v>
      </c>
      <c r="E713" s="7" t="s">
        <v>1225</v>
      </c>
      <c r="F713" s="7" t="s">
        <v>117</v>
      </c>
      <c r="G713" s="7" t="s">
        <v>703</v>
      </c>
      <c r="H713" s="7">
        <v>8</v>
      </c>
      <c r="I713" s="7">
        <v>2</v>
      </c>
      <c r="J713" s="7">
        <v>16</v>
      </c>
      <c r="K713" s="7" t="s">
        <v>1218</v>
      </c>
    </row>
    <row r="714" spans="1:11" x14ac:dyDescent="0.25">
      <c r="A714" s="7">
        <v>713</v>
      </c>
      <c r="B714" s="7" t="s">
        <v>1190</v>
      </c>
      <c r="C714" s="7" t="s">
        <v>1191</v>
      </c>
      <c r="D714" s="7" t="s">
        <v>1191</v>
      </c>
      <c r="E714" s="7" t="s">
        <v>1225</v>
      </c>
      <c r="F714" s="7" t="s">
        <v>117</v>
      </c>
      <c r="G714" s="7" t="s">
        <v>705</v>
      </c>
      <c r="H714" s="7">
        <v>18</v>
      </c>
      <c r="I714" s="7">
        <v>3</v>
      </c>
      <c r="J714" s="7">
        <v>54</v>
      </c>
      <c r="K714" s="7" t="s">
        <v>1219</v>
      </c>
    </row>
    <row r="715" spans="1:11" x14ac:dyDescent="0.25">
      <c r="A715" s="7">
        <v>714</v>
      </c>
      <c r="B715" s="7" t="s">
        <v>1190</v>
      </c>
      <c r="C715" s="7" t="s">
        <v>1191</v>
      </c>
      <c r="D715" s="7" t="s">
        <v>1191</v>
      </c>
      <c r="E715" s="7" t="s">
        <v>1225</v>
      </c>
      <c r="F715" s="7" t="s">
        <v>117</v>
      </c>
      <c r="G715" s="7" t="s">
        <v>261</v>
      </c>
      <c r="H715" s="7">
        <v>6</v>
      </c>
      <c r="I715" s="7">
        <v>2</v>
      </c>
      <c r="J715" s="7">
        <v>12</v>
      </c>
      <c r="K715" s="7" t="s">
        <v>1220</v>
      </c>
    </row>
    <row r="716" spans="1:11" x14ac:dyDescent="0.25">
      <c r="A716" s="7">
        <v>715</v>
      </c>
      <c r="B716" s="7" t="s">
        <v>1190</v>
      </c>
      <c r="C716" s="7" t="s">
        <v>1191</v>
      </c>
      <c r="D716" s="7" t="s">
        <v>1191</v>
      </c>
      <c r="E716" s="7" t="s">
        <v>1225</v>
      </c>
      <c r="F716" s="7" t="s">
        <v>117</v>
      </c>
      <c r="G716" s="7" t="s">
        <v>293</v>
      </c>
      <c r="H716" s="7">
        <v>18</v>
      </c>
      <c r="I716" s="7">
        <v>2</v>
      </c>
      <c r="J716" s="7">
        <v>36</v>
      </c>
      <c r="K716" s="7" t="s">
        <v>1221</v>
      </c>
    </row>
    <row r="717" spans="1:11" x14ac:dyDescent="0.25">
      <c r="A717" s="7">
        <v>716</v>
      </c>
      <c r="B717" s="7" t="s">
        <v>1190</v>
      </c>
      <c r="C717" s="7" t="s">
        <v>1191</v>
      </c>
      <c r="D717" s="7" t="s">
        <v>1191</v>
      </c>
      <c r="E717" s="7" t="s">
        <v>1225</v>
      </c>
      <c r="F717" s="7" t="s">
        <v>117</v>
      </c>
      <c r="G717" s="7" t="s">
        <v>295</v>
      </c>
      <c r="H717" s="7">
        <v>2</v>
      </c>
      <c r="I717" s="7">
        <v>2</v>
      </c>
      <c r="J717" s="7">
        <v>4</v>
      </c>
      <c r="K717" s="7" t="s">
        <v>1222</v>
      </c>
    </row>
    <row r="718" spans="1:11" x14ac:dyDescent="0.25">
      <c r="A718" s="7">
        <v>717</v>
      </c>
      <c r="B718" s="7" t="s">
        <v>1190</v>
      </c>
      <c r="C718" s="7" t="s">
        <v>1191</v>
      </c>
      <c r="D718" s="7" t="s">
        <v>1191</v>
      </c>
      <c r="E718" s="7" t="s">
        <v>1225</v>
      </c>
      <c r="F718" s="7" t="s">
        <v>117</v>
      </c>
      <c r="G718" s="7" t="s">
        <v>311</v>
      </c>
      <c r="H718" s="7">
        <v>9</v>
      </c>
      <c r="I718" s="7">
        <v>2</v>
      </c>
      <c r="J718" s="7">
        <v>18</v>
      </c>
      <c r="K718" s="7" t="s">
        <v>1223</v>
      </c>
    </row>
    <row r="719" spans="1:11" x14ac:dyDescent="0.25">
      <c r="A719" s="7">
        <v>718</v>
      </c>
      <c r="B719" s="7" t="s">
        <v>1190</v>
      </c>
      <c r="C719" s="7" t="s">
        <v>1191</v>
      </c>
      <c r="D719" s="7" t="s">
        <v>1191</v>
      </c>
      <c r="E719" s="7" t="s">
        <v>1227</v>
      </c>
      <c r="F719" s="7" t="s">
        <v>145</v>
      </c>
      <c r="G719" s="7" t="s">
        <v>263</v>
      </c>
      <c r="H719" s="7">
        <v>4</v>
      </c>
      <c r="I719" s="7">
        <v>2</v>
      </c>
      <c r="J719" s="7">
        <v>8</v>
      </c>
      <c r="K719" s="7" t="s">
        <v>1228</v>
      </c>
    </row>
    <row r="720" spans="1:11" x14ac:dyDescent="0.25">
      <c r="A720" s="7">
        <v>719</v>
      </c>
      <c r="B720" s="7" t="s">
        <v>1190</v>
      </c>
      <c r="C720" s="7" t="s">
        <v>1191</v>
      </c>
      <c r="D720" s="7" t="s">
        <v>1191</v>
      </c>
      <c r="E720" s="7" t="s">
        <v>1227</v>
      </c>
      <c r="F720" s="7" t="s">
        <v>145</v>
      </c>
      <c r="G720" s="7" t="s">
        <v>1229</v>
      </c>
      <c r="H720" s="7">
        <v>14</v>
      </c>
      <c r="I720" s="7">
        <v>2</v>
      </c>
      <c r="J720" s="7">
        <v>28</v>
      </c>
      <c r="K720" s="7" t="s">
        <v>1230</v>
      </c>
    </row>
    <row r="721" spans="1:11" x14ac:dyDescent="0.25">
      <c r="A721" s="7">
        <v>720</v>
      </c>
      <c r="B721" s="7" t="s">
        <v>1190</v>
      </c>
      <c r="C721" s="7" t="s">
        <v>1191</v>
      </c>
      <c r="D721" s="7" t="s">
        <v>1191</v>
      </c>
      <c r="E721" s="7" t="s">
        <v>1227</v>
      </c>
      <c r="F721" s="7" t="s">
        <v>145</v>
      </c>
      <c r="G721" s="7" t="s">
        <v>1231</v>
      </c>
      <c r="H721" s="7">
        <v>18</v>
      </c>
      <c r="I721" s="7">
        <v>2</v>
      </c>
      <c r="J721" s="7">
        <v>36</v>
      </c>
      <c r="K721" s="7" t="s">
        <v>1232</v>
      </c>
    </row>
    <row r="722" spans="1:11" x14ac:dyDescent="0.25">
      <c r="A722" s="7">
        <v>721</v>
      </c>
      <c r="B722" s="7" t="s">
        <v>1190</v>
      </c>
      <c r="C722" s="7" t="s">
        <v>1191</v>
      </c>
      <c r="D722" s="7" t="s">
        <v>1191</v>
      </c>
      <c r="E722" s="7" t="s">
        <v>1227</v>
      </c>
      <c r="F722" s="7" t="s">
        <v>145</v>
      </c>
      <c r="G722" s="7" t="s">
        <v>1233</v>
      </c>
      <c r="H722" s="7">
        <v>4</v>
      </c>
      <c r="I722" s="7">
        <v>2</v>
      </c>
      <c r="J722" s="7">
        <v>8</v>
      </c>
      <c r="K722" s="7" t="s">
        <v>1234</v>
      </c>
    </row>
    <row r="723" spans="1:11" x14ac:dyDescent="0.25">
      <c r="A723" s="7">
        <v>722</v>
      </c>
      <c r="B723" s="7" t="s">
        <v>1190</v>
      </c>
      <c r="C723" s="7" t="s">
        <v>1191</v>
      </c>
      <c r="D723" s="7" t="s">
        <v>1191</v>
      </c>
      <c r="E723" s="7" t="s">
        <v>1227</v>
      </c>
      <c r="F723" s="7" t="s">
        <v>145</v>
      </c>
      <c r="G723" s="7" t="s">
        <v>271</v>
      </c>
      <c r="H723" s="7">
        <v>6</v>
      </c>
      <c r="I723" s="7">
        <v>2</v>
      </c>
      <c r="J723" s="7">
        <v>12</v>
      </c>
      <c r="K723" s="7" t="s">
        <v>1235</v>
      </c>
    </row>
    <row r="724" spans="1:11" x14ac:dyDescent="0.25">
      <c r="A724" s="7">
        <v>723</v>
      </c>
      <c r="B724" s="7" t="s">
        <v>1190</v>
      </c>
      <c r="C724" s="7" t="s">
        <v>1191</v>
      </c>
      <c r="D724" s="7" t="s">
        <v>1191</v>
      </c>
      <c r="E724" s="7" t="s">
        <v>1227</v>
      </c>
      <c r="F724" s="7" t="s">
        <v>145</v>
      </c>
      <c r="G724" s="7" t="s">
        <v>273</v>
      </c>
      <c r="H724" s="7">
        <v>4</v>
      </c>
      <c r="I724" s="7">
        <v>2</v>
      </c>
      <c r="J724" s="7">
        <v>8</v>
      </c>
      <c r="K724" s="7" t="s">
        <v>1236</v>
      </c>
    </row>
    <row r="725" spans="1:11" x14ac:dyDescent="0.25">
      <c r="A725" s="7">
        <v>724</v>
      </c>
      <c r="B725" s="7" t="s">
        <v>1190</v>
      </c>
      <c r="C725" s="7" t="s">
        <v>1191</v>
      </c>
      <c r="D725" s="7" t="s">
        <v>1191</v>
      </c>
      <c r="E725" s="7" t="s">
        <v>1227</v>
      </c>
      <c r="F725" s="7" t="s">
        <v>145</v>
      </c>
      <c r="G725" s="7" t="s">
        <v>275</v>
      </c>
      <c r="H725" s="7">
        <v>3</v>
      </c>
      <c r="I725" s="7">
        <v>2</v>
      </c>
      <c r="J725" s="7">
        <v>6</v>
      </c>
      <c r="K725" s="7" t="s">
        <v>1237</v>
      </c>
    </row>
    <row r="726" spans="1:11" x14ac:dyDescent="0.25">
      <c r="A726" s="7">
        <v>725</v>
      </c>
      <c r="B726" s="7" t="s">
        <v>1190</v>
      </c>
      <c r="C726" s="7" t="s">
        <v>1191</v>
      </c>
      <c r="D726" s="7" t="s">
        <v>1191</v>
      </c>
      <c r="E726" s="7" t="s">
        <v>1227</v>
      </c>
      <c r="F726" s="7" t="s">
        <v>145</v>
      </c>
      <c r="G726" s="7" t="s">
        <v>1238</v>
      </c>
      <c r="H726" s="7">
        <v>8</v>
      </c>
      <c r="I726" s="7">
        <v>2</v>
      </c>
      <c r="J726" s="7">
        <v>16</v>
      </c>
      <c r="K726" s="7" t="s">
        <v>1239</v>
      </c>
    </row>
    <row r="727" spans="1:11" x14ac:dyDescent="0.25">
      <c r="A727" s="7">
        <v>726</v>
      </c>
      <c r="B727" s="7" t="s">
        <v>1190</v>
      </c>
      <c r="C727" s="7" t="s">
        <v>1191</v>
      </c>
      <c r="D727" s="7" t="s">
        <v>1191</v>
      </c>
      <c r="E727" s="7" t="s">
        <v>1227</v>
      </c>
      <c r="F727" s="7" t="s">
        <v>145</v>
      </c>
      <c r="G727" s="7" t="s">
        <v>730</v>
      </c>
      <c r="H727" s="7">
        <v>6</v>
      </c>
      <c r="I727" s="7">
        <v>2</v>
      </c>
      <c r="J727" s="7">
        <v>12</v>
      </c>
      <c r="K727" s="7" t="s">
        <v>1240</v>
      </c>
    </row>
    <row r="728" spans="1:11" x14ac:dyDescent="0.25">
      <c r="A728" s="7">
        <v>727</v>
      </c>
      <c r="B728" s="7" t="s">
        <v>1190</v>
      </c>
      <c r="C728" s="7" t="s">
        <v>1191</v>
      </c>
      <c r="D728" s="7" t="s">
        <v>1191</v>
      </c>
      <c r="E728" s="7" t="s">
        <v>1227</v>
      </c>
      <c r="F728" s="7" t="s">
        <v>145</v>
      </c>
      <c r="G728" s="7" t="s">
        <v>732</v>
      </c>
      <c r="H728" s="7">
        <v>3</v>
      </c>
      <c r="I728" s="7">
        <v>1</v>
      </c>
      <c r="J728" s="7">
        <v>3</v>
      </c>
      <c r="K728" s="7" t="s">
        <v>1241</v>
      </c>
    </row>
    <row r="729" spans="1:11" x14ac:dyDescent="0.25">
      <c r="A729" s="7">
        <v>728</v>
      </c>
      <c r="B729" s="7" t="s">
        <v>1190</v>
      </c>
      <c r="C729" s="7" t="s">
        <v>1191</v>
      </c>
      <c r="D729" s="7" t="s">
        <v>1191</v>
      </c>
      <c r="E729" s="7" t="s">
        <v>1227</v>
      </c>
      <c r="F729" s="7" t="s">
        <v>145</v>
      </c>
      <c r="G729" s="7" t="s">
        <v>734</v>
      </c>
      <c r="H729" s="7">
        <v>6</v>
      </c>
      <c r="I729" s="7">
        <v>2</v>
      </c>
      <c r="J729" s="7">
        <v>12</v>
      </c>
      <c r="K729" s="7" t="s">
        <v>1242</v>
      </c>
    </row>
    <row r="730" spans="1:11" x14ac:dyDescent="0.25">
      <c r="A730" s="7">
        <v>729</v>
      </c>
      <c r="B730" s="7" t="s">
        <v>1190</v>
      </c>
      <c r="C730" s="7" t="s">
        <v>1191</v>
      </c>
      <c r="D730" s="7" t="s">
        <v>1191</v>
      </c>
      <c r="E730" s="7" t="s">
        <v>1227</v>
      </c>
      <c r="F730" s="7" t="s">
        <v>145</v>
      </c>
      <c r="G730" s="7" t="s">
        <v>736</v>
      </c>
      <c r="H730" s="7">
        <v>3</v>
      </c>
      <c r="I730" s="7">
        <v>2</v>
      </c>
      <c r="J730" s="7">
        <v>6</v>
      </c>
      <c r="K730" s="7" t="s">
        <v>1243</v>
      </c>
    </row>
    <row r="731" spans="1:11" x14ac:dyDescent="0.25">
      <c r="A731" s="7">
        <v>730</v>
      </c>
      <c r="B731" s="7" t="s">
        <v>1190</v>
      </c>
      <c r="C731" s="7" t="s">
        <v>1191</v>
      </c>
      <c r="D731" s="7" t="s">
        <v>1191</v>
      </c>
      <c r="E731" s="7" t="s">
        <v>1227</v>
      </c>
      <c r="F731" s="7" t="s">
        <v>145</v>
      </c>
      <c r="G731" s="7" t="s">
        <v>1244</v>
      </c>
      <c r="H731" s="7">
        <v>4</v>
      </c>
      <c r="I731" s="7">
        <v>1</v>
      </c>
      <c r="J731" s="7">
        <v>4</v>
      </c>
      <c r="K731" s="7" t="s">
        <v>1245</v>
      </c>
    </row>
    <row r="732" spans="1:11" x14ac:dyDescent="0.25">
      <c r="A732" s="7">
        <v>731</v>
      </c>
      <c r="B732" s="7" t="s">
        <v>1190</v>
      </c>
      <c r="C732" s="7" t="s">
        <v>1191</v>
      </c>
      <c r="D732" s="7" t="s">
        <v>1191</v>
      </c>
      <c r="E732" s="7" t="s">
        <v>1227</v>
      </c>
      <c r="F732" s="7" t="s">
        <v>145</v>
      </c>
      <c r="G732" s="7" t="s">
        <v>1246</v>
      </c>
      <c r="H732" s="7">
        <v>18</v>
      </c>
      <c r="I732" s="7">
        <v>2</v>
      </c>
      <c r="J732" s="7">
        <v>36</v>
      </c>
      <c r="K732" s="7" t="s">
        <v>1247</v>
      </c>
    </row>
    <row r="733" spans="1:11" x14ac:dyDescent="0.25">
      <c r="A733" s="7">
        <v>732</v>
      </c>
      <c r="B733" s="7" t="s">
        <v>1190</v>
      </c>
      <c r="C733" s="7" t="s">
        <v>1191</v>
      </c>
      <c r="D733" s="7" t="s">
        <v>1191</v>
      </c>
      <c r="E733" s="7" t="s">
        <v>1227</v>
      </c>
      <c r="F733" s="7" t="s">
        <v>145</v>
      </c>
      <c r="G733" s="7" t="s">
        <v>313</v>
      </c>
      <c r="H733" s="7">
        <v>2</v>
      </c>
      <c r="I733" s="7">
        <v>1</v>
      </c>
      <c r="J733" s="7">
        <v>2</v>
      </c>
      <c r="K733" s="7" t="s">
        <v>1248</v>
      </c>
    </row>
    <row r="734" spans="1:11" x14ac:dyDescent="0.25">
      <c r="A734" s="7">
        <v>733</v>
      </c>
      <c r="B734" s="7" t="s">
        <v>1190</v>
      </c>
      <c r="C734" s="7" t="s">
        <v>1191</v>
      </c>
      <c r="D734" s="7" t="s">
        <v>1191</v>
      </c>
      <c r="E734" s="7" t="s">
        <v>1227</v>
      </c>
      <c r="F734" s="7" t="s">
        <v>145</v>
      </c>
      <c r="G734" s="7" t="s">
        <v>608</v>
      </c>
      <c r="H734" s="7">
        <v>3</v>
      </c>
      <c r="I734" s="7">
        <v>1</v>
      </c>
      <c r="J734" s="7">
        <v>3</v>
      </c>
      <c r="K734" s="7" t="s">
        <v>1249</v>
      </c>
    </row>
    <row r="735" spans="1:11" x14ac:dyDescent="0.25">
      <c r="A735" s="7">
        <v>734</v>
      </c>
      <c r="B735" s="7" t="s">
        <v>1190</v>
      </c>
      <c r="C735" s="7" t="s">
        <v>1191</v>
      </c>
      <c r="D735" s="7" t="s">
        <v>1191</v>
      </c>
      <c r="E735" s="7" t="s">
        <v>1227</v>
      </c>
      <c r="F735" s="7" t="s">
        <v>145</v>
      </c>
      <c r="G735" s="7" t="s">
        <v>610</v>
      </c>
      <c r="H735" s="7">
        <v>2</v>
      </c>
      <c r="I735" s="7">
        <v>1</v>
      </c>
      <c r="J735" s="7">
        <v>2</v>
      </c>
      <c r="K735" s="7" t="s">
        <v>1250</v>
      </c>
    </row>
    <row r="736" spans="1:11" x14ac:dyDescent="0.25">
      <c r="A736" s="7">
        <v>735</v>
      </c>
      <c r="B736" s="7" t="s">
        <v>1190</v>
      </c>
      <c r="C736" s="7" t="s">
        <v>1191</v>
      </c>
      <c r="D736" s="7" t="s">
        <v>1191</v>
      </c>
      <c r="E736" s="7" t="s">
        <v>1251</v>
      </c>
      <c r="F736" s="7" t="s">
        <v>145</v>
      </c>
      <c r="G736" s="7" t="s">
        <v>613</v>
      </c>
      <c r="H736" s="7">
        <v>8</v>
      </c>
      <c r="I736" s="7">
        <v>2</v>
      </c>
      <c r="J736" s="7">
        <v>16</v>
      </c>
      <c r="K736" s="7" t="s">
        <v>1252</v>
      </c>
    </row>
    <row r="737" spans="1:11" x14ac:dyDescent="0.25">
      <c r="A737" s="7">
        <v>736</v>
      </c>
      <c r="B737" s="7" t="s">
        <v>1190</v>
      </c>
      <c r="C737" s="7" t="s">
        <v>1191</v>
      </c>
      <c r="D737" s="7" t="s">
        <v>1191</v>
      </c>
      <c r="E737" s="7" t="s">
        <v>1251</v>
      </c>
      <c r="F737" s="7" t="s">
        <v>145</v>
      </c>
      <c r="G737" s="7" t="s">
        <v>326</v>
      </c>
      <c r="H737" s="7">
        <v>1</v>
      </c>
      <c r="I737" s="7">
        <v>1</v>
      </c>
      <c r="J737" s="7">
        <v>1</v>
      </c>
      <c r="K737" s="7" t="s">
        <v>1253</v>
      </c>
    </row>
    <row r="738" spans="1:11" x14ac:dyDescent="0.25">
      <c r="A738" s="7">
        <v>737</v>
      </c>
      <c r="B738" s="7" t="s">
        <v>1190</v>
      </c>
      <c r="C738" s="7" t="s">
        <v>1191</v>
      </c>
      <c r="D738" s="7" t="s">
        <v>1191</v>
      </c>
      <c r="E738" s="7" t="s">
        <v>1251</v>
      </c>
      <c r="F738" s="7" t="s">
        <v>145</v>
      </c>
      <c r="G738" s="7" t="s">
        <v>328</v>
      </c>
      <c r="H738" s="7">
        <v>0.5</v>
      </c>
      <c r="I738" s="7">
        <v>1</v>
      </c>
      <c r="J738" s="7">
        <v>0.5</v>
      </c>
      <c r="K738" s="7" t="s">
        <v>1254</v>
      </c>
    </row>
    <row r="739" spans="1:11" x14ac:dyDescent="0.25">
      <c r="A739" s="7">
        <v>738</v>
      </c>
      <c r="B739" s="7" t="s">
        <v>1190</v>
      </c>
      <c r="C739" s="7" t="s">
        <v>1191</v>
      </c>
      <c r="D739" s="7" t="s">
        <v>1191</v>
      </c>
      <c r="E739" s="7" t="s">
        <v>1251</v>
      </c>
      <c r="F739" s="7" t="s">
        <v>145</v>
      </c>
      <c r="G739" s="7" t="s">
        <v>617</v>
      </c>
      <c r="H739" s="7">
        <v>1</v>
      </c>
      <c r="I739" s="7">
        <v>1</v>
      </c>
      <c r="J739" s="7">
        <v>1</v>
      </c>
      <c r="K739" s="7" t="s">
        <v>1255</v>
      </c>
    </row>
    <row r="740" spans="1:11" x14ac:dyDescent="0.25">
      <c r="A740" s="7">
        <v>739</v>
      </c>
      <c r="B740" s="7" t="s">
        <v>1190</v>
      </c>
      <c r="C740" s="7" t="s">
        <v>1191</v>
      </c>
      <c r="D740" s="7" t="s">
        <v>1191</v>
      </c>
      <c r="E740" s="7" t="s">
        <v>1251</v>
      </c>
      <c r="F740" s="7" t="s">
        <v>145</v>
      </c>
      <c r="G740" s="7" t="s">
        <v>332</v>
      </c>
      <c r="H740" s="7" t="s">
        <v>1256</v>
      </c>
      <c r="I740" s="7">
        <v>2</v>
      </c>
      <c r="J740" s="7" t="s">
        <v>1257</v>
      </c>
      <c r="K740" s="7" t="s">
        <v>1258</v>
      </c>
    </row>
    <row r="741" spans="1:11" x14ac:dyDescent="0.25">
      <c r="A741" s="7">
        <v>740</v>
      </c>
      <c r="B741" s="7" t="s">
        <v>1190</v>
      </c>
      <c r="C741" s="7" t="s">
        <v>1259</v>
      </c>
      <c r="D741" s="7" t="s">
        <v>1260</v>
      </c>
      <c r="E741" s="7" t="s">
        <v>884</v>
      </c>
      <c r="F741" s="7" t="s">
        <v>49</v>
      </c>
      <c r="G741" s="7" t="s">
        <v>661</v>
      </c>
      <c r="H741" s="7">
        <v>1</v>
      </c>
      <c r="I741" s="7">
        <v>1</v>
      </c>
      <c r="J741" s="7">
        <v>1</v>
      </c>
      <c r="K741" s="7" t="s">
        <v>1261</v>
      </c>
    </row>
    <row r="742" spans="1:11" x14ac:dyDescent="0.25">
      <c r="A742" s="7">
        <v>741</v>
      </c>
      <c r="B742" s="7" t="s">
        <v>1190</v>
      </c>
      <c r="C742" s="7" t="s">
        <v>1259</v>
      </c>
      <c r="D742" s="7" t="s">
        <v>1260</v>
      </c>
      <c r="E742" s="7" t="s">
        <v>884</v>
      </c>
      <c r="F742" s="7" t="s">
        <v>49</v>
      </c>
      <c r="G742" s="7" t="s">
        <v>663</v>
      </c>
      <c r="H742" s="7">
        <v>1</v>
      </c>
      <c r="I742" s="7">
        <v>1</v>
      </c>
      <c r="J742" s="7">
        <v>1</v>
      </c>
      <c r="K742" s="7" t="s">
        <v>1262</v>
      </c>
    </row>
    <row r="743" spans="1:11" x14ac:dyDescent="0.25">
      <c r="A743" s="7">
        <v>742</v>
      </c>
      <c r="B743" s="7" t="s">
        <v>1190</v>
      </c>
      <c r="C743" s="7" t="s">
        <v>1259</v>
      </c>
      <c r="D743" s="7" t="s">
        <v>1260</v>
      </c>
      <c r="E743" s="7" t="s">
        <v>887</v>
      </c>
      <c r="F743" s="7" t="s">
        <v>49</v>
      </c>
      <c r="G743" s="7" t="s">
        <v>1263</v>
      </c>
      <c r="H743" s="7">
        <v>1</v>
      </c>
      <c r="I743" s="7">
        <v>1</v>
      </c>
      <c r="J743" s="7">
        <v>1</v>
      </c>
      <c r="K743" s="7" t="s">
        <v>1264</v>
      </c>
    </row>
    <row r="744" spans="1:11" x14ac:dyDescent="0.25">
      <c r="A744" s="7">
        <v>743</v>
      </c>
      <c r="B744" s="7" t="s">
        <v>1190</v>
      </c>
      <c r="C744" s="7" t="s">
        <v>1259</v>
      </c>
      <c r="D744" s="7" t="s">
        <v>1260</v>
      </c>
      <c r="E744" s="7" t="s">
        <v>887</v>
      </c>
      <c r="F744" s="7" t="s">
        <v>49</v>
      </c>
      <c r="G744" s="7" t="s">
        <v>1265</v>
      </c>
      <c r="H744" s="7">
        <v>1.5</v>
      </c>
      <c r="I744" s="7">
        <v>2</v>
      </c>
      <c r="J744" s="7">
        <v>3</v>
      </c>
      <c r="K744" s="7" t="s">
        <v>1266</v>
      </c>
    </row>
    <row r="745" spans="1:11" x14ac:dyDescent="0.25">
      <c r="A745" s="7">
        <v>744</v>
      </c>
      <c r="B745" s="7" t="s">
        <v>1190</v>
      </c>
      <c r="C745" s="7" t="s">
        <v>1259</v>
      </c>
      <c r="D745" s="7" t="s">
        <v>1260</v>
      </c>
      <c r="E745" s="7" t="s">
        <v>887</v>
      </c>
      <c r="F745" s="7" t="s">
        <v>49</v>
      </c>
      <c r="G745" s="7" t="s">
        <v>1267</v>
      </c>
      <c r="H745" s="7">
        <v>0.5</v>
      </c>
      <c r="I745" s="7">
        <v>1</v>
      </c>
      <c r="J745" s="7">
        <v>0.5</v>
      </c>
      <c r="K745" s="7" t="s">
        <v>1268</v>
      </c>
    </row>
    <row r="746" spans="1:11" x14ac:dyDescent="0.25">
      <c r="A746" s="7">
        <v>745</v>
      </c>
      <c r="B746" s="7" t="s">
        <v>1190</v>
      </c>
      <c r="C746" s="7" t="s">
        <v>1259</v>
      </c>
      <c r="D746" s="7" t="s">
        <v>1260</v>
      </c>
      <c r="E746" s="7" t="s">
        <v>887</v>
      </c>
      <c r="F746" s="7" t="s">
        <v>49</v>
      </c>
      <c r="G746" s="7" t="s">
        <v>1269</v>
      </c>
      <c r="H746" s="7">
        <v>0.5</v>
      </c>
      <c r="I746" s="7">
        <v>1</v>
      </c>
      <c r="J746" s="7">
        <v>0.5</v>
      </c>
      <c r="K746" s="7" t="s">
        <v>1270</v>
      </c>
    </row>
    <row r="747" spans="1:11" x14ac:dyDescent="0.25">
      <c r="A747" s="7">
        <v>746</v>
      </c>
      <c r="B747" s="7" t="s">
        <v>1190</v>
      </c>
      <c r="C747" s="7" t="s">
        <v>1259</v>
      </c>
      <c r="D747" s="7" t="s">
        <v>1260</v>
      </c>
      <c r="E747" s="7" t="s">
        <v>898</v>
      </c>
      <c r="F747" s="7" t="s">
        <v>49</v>
      </c>
      <c r="G747" s="7" t="s">
        <v>899</v>
      </c>
      <c r="H747" s="7">
        <v>3.5</v>
      </c>
      <c r="I747" s="7" t="s">
        <v>70</v>
      </c>
      <c r="J747" s="7">
        <v>5</v>
      </c>
      <c r="K747" s="7" t="s">
        <v>1271</v>
      </c>
    </row>
    <row r="748" spans="1:11" x14ac:dyDescent="0.25">
      <c r="A748" s="7">
        <v>747</v>
      </c>
      <c r="B748" s="7" t="s">
        <v>1190</v>
      </c>
      <c r="C748" s="7" t="s">
        <v>1259</v>
      </c>
      <c r="D748" s="7" t="s">
        <v>1260</v>
      </c>
      <c r="E748" s="7" t="s">
        <v>898</v>
      </c>
      <c r="F748" s="7" t="s">
        <v>49</v>
      </c>
      <c r="G748" s="7" t="s">
        <v>1272</v>
      </c>
      <c r="H748" s="7">
        <v>1.5</v>
      </c>
      <c r="I748" s="7">
        <v>2</v>
      </c>
      <c r="J748" s="7">
        <v>3</v>
      </c>
      <c r="K748" s="7" t="s">
        <v>1273</v>
      </c>
    </row>
    <row r="749" spans="1:11" x14ac:dyDescent="0.25">
      <c r="A749" s="7">
        <v>748</v>
      </c>
      <c r="B749" s="7" t="s">
        <v>1190</v>
      </c>
      <c r="C749" s="7" t="s">
        <v>1259</v>
      </c>
      <c r="D749" s="7" t="s">
        <v>1260</v>
      </c>
      <c r="E749" s="7" t="s">
        <v>898</v>
      </c>
      <c r="F749" s="7" t="s">
        <v>49</v>
      </c>
      <c r="G749" s="7" t="s">
        <v>1274</v>
      </c>
      <c r="H749" s="7">
        <v>1</v>
      </c>
      <c r="I749" s="7">
        <v>2</v>
      </c>
      <c r="J749" s="7">
        <v>2</v>
      </c>
      <c r="K749" s="7" t="s">
        <v>1275</v>
      </c>
    </row>
    <row r="750" spans="1:11" x14ac:dyDescent="0.25">
      <c r="A750" s="7">
        <v>749</v>
      </c>
      <c r="B750" s="7" t="s">
        <v>1190</v>
      </c>
      <c r="C750" s="7" t="s">
        <v>1259</v>
      </c>
      <c r="D750" s="7" t="s">
        <v>1260</v>
      </c>
      <c r="E750" s="7" t="s">
        <v>898</v>
      </c>
      <c r="F750" s="7" t="s">
        <v>49</v>
      </c>
      <c r="G750" s="7" t="s">
        <v>1276</v>
      </c>
      <c r="H750" s="7">
        <v>0.5</v>
      </c>
      <c r="I750" s="7">
        <v>1</v>
      </c>
      <c r="J750" s="7">
        <v>0.5</v>
      </c>
      <c r="K750" s="7" t="s">
        <v>1277</v>
      </c>
    </row>
    <row r="751" spans="1:11" x14ac:dyDescent="0.25">
      <c r="A751" s="7">
        <v>750</v>
      </c>
      <c r="B751" s="7" t="s">
        <v>1190</v>
      </c>
      <c r="C751" s="7" t="s">
        <v>1259</v>
      </c>
      <c r="D751" s="7" t="s">
        <v>1260</v>
      </c>
      <c r="E751" s="7" t="s">
        <v>898</v>
      </c>
      <c r="F751" s="7" t="s">
        <v>49</v>
      </c>
      <c r="G751" s="7" t="s">
        <v>1278</v>
      </c>
      <c r="H751" s="7">
        <v>0.5</v>
      </c>
      <c r="I751" s="7">
        <v>1</v>
      </c>
      <c r="J751" s="7">
        <v>0.5</v>
      </c>
      <c r="K751" s="7" t="s">
        <v>1279</v>
      </c>
    </row>
    <row r="752" spans="1:11" x14ac:dyDescent="0.25">
      <c r="A752" s="7">
        <v>751</v>
      </c>
      <c r="B752" s="7" t="s">
        <v>1190</v>
      </c>
      <c r="C752" s="7" t="s">
        <v>1259</v>
      </c>
      <c r="D752" s="7" t="s">
        <v>1260</v>
      </c>
      <c r="E752" s="7" t="s">
        <v>909</v>
      </c>
      <c r="F752" s="7" t="s">
        <v>49</v>
      </c>
      <c r="G752" s="7" t="s">
        <v>910</v>
      </c>
      <c r="H752" s="7">
        <v>7</v>
      </c>
      <c r="I752" s="7" t="s">
        <v>70</v>
      </c>
      <c r="J752" s="7">
        <v>11</v>
      </c>
      <c r="K752" s="7" t="s">
        <v>1280</v>
      </c>
    </row>
    <row r="753" spans="1:11" x14ac:dyDescent="0.25">
      <c r="A753" s="7">
        <v>752</v>
      </c>
      <c r="B753" s="7" t="s">
        <v>1190</v>
      </c>
      <c r="C753" s="7" t="s">
        <v>1259</v>
      </c>
      <c r="D753" s="7" t="s">
        <v>1260</v>
      </c>
      <c r="E753" s="7" t="s">
        <v>909</v>
      </c>
      <c r="F753" s="7" t="s">
        <v>49</v>
      </c>
      <c r="G753" s="7" t="s">
        <v>1281</v>
      </c>
      <c r="H753" s="7">
        <v>0.5</v>
      </c>
      <c r="I753" s="7">
        <v>1</v>
      </c>
      <c r="J753" s="7">
        <v>0.5</v>
      </c>
      <c r="K753" s="7" t="s">
        <v>1282</v>
      </c>
    </row>
    <row r="754" spans="1:11" x14ac:dyDescent="0.25">
      <c r="A754" s="7">
        <v>753</v>
      </c>
      <c r="B754" s="7" t="s">
        <v>1190</v>
      </c>
      <c r="C754" s="7" t="s">
        <v>1259</v>
      </c>
      <c r="D754" s="7" t="s">
        <v>1260</v>
      </c>
      <c r="E754" s="7" t="s">
        <v>909</v>
      </c>
      <c r="F754" s="7" t="s">
        <v>49</v>
      </c>
      <c r="G754" s="7" t="s">
        <v>1283</v>
      </c>
      <c r="H754" s="7">
        <v>1</v>
      </c>
      <c r="I754" s="7">
        <v>1</v>
      </c>
      <c r="J754" s="7">
        <v>1</v>
      </c>
      <c r="K754" s="7" t="s">
        <v>1284</v>
      </c>
    </row>
    <row r="755" spans="1:11" x14ac:dyDescent="0.25">
      <c r="A755" s="7">
        <v>754</v>
      </c>
      <c r="B755" s="7" t="s">
        <v>1190</v>
      </c>
      <c r="C755" s="7" t="s">
        <v>1259</v>
      </c>
      <c r="D755" s="7" t="s">
        <v>1260</v>
      </c>
      <c r="E755" s="7" t="s">
        <v>909</v>
      </c>
      <c r="F755" s="7" t="s">
        <v>49</v>
      </c>
      <c r="G755" s="7" t="s">
        <v>1285</v>
      </c>
      <c r="H755" s="7">
        <v>1.5</v>
      </c>
      <c r="I755" s="7">
        <v>1</v>
      </c>
      <c r="J755" s="7">
        <v>1.5</v>
      </c>
      <c r="K755" s="7" t="s">
        <v>1286</v>
      </c>
    </row>
    <row r="756" spans="1:11" x14ac:dyDescent="0.25">
      <c r="A756" s="7">
        <v>755</v>
      </c>
      <c r="B756" s="7" t="s">
        <v>1190</v>
      </c>
      <c r="C756" s="7" t="s">
        <v>1259</v>
      </c>
      <c r="D756" s="7" t="s">
        <v>1260</v>
      </c>
      <c r="E756" s="7" t="s">
        <v>1287</v>
      </c>
      <c r="F756" s="7" t="s">
        <v>49</v>
      </c>
      <c r="G756" s="7" t="s">
        <v>1288</v>
      </c>
      <c r="H756" s="7">
        <v>1.5</v>
      </c>
      <c r="I756" s="7">
        <v>2</v>
      </c>
      <c r="J756" s="7">
        <v>3</v>
      </c>
      <c r="K756" s="7" t="s">
        <v>1289</v>
      </c>
    </row>
    <row r="757" spans="1:11" x14ac:dyDescent="0.25">
      <c r="A757" s="7">
        <v>756</v>
      </c>
      <c r="B757" s="7" t="s">
        <v>1190</v>
      </c>
      <c r="C757" s="7" t="s">
        <v>1259</v>
      </c>
      <c r="D757" s="7" t="s">
        <v>1260</v>
      </c>
      <c r="E757" s="7" t="s">
        <v>1287</v>
      </c>
      <c r="F757" s="7" t="s">
        <v>49</v>
      </c>
      <c r="G757" s="7" t="s">
        <v>1290</v>
      </c>
      <c r="H757" s="7">
        <v>3</v>
      </c>
      <c r="I757" s="7">
        <v>2</v>
      </c>
      <c r="J757" s="7">
        <v>6</v>
      </c>
      <c r="K757" s="7" t="s">
        <v>1291</v>
      </c>
    </row>
    <row r="758" spans="1:11" x14ac:dyDescent="0.25">
      <c r="A758" s="7">
        <v>757</v>
      </c>
      <c r="B758" s="7" t="s">
        <v>1190</v>
      </c>
      <c r="C758" s="7" t="s">
        <v>1259</v>
      </c>
      <c r="D758" s="7" t="s">
        <v>1260</v>
      </c>
      <c r="E758" s="7" t="s">
        <v>1287</v>
      </c>
      <c r="F758" s="7" t="s">
        <v>49</v>
      </c>
      <c r="G758" s="7" t="s">
        <v>1292</v>
      </c>
      <c r="H758" s="7">
        <v>2</v>
      </c>
      <c r="I758" s="7">
        <v>2</v>
      </c>
      <c r="J758" s="7">
        <v>4</v>
      </c>
      <c r="K758" s="7" t="s">
        <v>1293</v>
      </c>
    </row>
    <row r="759" spans="1:11" x14ac:dyDescent="0.25">
      <c r="A759" s="7">
        <v>758</v>
      </c>
      <c r="B759" s="7" t="s">
        <v>1190</v>
      </c>
      <c r="C759" s="7" t="s">
        <v>1259</v>
      </c>
      <c r="D759" s="7" t="s">
        <v>1260</v>
      </c>
      <c r="E759" s="7" t="s">
        <v>1287</v>
      </c>
      <c r="F759" s="7" t="s">
        <v>49</v>
      </c>
      <c r="G759" s="7" t="s">
        <v>1294</v>
      </c>
      <c r="H759" s="7">
        <v>3</v>
      </c>
      <c r="I759" s="7">
        <v>2</v>
      </c>
      <c r="J759" s="7">
        <v>6</v>
      </c>
      <c r="K759" s="7" t="s">
        <v>1295</v>
      </c>
    </row>
    <row r="760" spans="1:11" x14ac:dyDescent="0.25">
      <c r="A760" s="7">
        <v>759</v>
      </c>
      <c r="B760" s="7" t="s">
        <v>1190</v>
      </c>
      <c r="C760" s="7" t="s">
        <v>1259</v>
      </c>
      <c r="D760" s="7" t="s">
        <v>1260</v>
      </c>
      <c r="E760" s="7" t="s">
        <v>1287</v>
      </c>
      <c r="F760" s="7" t="s">
        <v>49</v>
      </c>
      <c r="G760" s="7" t="s">
        <v>1296</v>
      </c>
      <c r="H760" s="7">
        <v>1.5</v>
      </c>
      <c r="I760" s="7">
        <v>2</v>
      </c>
      <c r="J760" s="7">
        <v>3</v>
      </c>
      <c r="K760" s="7" t="s">
        <v>1297</v>
      </c>
    </row>
    <row r="761" spans="1:11" x14ac:dyDescent="0.25">
      <c r="A761" s="7">
        <v>760</v>
      </c>
      <c r="B761" s="7" t="s">
        <v>1190</v>
      </c>
      <c r="C761" s="7" t="s">
        <v>1259</v>
      </c>
      <c r="D761" s="7" t="s">
        <v>1260</v>
      </c>
      <c r="E761" s="7" t="s">
        <v>929</v>
      </c>
      <c r="F761" s="7" t="s">
        <v>145</v>
      </c>
      <c r="G761" s="7" t="s">
        <v>305</v>
      </c>
      <c r="H761" s="7">
        <v>6</v>
      </c>
      <c r="I761" s="7">
        <v>2</v>
      </c>
      <c r="J761" s="7">
        <v>12</v>
      </c>
      <c r="K761" s="7" t="s">
        <v>1298</v>
      </c>
    </row>
    <row r="762" spans="1:11" x14ac:dyDescent="0.25">
      <c r="A762" s="7">
        <v>761</v>
      </c>
      <c r="B762" s="7" t="s">
        <v>1190</v>
      </c>
      <c r="C762" s="7" t="s">
        <v>1259</v>
      </c>
      <c r="D762" s="7" t="s">
        <v>1260</v>
      </c>
      <c r="E762" s="7" t="s">
        <v>929</v>
      </c>
      <c r="F762" s="7" t="s">
        <v>145</v>
      </c>
      <c r="G762" s="7" t="s">
        <v>118</v>
      </c>
      <c r="H762" s="7">
        <v>8</v>
      </c>
      <c r="I762" s="7">
        <v>3</v>
      </c>
      <c r="J762" s="7">
        <v>24</v>
      </c>
      <c r="K762" s="7" t="s">
        <v>1299</v>
      </c>
    </row>
    <row r="763" spans="1:11" x14ac:dyDescent="0.25">
      <c r="A763" s="7">
        <v>762</v>
      </c>
      <c r="B763" s="7" t="s">
        <v>1190</v>
      </c>
      <c r="C763" s="7" t="s">
        <v>1259</v>
      </c>
      <c r="D763" s="7" t="s">
        <v>1260</v>
      </c>
      <c r="E763" s="7" t="s">
        <v>929</v>
      </c>
      <c r="F763" s="7" t="s">
        <v>145</v>
      </c>
      <c r="G763" s="7" t="s">
        <v>698</v>
      </c>
      <c r="H763" s="7">
        <v>2</v>
      </c>
      <c r="I763" s="7">
        <v>2</v>
      </c>
      <c r="J763" s="7">
        <v>4</v>
      </c>
      <c r="K763" s="7" t="s">
        <v>1300</v>
      </c>
    </row>
    <row r="764" spans="1:11" x14ac:dyDescent="0.25">
      <c r="A764" s="7">
        <v>763</v>
      </c>
      <c r="B764" s="7" t="s">
        <v>1190</v>
      </c>
      <c r="C764" s="7" t="s">
        <v>1259</v>
      </c>
      <c r="D764" s="7" t="s">
        <v>1260</v>
      </c>
      <c r="E764" s="7" t="s">
        <v>929</v>
      </c>
      <c r="F764" s="7" t="s">
        <v>145</v>
      </c>
      <c r="G764" s="7" t="s">
        <v>700</v>
      </c>
      <c r="H764" s="7">
        <v>28</v>
      </c>
      <c r="I764" s="7">
        <v>3</v>
      </c>
      <c r="J764" s="7">
        <v>84</v>
      </c>
      <c r="K764" s="7" t="s">
        <v>1301</v>
      </c>
    </row>
    <row r="765" spans="1:11" x14ac:dyDescent="0.25">
      <c r="A765" s="7">
        <v>764</v>
      </c>
      <c r="B765" s="7" t="s">
        <v>1190</v>
      </c>
      <c r="C765" s="7" t="s">
        <v>1259</v>
      </c>
      <c r="D765" s="7" t="s">
        <v>1260</v>
      </c>
      <c r="E765" s="7" t="s">
        <v>929</v>
      </c>
      <c r="F765" s="7" t="s">
        <v>145</v>
      </c>
      <c r="G765" s="7" t="s">
        <v>934</v>
      </c>
      <c r="H765" s="7">
        <v>96</v>
      </c>
      <c r="I765" s="7">
        <v>3</v>
      </c>
      <c r="J765" s="7">
        <v>288</v>
      </c>
      <c r="K765" s="7" t="s">
        <v>1302</v>
      </c>
    </row>
    <row r="766" spans="1:11" x14ac:dyDescent="0.25">
      <c r="A766" s="7">
        <v>765</v>
      </c>
      <c r="B766" s="7" t="s">
        <v>1190</v>
      </c>
      <c r="C766" s="7" t="s">
        <v>1259</v>
      </c>
      <c r="D766" s="7" t="s">
        <v>1260</v>
      </c>
      <c r="E766" s="7" t="s">
        <v>929</v>
      </c>
      <c r="F766" s="7" t="s">
        <v>145</v>
      </c>
      <c r="G766" s="7" t="s">
        <v>703</v>
      </c>
      <c r="H766" s="7">
        <v>6</v>
      </c>
      <c r="I766" s="7">
        <v>2</v>
      </c>
      <c r="J766" s="7">
        <v>12</v>
      </c>
      <c r="K766" s="7" t="s">
        <v>1303</v>
      </c>
    </row>
    <row r="767" spans="1:11" x14ac:dyDescent="0.25">
      <c r="A767" s="7">
        <v>766</v>
      </c>
      <c r="B767" s="7" t="s">
        <v>1190</v>
      </c>
      <c r="C767" s="7" t="s">
        <v>1259</v>
      </c>
      <c r="D767" s="7" t="s">
        <v>1260</v>
      </c>
      <c r="E767" s="7" t="s">
        <v>929</v>
      </c>
      <c r="F767" s="7" t="s">
        <v>145</v>
      </c>
      <c r="G767" s="7" t="s">
        <v>705</v>
      </c>
      <c r="H767" s="7">
        <v>12</v>
      </c>
      <c r="I767" s="7">
        <v>3</v>
      </c>
      <c r="J767" s="7">
        <v>36</v>
      </c>
      <c r="K767" s="7" t="s">
        <v>1304</v>
      </c>
    </row>
    <row r="768" spans="1:11" x14ac:dyDescent="0.25">
      <c r="A768" s="7">
        <v>767</v>
      </c>
      <c r="B768" s="7" t="s">
        <v>1190</v>
      </c>
      <c r="C768" s="7" t="s">
        <v>1259</v>
      </c>
      <c r="D768" s="7" t="s">
        <v>1260</v>
      </c>
      <c r="E768" s="7" t="s">
        <v>929</v>
      </c>
      <c r="F768" s="7" t="s">
        <v>145</v>
      </c>
      <c r="G768" s="7" t="s">
        <v>261</v>
      </c>
      <c r="H768" s="7">
        <v>3</v>
      </c>
      <c r="I768" s="7">
        <v>2</v>
      </c>
      <c r="J768" s="7">
        <v>6</v>
      </c>
      <c r="K768" s="7" t="s">
        <v>1305</v>
      </c>
    </row>
    <row r="769" spans="1:11" x14ac:dyDescent="0.25">
      <c r="A769" s="7">
        <v>768</v>
      </c>
      <c r="B769" s="7" t="s">
        <v>1190</v>
      </c>
      <c r="C769" s="7" t="s">
        <v>1259</v>
      </c>
      <c r="D769" s="7" t="s">
        <v>1260</v>
      </c>
      <c r="E769" s="7" t="s">
        <v>929</v>
      </c>
      <c r="F769" s="7" t="s">
        <v>145</v>
      </c>
      <c r="G769" s="7" t="s">
        <v>293</v>
      </c>
      <c r="H769" s="7">
        <v>12</v>
      </c>
      <c r="I769" s="7">
        <v>2</v>
      </c>
      <c r="J769" s="7">
        <v>24</v>
      </c>
      <c r="K769" s="7" t="s">
        <v>1306</v>
      </c>
    </row>
    <row r="770" spans="1:11" x14ac:dyDescent="0.25">
      <c r="A770" s="7">
        <v>769</v>
      </c>
      <c r="B770" s="7" t="s">
        <v>1190</v>
      </c>
      <c r="C770" s="7" t="s">
        <v>1259</v>
      </c>
      <c r="D770" s="7" t="s">
        <v>1260</v>
      </c>
      <c r="E770" s="7" t="s">
        <v>929</v>
      </c>
      <c r="F770" s="7" t="s">
        <v>145</v>
      </c>
      <c r="G770" s="7" t="s">
        <v>295</v>
      </c>
      <c r="H770" s="7">
        <v>2</v>
      </c>
      <c r="I770" s="7">
        <v>2</v>
      </c>
      <c r="J770" s="7">
        <v>4</v>
      </c>
      <c r="K770" s="7" t="s">
        <v>1307</v>
      </c>
    </row>
    <row r="771" spans="1:11" x14ac:dyDescent="0.25">
      <c r="A771" s="7">
        <v>770</v>
      </c>
      <c r="B771" s="7" t="s">
        <v>1190</v>
      </c>
      <c r="C771" s="7" t="s">
        <v>1259</v>
      </c>
      <c r="D771" s="7" t="s">
        <v>1260</v>
      </c>
      <c r="E771" s="7" t="s">
        <v>929</v>
      </c>
      <c r="F771" s="7" t="s">
        <v>145</v>
      </c>
      <c r="G771" s="7" t="s">
        <v>311</v>
      </c>
      <c r="H771" s="7">
        <v>8</v>
      </c>
      <c r="I771" s="7">
        <v>2</v>
      </c>
      <c r="J771" s="7">
        <v>16</v>
      </c>
      <c r="K771" s="7" t="s">
        <v>1308</v>
      </c>
    </row>
    <row r="772" spans="1:11" x14ac:dyDescent="0.25">
      <c r="A772" s="7">
        <v>771</v>
      </c>
      <c r="B772" s="7" t="s">
        <v>1190</v>
      </c>
      <c r="C772" s="7" t="s">
        <v>1259</v>
      </c>
      <c r="D772" s="7" t="s">
        <v>1260</v>
      </c>
      <c r="E772" s="7" t="s">
        <v>929</v>
      </c>
      <c r="F772" s="7" t="s">
        <v>145</v>
      </c>
      <c r="G772" s="7" t="s">
        <v>717</v>
      </c>
      <c r="H772" s="7">
        <v>18</v>
      </c>
      <c r="I772" s="7">
        <v>2</v>
      </c>
      <c r="J772" s="7">
        <v>36</v>
      </c>
      <c r="K772" s="7" t="s">
        <v>1309</v>
      </c>
    </row>
    <row r="773" spans="1:11" x14ac:dyDescent="0.25">
      <c r="A773" s="7">
        <v>772</v>
      </c>
      <c r="B773" s="7" t="s">
        <v>1190</v>
      </c>
      <c r="C773" s="7" t="s">
        <v>1259</v>
      </c>
      <c r="D773" s="7" t="s">
        <v>1260</v>
      </c>
      <c r="E773" s="7" t="s">
        <v>1227</v>
      </c>
      <c r="F773" s="7" t="s">
        <v>145</v>
      </c>
      <c r="G773" s="7" t="s">
        <v>263</v>
      </c>
      <c r="H773" s="7">
        <v>4</v>
      </c>
      <c r="I773" s="7">
        <v>2</v>
      </c>
      <c r="J773" s="7">
        <v>8</v>
      </c>
      <c r="K773" s="7" t="s">
        <v>1310</v>
      </c>
    </row>
    <row r="774" spans="1:11" x14ac:dyDescent="0.25">
      <c r="A774" s="7">
        <v>773</v>
      </c>
      <c r="B774" s="7" t="s">
        <v>1190</v>
      </c>
      <c r="C774" s="7" t="s">
        <v>1259</v>
      </c>
      <c r="D774" s="7" t="s">
        <v>1260</v>
      </c>
      <c r="E774" s="7" t="s">
        <v>1227</v>
      </c>
      <c r="F774" s="7" t="s">
        <v>145</v>
      </c>
      <c r="G774" s="7" t="s">
        <v>265</v>
      </c>
      <c r="H774" s="7">
        <v>6</v>
      </c>
      <c r="I774" s="7">
        <v>2</v>
      </c>
      <c r="J774" s="7">
        <v>12</v>
      </c>
      <c r="K774" s="7" t="s">
        <v>1311</v>
      </c>
    </row>
    <row r="775" spans="1:11" x14ac:dyDescent="0.25">
      <c r="A775" s="7">
        <v>774</v>
      </c>
      <c r="B775" s="7" t="s">
        <v>1190</v>
      </c>
      <c r="C775" s="7" t="s">
        <v>1259</v>
      </c>
      <c r="D775" s="7" t="s">
        <v>1260</v>
      </c>
      <c r="E775" s="7" t="s">
        <v>1227</v>
      </c>
      <c r="F775" s="7" t="s">
        <v>145</v>
      </c>
      <c r="G775" s="7" t="s">
        <v>575</v>
      </c>
      <c r="H775" s="7">
        <v>4</v>
      </c>
      <c r="I775" s="7">
        <v>2</v>
      </c>
      <c r="J775" s="7">
        <v>8</v>
      </c>
      <c r="K775" s="7" t="s">
        <v>1312</v>
      </c>
    </row>
    <row r="776" spans="1:11" x14ac:dyDescent="0.25">
      <c r="A776" s="7">
        <v>775</v>
      </c>
      <c r="B776" s="7" t="s">
        <v>1190</v>
      </c>
      <c r="C776" s="7" t="s">
        <v>1259</v>
      </c>
      <c r="D776" s="7" t="s">
        <v>1260</v>
      </c>
      <c r="E776" s="7" t="s">
        <v>1227</v>
      </c>
      <c r="F776" s="7" t="s">
        <v>145</v>
      </c>
      <c r="G776" s="7" t="s">
        <v>577</v>
      </c>
      <c r="H776" s="7">
        <v>4</v>
      </c>
      <c r="I776" s="7">
        <v>2</v>
      </c>
      <c r="J776" s="7">
        <v>8</v>
      </c>
      <c r="K776" s="7" t="s">
        <v>1313</v>
      </c>
    </row>
    <row r="777" spans="1:11" x14ac:dyDescent="0.25">
      <c r="A777" s="7">
        <v>776</v>
      </c>
      <c r="B777" s="7" t="s">
        <v>1190</v>
      </c>
      <c r="C777" s="7" t="s">
        <v>1259</v>
      </c>
      <c r="D777" s="7" t="s">
        <v>1260</v>
      </c>
      <c r="E777" s="7" t="s">
        <v>1227</v>
      </c>
      <c r="F777" s="7" t="s">
        <v>145</v>
      </c>
      <c r="G777" s="7" t="s">
        <v>275</v>
      </c>
      <c r="H777" s="7">
        <v>4</v>
      </c>
      <c r="I777" s="7">
        <v>2</v>
      </c>
      <c r="J777" s="7">
        <v>8</v>
      </c>
      <c r="K777" s="7" t="s">
        <v>1314</v>
      </c>
    </row>
    <row r="778" spans="1:11" x14ac:dyDescent="0.25">
      <c r="A778" s="7">
        <v>777</v>
      </c>
      <c r="B778" s="7" t="s">
        <v>1190</v>
      </c>
      <c r="C778" s="7" t="s">
        <v>1259</v>
      </c>
      <c r="D778" s="7" t="s">
        <v>1260</v>
      </c>
      <c r="E778" s="7" t="s">
        <v>1227</v>
      </c>
      <c r="F778" s="7" t="s">
        <v>145</v>
      </c>
      <c r="G778" s="7" t="s">
        <v>279</v>
      </c>
      <c r="H778" s="7">
        <v>6</v>
      </c>
      <c r="I778" s="7">
        <v>2</v>
      </c>
      <c r="J778" s="7">
        <v>12</v>
      </c>
      <c r="K778" s="7" t="s">
        <v>1315</v>
      </c>
    </row>
    <row r="779" spans="1:11" x14ac:dyDescent="0.25">
      <c r="A779" s="7">
        <v>778</v>
      </c>
      <c r="B779" s="7" t="s">
        <v>1190</v>
      </c>
      <c r="C779" s="7" t="s">
        <v>1259</v>
      </c>
      <c r="D779" s="7" t="s">
        <v>1260</v>
      </c>
      <c r="E779" s="7" t="s">
        <v>1227</v>
      </c>
      <c r="F779" s="7" t="s">
        <v>145</v>
      </c>
      <c r="G779" s="7" t="s">
        <v>728</v>
      </c>
      <c r="H779" s="7">
        <v>2</v>
      </c>
      <c r="I779" s="7">
        <v>1</v>
      </c>
      <c r="J779" s="7">
        <v>2</v>
      </c>
      <c r="K779" s="7" t="s">
        <v>1316</v>
      </c>
    </row>
    <row r="780" spans="1:11" x14ac:dyDescent="0.25">
      <c r="A780" s="7">
        <v>779</v>
      </c>
      <c r="B780" s="7" t="s">
        <v>1190</v>
      </c>
      <c r="C780" s="7" t="s">
        <v>1259</v>
      </c>
      <c r="D780" s="7" t="s">
        <v>1260</v>
      </c>
      <c r="E780" s="7" t="s">
        <v>1227</v>
      </c>
      <c r="F780" s="7" t="s">
        <v>145</v>
      </c>
      <c r="G780" s="7" t="s">
        <v>730</v>
      </c>
      <c r="H780" s="7">
        <v>6</v>
      </c>
      <c r="I780" s="7">
        <v>2</v>
      </c>
      <c r="J780" s="7">
        <v>12</v>
      </c>
      <c r="K780" s="7" t="s">
        <v>1317</v>
      </c>
    </row>
    <row r="781" spans="1:11" x14ac:dyDescent="0.25">
      <c r="A781" s="7">
        <v>780</v>
      </c>
      <c r="B781" s="7" t="s">
        <v>1190</v>
      </c>
      <c r="C781" s="7" t="s">
        <v>1259</v>
      </c>
      <c r="D781" s="7" t="s">
        <v>1260</v>
      </c>
      <c r="E781" s="7" t="s">
        <v>1227</v>
      </c>
      <c r="F781" s="7" t="s">
        <v>145</v>
      </c>
      <c r="G781" s="7" t="s">
        <v>732</v>
      </c>
      <c r="H781" s="7">
        <v>2</v>
      </c>
      <c r="I781" s="7">
        <v>1</v>
      </c>
      <c r="J781" s="7">
        <v>2</v>
      </c>
      <c r="K781" s="7" t="s">
        <v>1318</v>
      </c>
    </row>
    <row r="782" spans="1:11" x14ac:dyDescent="0.25">
      <c r="A782" s="7">
        <v>781</v>
      </c>
      <c r="B782" s="7" t="s">
        <v>1190</v>
      </c>
      <c r="C782" s="7" t="s">
        <v>1259</v>
      </c>
      <c r="D782" s="7" t="s">
        <v>1260</v>
      </c>
      <c r="E782" s="7" t="s">
        <v>1227</v>
      </c>
      <c r="F782" s="7" t="s">
        <v>145</v>
      </c>
      <c r="G782" s="7" t="s">
        <v>734</v>
      </c>
      <c r="H782" s="7">
        <v>6</v>
      </c>
      <c r="I782" s="7">
        <v>2</v>
      </c>
      <c r="J782" s="7">
        <v>12</v>
      </c>
      <c r="K782" s="7" t="s">
        <v>1319</v>
      </c>
    </row>
    <row r="783" spans="1:11" x14ac:dyDescent="0.25">
      <c r="A783" s="7">
        <v>782</v>
      </c>
      <c r="B783" s="7" t="s">
        <v>1190</v>
      </c>
      <c r="C783" s="7" t="s">
        <v>1259</v>
      </c>
      <c r="D783" s="7" t="s">
        <v>1260</v>
      </c>
      <c r="E783" s="7" t="s">
        <v>1227</v>
      </c>
      <c r="F783" s="7" t="s">
        <v>145</v>
      </c>
      <c r="G783" s="7" t="s">
        <v>736</v>
      </c>
      <c r="H783" s="7">
        <v>4</v>
      </c>
      <c r="I783" s="7">
        <v>2</v>
      </c>
      <c r="J783" s="7">
        <v>8</v>
      </c>
      <c r="K783" s="7" t="s">
        <v>1320</v>
      </c>
    </row>
    <row r="784" spans="1:11" x14ac:dyDescent="0.25">
      <c r="A784" s="7">
        <v>783</v>
      </c>
      <c r="B784" s="7" t="s">
        <v>1190</v>
      </c>
      <c r="C784" s="7" t="s">
        <v>1259</v>
      </c>
      <c r="D784" s="7" t="s">
        <v>1260</v>
      </c>
      <c r="E784" s="7" t="s">
        <v>1227</v>
      </c>
      <c r="F784" s="7" t="s">
        <v>145</v>
      </c>
      <c r="G784" s="7" t="s">
        <v>291</v>
      </c>
      <c r="H784" s="7">
        <v>10</v>
      </c>
      <c r="I784" s="7">
        <v>2</v>
      </c>
      <c r="J784" s="7">
        <v>20</v>
      </c>
      <c r="K784" s="7" t="s">
        <v>1321</v>
      </c>
    </row>
    <row r="785" spans="1:11" x14ac:dyDescent="0.25">
      <c r="A785" s="7">
        <v>784</v>
      </c>
      <c r="B785" s="7" t="s">
        <v>1190</v>
      </c>
      <c r="C785" s="7" t="s">
        <v>1259</v>
      </c>
      <c r="D785" s="7" t="s">
        <v>1260</v>
      </c>
      <c r="E785" s="7" t="s">
        <v>1227</v>
      </c>
      <c r="F785" s="7" t="s">
        <v>145</v>
      </c>
      <c r="G785" s="7" t="s">
        <v>297</v>
      </c>
      <c r="H785" s="7">
        <v>12</v>
      </c>
      <c r="I785" s="7">
        <v>2</v>
      </c>
      <c r="J785" s="7">
        <v>24</v>
      </c>
      <c r="K785" s="7" t="s">
        <v>1322</v>
      </c>
    </row>
    <row r="786" spans="1:11" x14ac:dyDescent="0.25">
      <c r="A786" s="7">
        <v>785</v>
      </c>
      <c r="B786" s="7" t="s">
        <v>1190</v>
      </c>
      <c r="C786" s="7" t="s">
        <v>1259</v>
      </c>
      <c r="D786" s="7" t="s">
        <v>1260</v>
      </c>
      <c r="E786" s="7" t="s">
        <v>1227</v>
      </c>
      <c r="F786" s="7" t="s">
        <v>145</v>
      </c>
      <c r="G786" s="7" t="s">
        <v>299</v>
      </c>
      <c r="H786" s="7">
        <v>10</v>
      </c>
      <c r="I786" s="7">
        <v>2</v>
      </c>
      <c r="J786" s="7">
        <v>20</v>
      </c>
      <c r="K786" s="7" t="s">
        <v>1323</v>
      </c>
    </row>
    <row r="787" spans="1:11" x14ac:dyDescent="0.25">
      <c r="A787" s="7">
        <v>786</v>
      </c>
      <c r="B787" s="7" t="s">
        <v>1190</v>
      </c>
      <c r="C787" s="7" t="s">
        <v>1259</v>
      </c>
      <c r="D787" s="7" t="s">
        <v>1260</v>
      </c>
      <c r="E787" s="7" t="s">
        <v>1227</v>
      </c>
      <c r="F787" s="7" t="s">
        <v>145</v>
      </c>
      <c r="G787" s="7" t="s">
        <v>600</v>
      </c>
      <c r="H787" s="7">
        <v>4</v>
      </c>
      <c r="I787" s="7">
        <v>2</v>
      </c>
      <c r="J787" s="7">
        <v>8</v>
      </c>
      <c r="K787" s="7" t="s">
        <v>1324</v>
      </c>
    </row>
    <row r="788" spans="1:11" x14ac:dyDescent="0.25">
      <c r="A788" s="7">
        <v>787</v>
      </c>
      <c r="B788" s="7" t="s">
        <v>1190</v>
      </c>
      <c r="C788" s="7" t="s">
        <v>1259</v>
      </c>
      <c r="D788" s="7" t="s">
        <v>1260</v>
      </c>
      <c r="E788" s="7" t="s">
        <v>1227</v>
      </c>
      <c r="F788" s="7" t="s">
        <v>145</v>
      </c>
      <c r="G788" s="7" t="s">
        <v>303</v>
      </c>
      <c r="H788" s="7">
        <v>2</v>
      </c>
      <c r="I788" s="7">
        <v>2</v>
      </c>
      <c r="J788" s="7">
        <v>4</v>
      </c>
      <c r="K788" s="7" t="s">
        <v>1325</v>
      </c>
    </row>
    <row r="789" spans="1:11" x14ac:dyDescent="0.25">
      <c r="A789" s="7">
        <v>788</v>
      </c>
      <c r="B789" s="7" t="s">
        <v>1190</v>
      </c>
      <c r="C789" s="7" t="s">
        <v>1259</v>
      </c>
      <c r="D789" s="7" t="s">
        <v>1260</v>
      </c>
      <c r="E789" s="7" t="s">
        <v>1227</v>
      </c>
      <c r="F789" s="7" t="s">
        <v>145</v>
      </c>
      <c r="G789" s="7" t="s">
        <v>309</v>
      </c>
      <c r="H789" s="7">
        <v>1</v>
      </c>
      <c r="I789" s="7">
        <v>2</v>
      </c>
      <c r="J789" s="7">
        <v>2</v>
      </c>
      <c r="K789" s="7" t="s">
        <v>1326</v>
      </c>
    </row>
    <row r="790" spans="1:11" x14ac:dyDescent="0.25">
      <c r="A790" s="7">
        <v>789</v>
      </c>
      <c r="B790" s="7" t="s">
        <v>1190</v>
      </c>
      <c r="C790" s="7" t="s">
        <v>1259</v>
      </c>
      <c r="D790" s="7" t="s">
        <v>1260</v>
      </c>
      <c r="E790" s="7" t="s">
        <v>1227</v>
      </c>
      <c r="F790" s="7" t="s">
        <v>145</v>
      </c>
      <c r="G790" s="7" t="s">
        <v>313</v>
      </c>
      <c r="H790" s="7">
        <v>4</v>
      </c>
      <c r="I790" s="7">
        <v>2</v>
      </c>
      <c r="J790" s="7">
        <v>8</v>
      </c>
      <c r="K790" s="7" t="s">
        <v>1327</v>
      </c>
    </row>
    <row r="791" spans="1:11" x14ac:dyDescent="0.25">
      <c r="A791" s="7">
        <v>790</v>
      </c>
      <c r="B791" s="7" t="s">
        <v>1190</v>
      </c>
      <c r="C791" s="7" t="s">
        <v>1259</v>
      </c>
      <c r="D791" s="7" t="s">
        <v>1260</v>
      </c>
      <c r="E791" s="7" t="s">
        <v>1227</v>
      </c>
      <c r="F791" s="7" t="s">
        <v>145</v>
      </c>
      <c r="G791" s="7" t="s">
        <v>315</v>
      </c>
      <c r="H791" s="7">
        <v>3</v>
      </c>
      <c r="I791" s="7">
        <v>1</v>
      </c>
      <c r="J791" s="7">
        <v>3</v>
      </c>
      <c r="K791" s="7" t="s">
        <v>1328</v>
      </c>
    </row>
    <row r="792" spans="1:11" x14ac:dyDescent="0.25">
      <c r="A792" s="7">
        <v>791</v>
      </c>
      <c r="B792" s="7" t="s">
        <v>1190</v>
      </c>
      <c r="C792" s="7" t="s">
        <v>1259</v>
      </c>
      <c r="D792" s="7" t="s">
        <v>1260</v>
      </c>
      <c r="E792" s="7" t="s">
        <v>1227</v>
      </c>
      <c r="F792" s="7" t="s">
        <v>145</v>
      </c>
      <c r="G792" s="7" t="s">
        <v>608</v>
      </c>
      <c r="H792" s="7">
        <v>3</v>
      </c>
      <c r="I792" s="7">
        <v>1</v>
      </c>
      <c r="J792" s="7">
        <v>3</v>
      </c>
      <c r="K792" s="7" t="s">
        <v>1329</v>
      </c>
    </row>
    <row r="793" spans="1:11" x14ac:dyDescent="0.25">
      <c r="A793" s="7">
        <v>792</v>
      </c>
      <c r="B793" s="7" t="s">
        <v>1190</v>
      </c>
      <c r="C793" s="7" t="s">
        <v>1259</v>
      </c>
      <c r="D793" s="7" t="s">
        <v>1260</v>
      </c>
      <c r="E793" s="7" t="s">
        <v>1227</v>
      </c>
      <c r="F793" s="7" t="s">
        <v>145</v>
      </c>
      <c r="G793" s="7" t="s">
        <v>610</v>
      </c>
      <c r="H793" s="7">
        <v>2</v>
      </c>
      <c r="I793" s="7">
        <v>1</v>
      </c>
      <c r="J793" s="7">
        <v>2</v>
      </c>
      <c r="K793" s="7" t="s">
        <v>1330</v>
      </c>
    </row>
    <row r="794" spans="1:11" x14ac:dyDescent="0.25">
      <c r="A794" s="7">
        <v>793</v>
      </c>
      <c r="B794" s="7" t="s">
        <v>1190</v>
      </c>
      <c r="C794" s="7" t="s">
        <v>1259</v>
      </c>
      <c r="D794" s="7" t="s">
        <v>1260</v>
      </c>
      <c r="E794" s="7" t="s">
        <v>1251</v>
      </c>
      <c r="F794" s="7" t="s">
        <v>145</v>
      </c>
      <c r="G794" s="7" t="s">
        <v>613</v>
      </c>
      <c r="H794" s="7">
        <v>6</v>
      </c>
      <c r="I794" s="7">
        <v>2</v>
      </c>
      <c r="J794" s="7">
        <v>12</v>
      </c>
      <c r="K794" s="7" t="s">
        <v>1331</v>
      </c>
    </row>
    <row r="795" spans="1:11" x14ac:dyDescent="0.25">
      <c r="A795" s="7">
        <v>794</v>
      </c>
      <c r="B795" s="7" t="s">
        <v>1190</v>
      </c>
      <c r="C795" s="7" t="s">
        <v>1259</v>
      </c>
      <c r="D795" s="7" t="s">
        <v>1260</v>
      </c>
      <c r="E795" s="7" t="s">
        <v>1251</v>
      </c>
      <c r="F795" s="7" t="s">
        <v>145</v>
      </c>
      <c r="G795" s="7" t="s">
        <v>326</v>
      </c>
      <c r="H795" s="7">
        <v>1</v>
      </c>
      <c r="I795" s="7">
        <v>1</v>
      </c>
      <c r="J795" s="7">
        <v>1</v>
      </c>
      <c r="K795" s="7" t="s">
        <v>1332</v>
      </c>
    </row>
    <row r="796" spans="1:11" x14ac:dyDescent="0.25">
      <c r="A796" s="7">
        <v>795</v>
      </c>
      <c r="B796" s="7" t="s">
        <v>1190</v>
      </c>
      <c r="C796" s="7" t="s">
        <v>1259</v>
      </c>
      <c r="D796" s="7" t="s">
        <v>1260</v>
      </c>
      <c r="E796" s="7" t="s">
        <v>1251</v>
      </c>
      <c r="F796" s="7" t="s">
        <v>145</v>
      </c>
      <c r="G796" s="7" t="s">
        <v>328</v>
      </c>
      <c r="H796" s="7">
        <v>0.5</v>
      </c>
      <c r="I796" s="7">
        <v>1</v>
      </c>
      <c r="J796" s="7">
        <v>0.5</v>
      </c>
      <c r="K796" s="7" t="s">
        <v>1333</v>
      </c>
    </row>
    <row r="797" spans="1:11" x14ac:dyDescent="0.25">
      <c r="A797" s="7">
        <v>796</v>
      </c>
      <c r="B797" s="7" t="s">
        <v>1190</v>
      </c>
      <c r="C797" s="7" t="s">
        <v>1259</v>
      </c>
      <c r="D797" s="7" t="s">
        <v>1260</v>
      </c>
      <c r="E797" s="7" t="s">
        <v>1251</v>
      </c>
      <c r="F797" s="7" t="s">
        <v>145</v>
      </c>
      <c r="G797" s="7" t="s">
        <v>617</v>
      </c>
      <c r="H797" s="7">
        <v>1</v>
      </c>
      <c r="I797" s="7">
        <v>1</v>
      </c>
      <c r="J797" s="7">
        <v>1</v>
      </c>
      <c r="K797" s="7" t="s">
        <v>1334</v>
      </c>
    </row>
    <row r="798" spans="1:11" x14ac:dyDescent="0.25">
      <c r="A798" s="7">
        <v>797</v>
      </c>
      <c r="B798" s="7" t="s">
        <v>1190</v>
      </c>
      <c r="C798" s="7" t="s">
        <v>1259</v>
      </c>
      <c r="D798" s="7" t="s">
        <v>1260</v>
      </c>
      <c r="E798" s="7" t="s">
        <v>1251</v>
      </c>
      <c r="F798" s="7" t="s">
        <v>145</v>
      </c>
      <c r="G798" s="7" t="s">
        <v>332</v>
      </c>
      <c r="H798" s="7">
        <v>2</v>
      </c>
      <c r="I798" s="7">
        <v>2</v>
      </c>
      <c r="J798" s="7">
        <v>4</v>
      </c>
      <c r="K798" s="7" t="s">
        <v>1335</v>
      </c>
    </row>
    <row r="799" spans="1:11" x14ac:dyDescent="0.25">
      <c r="A799" s="7">
        <v>798</v>
      </c>
      <c r="B799" s="7" t="s">
        <v>1190</v>
      </c>
      <c r="C799" s="7" t="s">
        <v>1336</v>
      </c>
      <c r="D799" s="7" t="s">
        <v>1337</v>
      </c>
      <c r="E799" s="7" t="s">
        <v>884</v>
      </c>
      <c r="F799" s="7" t="s">
        <v>49</v>
      </c>
      <c r="G799" s="7" t="s">
        <v>661</v>
      </c>
      <c r="H799" s="7">
        <v>1</v>
      </c>
      <c r="I799" s="7">
        <v>1</v>
      </c>
      <c r="J799" s="7">
        <v>1</v>
      </c>
      <c r="K799" s="7" t="s">
        <v>1338</v>
      </c>
    </row>
    <row r="800" spans="1:11" x14ac:dyDescent="0.25">
      <c r="A800" s="7">
        <v>799</v>
      </c>
      <c r="B800" s="7" t="s">
        <v>1190</v>
      </c>
      <c r="C800" s="7" t="s">
        <v>1336</v>
      </c>
      <c r="D800" s="7" t="s">
        <v>1337</v>
      </c>
      <c r="E800" s="7" t="s">
        <v>884</v>
      </c>
      <c r="F800" s="7" t="s">
        <v>49</v>
      </c>
      <c r="G800" s="7" t="s">
        <v>663</v>
      </c>
      <c r="H800" s="7">
        <v>1</v>
      </c>
      <c r="I800" s="7">
        <v>1</v>
      </c>
      <c r="J800" s="7">
        <v>1</v>
      </c>
      <c r="K800" s="7" t="s">
        <v>1339</v>
      </c>
    </row>
    <row r="801" spans="1:11" x14ac:dyDescent="0.25">
      <c r="A801" s="7">
        <v>800</v>
      </c>
      <c r="B801" s="7" t="s">
        <v>1190</v>
      </c>
      <c r="C801" s="7" t="s">
        <v>1336</v>
      </c>
      <c r="D801" s="7" t="s">
        <v>1337</v>
      </c>
      <c r="E801" s="7" t="s">
        <v>1340</v>
      </c>
      <c r="F801" s="7" t="s">
        <v>145</v>
      </c>
      <c r="G801" s="7" t="s">
        <v>1341</v>
      </c>
      <c r="H801" s="7" t="s">
        <v>1342</v>
      </c>
      <c r="I801" s="7">
        <v>1</v>
      </c>
      <c r="J801" s="7" t="s">
        <v>1342</v>
      </c>
      <c r="K801" s="7" t="s">
        <v>1343</v>
      </c>
    </row>
    <row r="802" spans="1:11" x14ac:dyDescent="0.25">
      <c r="A802" s="7">
        <v>801</v>
      </c>
      <c r="B802" s="7" t="s">
        <v>1190</v>
      </c>
      <c r="C802" s="7" t="s">
        <v>1336</v>
      </c>
      <c r="D802" s="7" t="s">
        <v>1337</v>
      </c>
      <c r="E802" s="7" t="s">
        <v>1340</v>
      </c>
      <c r="F802" s="7" t="s">
        <v>145</v>
      </c>
      <c r="G802" s="7" t="s">
        <v>1344</v>
      </c>
      <c r="H802" s="7">
        <v>2</v>
      </c>
      <c r="I802" s="7">
        <v>1</v>
      </c>
      <c r="J802" s="7">
        <v>2</v>
      </c>
      <c r="K802" s="7" t="s">
        <v>1345</v>
      </c>
    </row>
    <row r="803" spans="1:11" x14ac:dyDescent="0.25">
      <c r="A803" s="7">
        <v>802</v>
      </c>
      <c r="B803" s="7" t="s">
        <v>1190</v>
      </c>
      <c r="C803" s="7" t="s">
        <v>1336</v>
      </c>
      <c r="D803" s="7" t="s">
        <v>1337</v>
      </c>
      <c r="E803" s="7" t="s">
        <v>1340</v>
      </c>
      <c r="F803" s="7" t="s">
        <v>145</v>
      </c>
      <c r="G803" s="7" t="s">
        <v>1346</v>
      </c>
      <c r="H803" s="7" t="s">
        <v>1342</v>
      </c>
      <c r="I803" s="7">
        <v>1</v>
      </c>
      <c r="J803" s="7" t="s">
        <v>1342</v>
      </c>
      <c r="K803" s="7" t="s">
        <v>1347</v>
      </c>
    </row>
    <row r="804" spans="1:11" x14ac:dyDescent="0.25">
      <c r="A804" s="7">
        <v>803</v>
      </c>
      <c r="B804" s="7" t="s">
        <v>1190</v>
      </c>
      <c r="C804" s="7" t="s">
        <v>1336</v>
      </c>
      <c r="D804" s="7" t="s">
        <v>1337</v>
      </c>
      <c r="E804" s="7" t="s">
        <v>1340</v>
      </c>
      <c r="F804" s="7" t="s">
        <v>145</v>
      </c>
      <c r="G804" s="7" t="s">
        <v>1348</v>
      </c>
      <c r="H804" s="7" t="s">
        <v>1349</v>
      </c>
      <c r="I804" s="7">
        <v>2</v>
      </c>
      <c r="J804" s="7" t="s">
        <v>1350</v>
      </c>
      <c r="K804" s="7" t="s">
        <v>1351</v>
      </c>
    </row>
    <row r="805" spans="1:11" x14ac:dyDescent="0.25">
      <c r="A805" s="7">
        <v>804</v>
      </c>
      <c r="B805" s="7" t="s">
        <v>1190</v>
      </c>
      <c r="C805" s="7" t="s">
        <v>1336</v>
      </c>
      <c r="D805" s="7" t="s">
        <v>1337</v>
      </c>
      <c r="E805" s="7" t="s">
        <v>1340</v>
      </c>
      <c r="F805" s="7" t="s">
        <v>145</v>
      </c>
      <c r="G805" s="7" t="s">
        <v>1352</v>
      </c>
      <c r="H805" s="7">
        <v>3</v>
      </c>
      <c r="I805" s="7">
        <v>1</v>
      </c>
      <c r="J805" s="7">
        <v>3</v>
      </c>
      <c r="K805" s="7" t="s">
        <v>1353</v>
      </c>
    </row>
    <row r="806" spans="1:11" x14ac:dyDescent="0.25">
      <c r="A806" s="7">
        <v>805</v>
      </c>
      <c r="B806" s="7" t="s">
        <v>1190</v>
      </c>
      <c r="C806" s="7" t="s">
        <v>1336</v>
      </c>
      <c r="D806" s="7" t="s">
        <v>1337</v>
      </c>
      <c r="E806" s="7" t="s">
        <v>1340</v>
      </c>
      <c r="F806" s="7" t="s">
        <v>145</v>
      </c>
      <c r="G806" s="7" t="s">
        <v>1354</v>
      </c>
      <c r="H806" s="7" t="s">
        <v>1350</v>
      </c>
      <c r="I806" s="7">
        <v>1</v>
      </c>
      <c r="J806" s="7" t="s">
        <v>1350</v>
      </c>
      <c r="K806" s="7" t="s">
        <v>1355</v>
      </c>
    </row>
    <row r="807" spans="1:11" x14ac:dyDescent="0.25">
      <c r="A807" s="7">
        <v>806</v>
      </c>
      <c r="B807" s="7" t="s">
        <v>1190</v>
      </c>
      <c r="C807" s="7" t="s">
        <v>1336</v>
      </c>
      <c r="D807" s="7" t="s">
        <v>1337</v>
      </c>
      <c r="E807" s="7" t="s">
        <v>1340</v>
      </c>
      <c r="F807" s="7" t="s">
        <v>145</v>
      </c>
      <c r="G807" s="7" t="s">
        <v>1356</v>
      </c>
      <c r="H807" s="7" t="s">
        <v>1350</v>
      </c>
      <c r="I807" s="7">
        <v>2</v>
      </c>
      <c r="J807" s="7" t="s">
        <v>1357</v>
      </c>
      <c r="K807" s="7" t="s">
        <v>1358</v>
      </c>
    </row>
    <row r="808" spans="1:11" x14ac:dyDescent="0.25">
      <c r="A808" s="7">
        <v>807</v>
      </c>
      <c r="B808" s="7" t="s">
        <v>1190</v>
      </c>
      <c r="C808" s="7" t="s">
        <v>1336</v>
      </c>
      <c r="D808" s="7" t="s">
        <v>1337</v>
      </c>
      <c r="E808" s="7" t="s">
        <v>1340</v>
      </c>
      <c r="F808" s="7" t="s">
        <v>145</v>
      </c>
      <c r="G808" s="7" t="s">
        <v>1359</v>
      </c>
      <c r="H808" s="7">
        <v>5</v>
      </c>
      <c r="I808" s="7">
        <v>1</v>
      </c>
      <c r="J808" s="7">
        <v>5</v>
      </c>
      <c r="K808" s="7" t="s">
        <v>1360</v>
      </c>
    </row>
    <row r="809" spans="1:11" x14ac:dyDescent="0.25">
      <c r="A809" s="7">
        <v>808</v>
      </c>
      <c r="B809" s="7" t="s">
        <v>1190</v>
      </c>
      <c r="C809" s="7" t="s">
        <v>1336</v>
      </c>
      <c r="D809" s="7" t="s">
        <v>1337</v>
      </c>
      <c r="E809" s="7" t="s">
        <v>1340</v>
      </c>
      <c r="F809" s="7" t="s">
        <v>145</v>
      </c>
      <c r="G809" s="7" t="s">
        <v>1361</v>
      </c>
      <c r="H809" s="7">
        <v>1</v>
      </c>
      <c r="I809" s="7">
        <v>1</v>
      </c>
      <c r="J809" s="7">
        <v>1</v>
      </c>
      <c r="K809" s="7" t="s">
        <v>1362</v>
      </c>
    </row>
    <row r="810" spans="1:11" x14ac:dyDescent="0.25">
      <c r="A810" s="7">
        <v>809</v>
      </c>
      <c r="B810" s="7" t="s">
        <v>1190</v>
      </c>
      <c r="C810" s="7" t="s">
        <v>1336</v>
      </c>
      <c r="D810" s="7" t="s">
        <v>1337</v>
      </c>
      <c r="E810" s="7" t="s">
        <v>1340</v>
      </c>
      <c r="F810" s="7" t="s">
        <v>145</v>
      </c>
      <c r="G810" s="7" t="s">
        <v>1363</v>
      </c>
      <c r="H810" s="7">
        <v>0.5</v>
      </c>
      <c r="I810" s="7">
        <v>1</v>
      </c>
      <c r="J810" s="7">
        <v>0.5</v>
      </c>
      <c r="K810" s="7" t="s">
        <v>1364</v>
      </c>
    </row>
    <row r="811" spans="1:11" x14ac:dyDescent="0.25">
      <c r="A811" s="7">
        <v>810</v>
      </c>
      <c r="B811" s="7" t="s">
        <v>1190</v>
      </c>
      <c r="C811" s="7" t="s">
        <v>1336</v>
      </c>
      <c r="D811" s="7" t="s">
        <v>1337</v>
      </c>
      <c r="E811" s="7" t="s">
        <v>1340</v>
      </c>
      <c r="F811" s="7" t="s">
        <v>145</v>
      </c>
      <c r="G811" s="7" t="s">
        <v>1365</v>
      </c>
      <c r="H811" s="7">
        <v>12</v>
      </c>
      <c r="I811" s="7">
        <v>1</v>
      </c>
      <c r="J811" s="7">
        <v>12</v>
      </c>
      <c r="K811" s="7" t="s">
        <v>1366</v>
      </c>
    </row>
    <row r="812" spans="1:11" x14ac:dyDescent="0.25">
      <c r="A812" s="7">
        <v>811</v>
      </c>
      <c r="B812" s="7" t="s">
        <v>1190</v>
      </c>
      <c r="C812" s="7" t="s">
        <v>1336</v>
      </c>
      <c r="D812" s="7" t="s">
        <v>1337</v>
      </c>
      <c r="E812" s="7" t="s">
        <v>1340</v>
      </c>
      <c r="F812" s="7" t="s">
        <v>145</v>
      </c>
      <c r="G812" s="7" t="s">
        <v>1367</v>
      </c>
      <c r="H812" s="7">
        <v>8</v>
      </c>
      <c r="I812" s="7">
        <v>1</v>
      </c>
      <c r="J812" s="7">
        <v>8</v>
      </c>
      <c r="K812" s="7" t="s">
        <v>1368</v>
      </c>
    </row>
    <row r="813" spans="1:11" x14ac:dyDescent="0.25">
      <c r="A813" s="7">
        <v>812</v>
      </c>
      <c r="B813" s="7" t="s">
        <v>1190</v>
      </c>
      <c r="C813" s="7" t="s">
        <v>1336</v>
      </c>
      <c r="D813" s="7" t="s">
        <v>1337</v>
      </c>
      <c r="E813" s="7" t="s">
        <v>1340</v>
      </c>
      <c r="F813" s="7" t="s">
        <v>145</v>
      </c>
      <c r="G813" s="7" t="s">
        <v>1369</v>
      </c>
      <c r="H813" s="7">
        <v>6</v>
      </c>
      <c r="I813" s="7">
        <v>1</v>
      </c>
      <c r="J813" s="7">
        <v>6</v>
      </c>
      <c r="K813" s="7" t="s">
        <v>1370</v>
      </c>
    </row>
    <row r="814" spans="1:11" x14ac:dyDescent="0.25">
      <c r="A814" s="7">
        <v>813</v>
      </c>
      <c r="B814" s="7" t="s">
        <v>1190</v>
      </c>
      <c r="C814" s="7" t="s">
        <v>1336</v>
      </c>
      <c r="D814" s="7" t="s">
        <v>1337</v>
      </c>
      <c r="E814" s="7" t="s">
        <v>1340</v>
      </c>
      <c r="F814" s="7" t="s">
        <v>145</v>
      </c>
      <c r="G814" s="7" t="s">
        <v>1371</v>
      </c>
      <c r="H814" s="7" t="s">
        <v>1349</v>
      </c>
      <c r="I814" s="7">
        <v>1</v>
      </c>
      <c r="J814" s="7" t="s">
        <v>1349</v>
      </c>
      <c r="K814" s="7" t="s">
        <v>1372</v>
      </c>
    </row>
    <row r="815" spans="1:11" x14ac:dyDescent="0.25">
      <c r="A815" s="7">
        <v>814</v>
      </c>
      <c r="B815" s="7" t="s">
        <v>1190</v>
      </c>
      <c r="C815" s="7" t="s">
        <v>1336</v>
      </c>
      <c r="D815" s="7" t="s">
        <v>1337</v>
      </c>
      <c r="E815" s="7" t="s">
        <v>1340</v>
      </c>
      <c r="F815" s="7" t="s">
        <v>145</v>
      </c>
      <c r="G815" s="7" t="s">
        <v>1373</v>
      </c>
      <c r="H815" s="7" t="s">
        <v>1349</v>
      </c>
      <c r="I815" s="7">
        <v>1</v>
      </c>
      <c r="J815" s="7" t="s">
        <v>1349</v>
      </c>
      <c r="K815" s="7" t="s">
        <v>1374</v>
      </c>
    </row>
    <row r="816" spans="1:11" x14ac:dyDescent="0.25">
      <c r="A816" s="7">
        <v>815</v>
      </c>
      <c r="B816" s="7" t="s">
        <v>1190</v>
      </c>
      <c r="C816" s="7" t="s">
        <v>1336</v>
      </c>
      <c r="D816" s="7" t="s">
        <v>1337</v>
      </c>
      <c r="E816" s="7" t="s">
        <v>1340</v>
      </c>
      <c r="F816" s="7" t="s">
        <v>145</v>
      </c>
      <c r="G816" s="7" t="s">
        <v>1375</v>
      </c>
      <c r="H816" s="7">
        <v>8</v>
      </c>
      <c r="I816" s="7">
        <v>1</v>
      </c>
      <c r="J816" s="7">
        <v>8</v>
      </c>
      <c r="K816" s="7" t="s">
        <v>1376</v>
      </c>
    </row>
    <row r="817" spans="1:11" x14ac:dyDescent="0.25">
      <c r="A817" s="7">
        <v>816</v>
      </c>
      <c r="B817" s="7" t="s">
        <v>1190</v>
      </c>
      <c r="C817" s="7" t="s">
        <v>1336</v>
      </c>
      <c r="D817" s="7" t="s">
        <v>1337</v>
      </c>
      <c r="E817" s="7" t="s">
        <v>1340</v>
      </c>
      <c r="F817" s="7" t="s">
        <v>145</v>
      </c>
      <c r="G817" s="7" t="s">
        <v>1377</v>
      </c>
      <c r="H817" s="7">
        <v>21</v>
      </c>
      <c r="I817" s="7">
        <v>1</v>
      </c>
      <c r="J817" s="7">
        <v>21</v>
      </c>
      <c r="K817" s="7" t="s">
        <v>1378</v>
      </c>
    </row>
    <row r="818" spans="1:11" x14ac:dyDescent="0.25">
      <c r="A818" s="7">
        <v>817</v>
      </c>
      <c r="B818" s="7" t="s">
        <v>1190</v>
      </c>
      <c r="C818" s="7" t="s">
        <v>1336</v>
      </c>
      <c r="D818" s="7" t="s">
        <v>1337</v>
      </c>
      <c r="E818" s="7" t="s">
        <v>1379</v>
      </c>
      <c r="F818" s="7" t="s">
        <v>145</v>
      </c>
      <c r="G818" s="7" t="s">
        <v>1380</v>
      </c>
      <c r="H818" s="7">
        <v>3</v>
      </c>
      <c r="I818" s="7">
        <v>1</v>
      </c>
      <c r="J818" s="7">
        <v>3</v>
      </c>
      <c r="K818" s="7" t="s">
        <v>1381</v>
      </c>
    </row>
    <row r="819" spans="1:11" x14ac:dyDescent="0.25">
      <c r="A819" s="7">
        <v>818</v>
      </c>
      <c r="B819" s="7" t="s">
        <v>1190</v>
      </c>
      <c r="C819" s="7" t="s">
        <v>1336</v>
      </c>
      <c r="D819" s="7" t="s">
        <v>1337</v>
      </c>
      <c r="E819" s="7" t="s">
        <v>1379</v>
      </c>
      <c r="F819" s="7" t="s">
        <v>145</v>
      </c>
      <c r="G819" s="7" t="s">
        <v>1382</v>
      </c>
      <c r="H819" s="7">
        <v>2</v>
      </c>
      <c r="I819" s="7">
        <v>1</v>
      </c>
      <c r="J819" s="7">
        <v>2</v>
      </c>
      <c r="K819" s="7" t="s">
        <v>1383</v>
      </c>
    </row>
    <row r="820" spans="1:11" x14ac:dyDescent="0.25">
      <c r="A820" s="7">
        <v>819</v>
      </c>
      <c r="B820" s="7" t="s">
        <v>1190</v>
      </c>
      <c r="C820" s="7" t="s">
        <v>1336</v>
      </c>
      <c r="D820" s="7" t="s">
        <v>1337</v>
      </c>
      <c r="E820" s="7" t="s">
        <v>1379</v>
      </c>
      <c r="F820" s="7" t="s">
        <v>145</v>
      </c>
      <c r="G820" s="7" t="s">
        <v>1384</v>
      </c>
      <c r="H820" s="7">
        <v>3</v>
      </c>
      <c r="I820" s="7">
        <v>1</v>
      </c>
      <c r="J820" s="7">
        <v>3</v>
      </c>
      <c r="K820" s="7" t="s">
        <v>1385</v>
      </c>
    </row>
    <row r="821" spans="1:11" x14ac:dyDescent="0.25">
      <c r="A821" s="7">
        <v>820</v>
      </c>
      <c r="B821" s="7" t="s">
        <v>1190</v>
      </c>
      <c r="C821" s="7" t="s">
        <v>1336</v>
      </c>
      <c r="D821" s="7" t="s">
        <v>1337</v>
      </c>
      <c r="E821" s="7" t="s">
        <v>1379</v>
      </c>
      <c r="F821" s="7" t="s">
        <v>145</v>
      </c>
      <c r="G821" s="7" t="s">
        <v>1386</v>
      </c>
      <c r="H821" s="7">
        <v>3</v>
      </c>
      <c r="I821" s="7">
        <v>1</v>
      </c>
      <c r="J821" s="7">
        <v>3</v>
      </c>
      <c r="K821" s="7" t="s">
        <v>1387</v>
      </c>
    </row>
    <row r="822" spans="1:11" x14ac:dyDescent="0.25">
      <c r="A822" s="7">
        <v>821</v>
      </c>
      <c r="B822" s="7" t="s">
        <v>1190</v>
      </c>
      <c r="C822" s="7" t="s">
        <v>1336</v>
      </c>
      <c r="D822" s="7" t="s">
        <v>1337</v>
      </c>
      <c r="E822" s="7" t="s">
        <v>1379</v>
      </c>
      <c r="F822" s="7" t="s">
        <v>145</v>
      </c>
      <c r="G822" s="7" t="s">
        <v>1388</v>
      </c>
      <c r="H822" s="7">
        <v>2</v>
      </c>
      <c r="I822" s="7">
        <v>2</v>
      </c>
      <c r="J822" s="7">
        <v>4</v>
      </c>
      <c r="K822" s="7" t="s">
        <v>1389</v>
      </c>
    </row>
    <row r="823" spans="1:11" x14ac:dyDescent="0.25">
      <c r="A823" s="7">
        <v>822</v>
      </c>
      <c r="B823" s="7" t="s">
        <v>1190</v>
      </c>
      <c r="C823" s="7" t="s">
        <v>1336</v>
      </c>
      <c r="D823" s="7" t="s">
        <v>1337</v>
      </c>
      <c r="E823" s="7" t="s">
        <v>1390</v>
      </c>
      <c r="F823" s="7" t="s">
        <v>145</v>
      </c>
      <c r="G823" s="7" t="s">
        <v>1391</v>
      </c>
      <c r="H823" s="7">
        <v>3</v>
      </c>
      <c r="I823" s="7">
        <v>1</v>
      </c>
      <c r="J823" s="7">
        <v>3</v>
      </c>
      <c r="K823" s="7" t="s">
        <v>1392</v>
      </c>
    </row>
    <row r="824" spans="1:11" x14ac:dyDescent="0.25">
      <c r="A824" s="7">
        <v>823</v>
      </c>
      <c r="B824" s="7" t="s">
        <v>1190</v>
      </c>
      <c r="C824" s="7" t="s">
        <v>1336</v>
      </c>
      <c r="D824" s="7" t="s">
        <v>1337</v>
      </c>
      <c r="E824" s="7" t="s">
        <v>1390</v>
      </c>
      <c r="F824" s="7" t="s">
        <v>145</v>
      </c>
      <c r="G824" s="7" t="s">
        <v>1393</v>
      </c>
      <c r="H824" s="7">
        <v>6</v>
      </c>
      <c r="I824" s="7">
        <v>1</v>
      </c>
      <c r="J824" s="7">
        <v>6</v>
      </c>
      <c r="K824" s="7" t="s">
        <v>1394</v>
      </c>
    </row>
    <row r="825" spans="1:11" x14ac:dyDescent="0.25">
      <c r="A825" s="7">
        <v>824</v>
      </c>
      <c r="B825" s="7" t="s">
        <v>1190</v>
      </c>
      <c r="C825" s="7" t="s">
        <v>1336</v>
      </c>
      <c r="D825" s="7" t="s">
        <v>1337</v>
      </c>
      <c r="E825" s="7" t="s">
        <v>1390</v>
      </c>
      <c r="F825" s="7" t="s">
        <v>145</v>
      </c>
      <c r="G825" s="7" t="s">
        <v>1395</v>
      </c>
      <c r="H825" s="7">
        <v>21</v>
      </c>
      <c r="I825" s="7">
        <v>1</v>
      </c>
      <c r="J825" s="7">
        <v>21</v>
      </c>
      <c r="K825" s="7" t="s">
        <v>1396</v>
      </c>
    </row>
    <row r="826" spans="1:11" x14ac:dyDescent="0.25">
      <c r="A826" s="7">
        <v>825</v>
      </c>
      <c r="B826" s="7" t="s">
        <v>1190</v>
      </c>
      <c r="C826" s="7" t="s">
        <v>1336</v>
      </c>
      <c r="D826" s="7" t="s">
        <v>1337</v>
      </c>
      <c r="E826" s="7" t="s">
        <v>1390</v>
      </c>
      <c r="F826" s="7" t="s">
        <v>145</v>
      </c>
      <c r="G826" s="7" t="s">
        <v>1397</v>
      </c>
      <c r="H826" s="7">
        <v>4</v>
      </c>
      <c r="I826" s="7">
        <v>1</v>
      </c>
      <c r="J826" s="7">
        <v>4</v>
      </c>
      <c r="K826" s="7" t="s">
        <v>1398</v>
      </c>
    </row>
    <row r="827" spans="1:11" x14ac:dyDescent="0.25">
      <c r="A827" s="7">
        <v>826</v>
      </c>
      <c r="B827" s="7" t="s">
        <v>1190</v>
      </c>
      <c r="C827" s="7" t="s">
        <v>1336</v>
      </c>
      <c r="D827" s="7" t="s">
        <v>1337</v>
      </c>
      <c r="E827" s="7" t="s">
        <v>1390</v>
      </c>
      <c r="F827" s="7" t="s">
        <v>145</v>
      </c>
      <c r="G827" s="7" t="s">
        <v>1399</v>
      </c>
      <c r="H827" s="7" t="s">
        <v>1350</v>
      </c>
      <c r="I827" s="7">
        <v>2</v>
      </c>
      <c r="J827" s="7" t="s">
        <v>1357</v>
      </c>
      <c r="K827" s="7" t="s">
        <v>1400</v>
      </c>
    </row>
    <row r="828" spans="1:11" x14ac:dyDescent="0.25">
      <c r="A828" s="7">
        <v>827</v>
      </c>
      <c r="B828" s="7" t="s">
        <v>1190</v>
      </c>
      <c r="C828" s="7" t="s">
        <v>1336</v>
      </c>
      <c r="D828" s="7" t="s">
        <v>1337</v>
      </c>
      <c r="E828" s="7" t="s">
        <v>1401</v>
      </c>
      <c r="F828" s="7" t="s">
        <v>145</v>
      </c>
      <c r="G828" s="7" t="s">
        <v>1402</v>
      </c>
      <c r="H828" s="7">
        <v>8</v>
      </c>
      <c r="I828" s="7">
        <v>2</v>
      </c>
      <c r="J828" s="7">
        <v>16</v>
      </c>
      <c r="K828" s="7" t="s">
        <v>1403</v>
      </c>
    </row>
    <row r="829" spans="1:11" x14ac:dyDescent="0.25">
      <c r="A829" s="7">
        <v>828</v>
      </c>
      <c r="B829" s="7" t="s">
        <v>1190</v>
      </c>
      <c r="C829" s="7" t="s">
        <v>1336</v>
      </c>
      <c r="D829" s="7" t="s">
        <v>1337</v>
      </c>
      <c r="E829" s="7" t="s">
        <v>1401</v>
      </c>
      <c r="F829" s="7" t="s">
        <v>145</v>
      </c>
      <c r="G829" s="7" t="s">
        <v>1404</v>
      </c>
      <c r="H829" s="7" t="s">
        <v>1405</v>
      </c>
      <c r="I829" s="7">
        <v>2</v>
      </c>
      <c r="J829" s="7" t="s">
        <v>1406</v>
      </c>
      <c r="K829" s="7" t="s">
        <v>1407</v>
      </c>
    </row>
    <row r="830" spans="1:11" x14ac:dyDescent="0.25">
      <c r="A830" s="7">
        <v>829</v>
      </c>
      <c r="B830" s="7" t="s">
        <v>1190</v>
      </c>
      <c r="C830" s="7" t="s">
        <v>1336</v>
      </c>
      <c r="D830" s="7" t="s">
        <v>1337</v>
      </c>
      <c r="E830" s="7" t="s">
        <v>1401</v>
      </c>
      <c r="F830" s="7" t="s">
        <v>145</v>
      </c>
      <c r="G830" s="7" t="s">
        <v>1408</v>
      </c>
      <c r="H830" s="7">
        <v>4</v>
      </c>
      <c r="I830" s="7">
        <v>2</v>
      </c>
      <c r="J830" s="7">
        <v>8</v>
      </c>
      <c r="K830" s="7" t="s">
        <v>1409</v>
      </c>
    </row>
    <row r="831" spans="1:11" x14ac:dyDescent="0.25">
      <c r="A831" s="7">
        <v>830</v>
      </c>
      <c r="B831" s="7" t="s">
        <v>1190</v>
      </c>
      <c r="C831" s="7" t="s">
        <v>1336</v>
      </c>
      <c r="D831" s="7" t="s">
        <v>1337</v>
      </c>
      <c r="E831" s="7" t="s">
        <v>1401</v>
      </c>
      <c r="F831" s="7" t="s">
        <v>145</v>
      </c>
      <c r="G831" s="7" t="s">
        <v>1410</v>
      </c>
      <c r="H831" s="7">
        <v>8</v>
      </c>
      <c r="I831" s="7">
        <v>2</v>
      </c>
      <c r="J831" s="7">
        <v>16</v>
      </c>
      <c r="K831" s="7" t="s">
        <v>1411</v>
      </c>
    </row>
    <row r="832" spans="1:11" x14ac:dyDescent="0.25">
      <c r="A832" s="7">
        <v>831</v>
      </c>
      <c r="B832" s="7" t="s">
        <v>1190</v>
      </c>
      <c r="C832" s="7" t="s">
        <v>1336</v>
      </c>
      <c r="D832" s="7" t="s">
        <v>1337</v>
      </c>
      <c r="E832" s="7" t="s">
        <v>1412</v>
      </c>
      <c r="F832" s="7" t="s">
        <v>145</v>
      </c>
      <c r="G832" s="7" t="s">
        <v>1413</v>
      </c>
      <c r="H832" s="7">
        <v>1</v>
      </c>
      <c r="I832" s="7">
        <v>2</v>
      </c>
      <c r="J832" s="7">
        <v>2</v>
      </c>
      <c r="K832" s="7" t="s">
        <v>1414</v>
      </c>
    </row>
    <row r="833" spans="1:11" x14ac:dyDescent="0.25">
      <c r="A833" s="7">
        <v>832</v>
      </c>
      <c r="B833" s="7" t="s">
        <v>1190</v>
      </c>
      <c r="C833" s="7" t="s">
        <v>1336</v>
      </c>
      <c r="D833" s="7" t="s">
        <v>1337</v>
      </c>
      <c r="E833" s="7" t="s">
        <v>1412</v>
      </c>
      <c r="F833" s="7" t="s">
        <v>145</v>
      </c>
      <c r="G833" s="7" t="s">
        <v>1415</v>
      </c>
      <c r="H833" s="7">
        <v>1</v>
      </c>
      <c r="I833" s="7">
        <v>1</v>
      </c>
      <c r="J833" s="7">
        <v>1</v>
      </c>
      <c r="K833" s="7" t="s">
        <v>1416</v>
      </c>
    </row>
    <row r="834" spans="1:11" x14ac:dyDescent="0.25">
      <c r="A834" s="7">
        <v>833</v>
      </c>
      <c r="B834" s="7" t="s">
        <v>1190</v>
      </c>
      <c r="C834" s="7" t="s">
        <v>1336</v>
      </c>
      <c r="D834" s="7" t="s">
        <v>1337</v>
      </c>
      <c r="E834" s="7" t="s">
        <v>1412</v>
      </c>
      <c r="F834" s="7" t="s">
        <v>145</v>
      </c>
      <c r="G834" s="7" t="s">
        <v>1417</v>
      </c>
      <c r="H834" s="7">
        <v>1</v>
      </c>
      <c r="I834" s="7">
        <v>1</v>
      </c>
      <c r="J834" s="7">
        <v>1</v>
      </c>
      <c r="K834" s="7" t="s">
        <v>1418</v>
      </c>
    </row>
    <row r="835" spans="1:11" x14ac:dyDescent="0.25">
      <c r="A835" s="7">
        <v>834</v>
      </c>
      <c r="B835" s="7" t="s">
        <v>1190</v>
      </c>
      <c r="C835" s="7" t="s">
        <v>1336</v>
      </c>
      <c r="D835" s="7" t="s">
        <v>1337</v>
      </c>
      <c r="E835" s="7" t="s">
        <v>1412</v>
      </c>
      <c r="F835" s="7" t="s">
        <v>145</v>
      </c>
      <c r="G835" s="7" t="s">
        <v>1419</v>
      </c>
      <c r="H835" s="7">
        <v>3</v>
      </c>
      <c r="I835" s="7">
        <v>1</v>
      </c>
      <c r="J835" s="7">
        <v>3</v>
      </c>
      <c r="K835" s="7" t="s">
        <v>1420</v>
      </c>
    </row>
    <row r="836" spans="1:11" x14ac:dyDescent="0.25">
      <c r="A836" s="7">
        <v>835</v>
      </c>
      <c r="B836" s="7" t="s">
        <v>1190</v>
      </c>
      <c r="C836" s="7" t="s">
        <v>1336</v>
      </c>
      <c r="D836" s="7" t="s">
        <v>1337</v>
      </c>
      <c r="E836" s="7" t="s">
        <v>1412</v>
      </c>
      <c r="F836" s="7" t="s">
        <v>145</v>
      </c>
      <c r="G836" s="7" t="s">
        <v>1421</v>
      </c>
      <c r="H836" s="7">
        <v>0.5</v>
      </c>
      <c r="I836" s="7">
        <v>1</v>
      </c>
      <c r="J836" s="7">
        <v>0.5</v>
      </c>
      <c r="K836" s="7" t="s">
        <v>1422</v>
      </c>
    </row>
    <row r="837" spans="1:11" x14ac:dyDescent="0.25">
      <c r="A837" s="7">
        <v>836</v>
      </c>
      <c r="B837" s="7" t="s">
        <v>1190</v>
      </c>
      <c r="C837" s="7" t="s">
        <v>1336</v>
      </c>
      <c r="D837" s="7" t="s">
        <v>1337</v>
      </c>
      <c r="E837" s="7" t="s">
        <v>1412</v>
      </c>
      <c r="F837" s="7" t="s">
        <v>145</v>
      </c>
      <c r="G837" s="7" t="s">
        <v>1423</v>
      </c>
      <c r="H837" s="7">
        <v>2</v>
      </c>
      <c r="I837" s="7">
        <v>1</v>
      </c>
      <c r="J837" s="7">
        <v>2</v>
      </c>
      <c r="K837" s="7" t="s">
        <v>1424</v>
      </c>
    </row>
    <row r="838" spans="1:11" x14ac:dyDescent="0.25">
      <c r="A838" s="7">
        <v>837</v>
      </c>
      <c r="B838" s="7" t="s">
        <v>1190</v>
      </c>
      <c r="C838" s="7" t="s">
        <v>1336</v>
      </c>
      <c r="D838" s="7" t="s">
        <v>1337</v>
      </c>
      <c r="E838" s="7" t="s">
        <v>1412</v>
      </c>
      <c r="F838" s="7" t="s">
        <v>145</v>
      </c>
      <c r="G838" s="7" t="s">
        <v>1425</v>
      </c>
      <c r="H838" s="7">
        <v>1</v>
      </c>
      <c r="I838" s="7">
        <v>1</v>
      </c>
      <c r="J838" s="7">
        <v>1</v>
      </c>
      <c r="K838" s="7" t="s">
        <v>1426</v>
      </c>
    </row>
    <row r="839" spans="1:11" x14ac:dyDescent="0.25">
      <c r="A839" s="7">
        <v>838</v>
      </c>
      <c r="B839" s="7" t="s">
        <v>1190</v>
      </c>
      <c r="C839" s="7" t="s">
        <v>1336</v>
      </c>
      <c r="D839" s="7" t="s">
        <v>1337</v>
      </c>
      <c r="E839" s="7" t="s">
        <v>1412</v>
      </c>
      <c r="F839" s="7" t="s">
        <v>145</v>
      </c>
      <c r="G839" s="7" t="s">
        <v>1427</v>
      </c>
      <c r="H839" s="7">
        <v>0.5</v>
      </c>
      <c r="I839" s="7">
        <v>1</v>
      </c>
      <c r="J839" s="7">
        <v>0.5</v>
      </c>
      <c r="K839" s="7" t="s">
        <v>1428</v>
      </c>
    </row>
    <row r="840" spans="1:11" x14ac:dyDescent="0.25">
      <c r="A840" s="7">
        <v>839</v>
      </c>
      <c r="B840" s="7" t="s">
        <v>1190</v>
      </c>
      <c r="C840" s="7" t="s">
        <v>1336</v>
      </c>
      <c r="D840" s="7" t="s">
        <v>1337</v>
      </c>
      <c r="E840" s="7" t="s">
        <v>1412</v>
      </c>
      <c r="F840" s="7" t="s">
        <v>145</v>
      </c>
      <c r="G840" s="7" t="s">
        <v>1429</v>
      </c>
      <c r="H840" s="7">
        <v>16</v>
      </c>
      <c r="I840" s="7">
        <v>2</v>
      </c>
      <c r="J840" s="7">
        <v>32</v>
      </c>
      <c r="K840" s="7" t="s">
        <v>1430</v>
      </c>
    </row>
    <row r="841" spans="1:11" x14ac:dyDescent="0.25">
      <c r="A841" s="7">
        <v>840</v>
      </c>
      <c r="B841" s="7" t="s">
        <v>1190</v>
      </c>
      <c r="C841" s="7" t="s">
        <v>1336</v>
      </c>
      <c r="D841" s="7" t="s">
        <v>1337</v>
      </c>
      <c r="E841" s="7" t="s">
        <v>1412</v>
      </c>
      <c r="F841" s="7" t="s">
        <v>145</v>
      </c>
      <c r="G841" s="7" t="s">
        <v>1431</v>
      </c>
      <c r="H841" s="7">
        <v>1</v>
      </c>
      <c r="I841" s="7">
        <v>1</v>
      </c>
      <c r="J841" s="7">
        <v>1</v>
      </c>
      <c r="K841" s="7" t="s">
        <v>1432</v>
      </c>
    </row>
    <row r="842" spans="1:11" x14ac:dyDescent="0.25">
      <c r="A842" s="7">
        <v>841</v>
      </c>
      <c r="B842" s="7" t="s">
        <v>1190</v>
      </c>
      <c r="C842" s="7" t="s">
        <v>1336</v>
      </c>
      <c r="D842" s="7" t="s">
        <v>1337</v>
      </c>
      <c r="E842" s="7" t="s">
        <v>1412</v>
      </c>
      <c r="F842" s="7" t="s">
        <v>145</v>
      </c>
      <c r="G842" s="7" t="s">
        <v>1433</v>
      </c>
      <c r="H842" s="7">
        <v>4</v>
      </c>
      <c r="I842" s="7">
        <v>2</v>
      </c>
      <c r="J842" s="7">
        <v>8</v>
      </c>
      <c r="K842" s="7" t="s">
        <v>1434</v>
      </c>
    </row>
    <row r="843" spans="1:11" x14ac:dyDescent="0.25">
      <c r="A843" s="7">
        <v>842</v>
      </c>
      <c r="B843" s="7" t="s">
        <v>1190</v>
      </c>
      <c r="C843" s="7" t="s">
        <v>1336</v>
      </c>
      <c r="D843" s="7" t="s">
        <v>1337</v>
      </c>
      <c r="E843" s="7" t="s">
        <v>1412</v>
      </c>
      <c r="F843" s="7" t="s">
        <v>145</v>
      </c>
      <c r="G843" s="7" t="s">
        <v>1435</v>
      </c>
      <c r="H843" s="7">
        <v>1</v>
      </c>
      <c r="I843" s="7">
        <v>1</v>
      </c>
      <c r="J843" s="7">
        <v>1</v>
      </c>
      <c r="K843" s="7" t="s">
        <v>1436</v>
      </c>
    </row>
    <row r="844" spans="1:11" x14ac:dyDescent="0.25">
      <c r="A844" s="7">
        <v>843</v>
      </c>
      <c r="B844" s="7" t="s">
        <v>1190</v>
      </c>
      <c r="C844" s="7" t="s">
        <v>1336</v>
      </c>
      <c r="D844" s="7" t="s">
        <v>1337</v>
      </c>
      <c r="E844" s="7" t="s">
        <v>1412</v>
      </c>
      <c r="F844" s="7" t="s">
        <v>145</v>
      </c>
      <c r="G844" s="7" t="s">
        <v>1437</v>
      </c>
      <c r="H844" s="7">
        <v>1</v>
      </c>
      <c r="I844" s="7">
        <v>1</v>
      </c>
      <c r="J844" s="7">
        <v>1</v>
      </c>
      <c r="K844" s="7" t="s">
        <v>1438</v>
      </c>
    </row>
    <row r="845" spans="1:11" x14ac:dyDescent="0.25">
      <c r="A845" s="7">
        <v>844</v>
      </c>
      <c r="B845" s="7" t="s">
        <v>1190</v>
      </c>
      <c r="C845" s="7" t="s">
        <v>1336</v>
      </c>
      <c r="D845" s="7" t="s">
        <v>1337</v>
      </c>
      <c r="E845" s="7" t="s">
        <v>1412</v>
      </c>
      <c r="F845" s="7" t="s">
        <v>145</v>
      </c>
      <c r="G845" s="7" t="s">
        <v>1439</v>
      </c>
      <c r="H845" s="7">
        <v>1</v>
      </c>
      <c r="I845" s="7">
        <v>1</v>
      </c>
      <c r="J845" s="7">
        <v>1</v>
      </c>
      <c r="K845" s="7" t="s">
        <v>1440</v>
      </c>
    </row>
    <row r="846" spans="1:11" x14ac:dyDescent="0.25">
      <c r="A846" s="7">
        <v>845</v>
      </c>
      <c r="B846" s="7" t="s">
        <v>1190</v>
      </c>
      <c r="C846" s="7" t="s">
        <v>1336</v>
      </c>
      <c r="D846" s="7" t="s">
        <v>1337</v>
      </c>
      <c r="E846" s="7" t="s">
        <v>1412</v>
      </c>
      <c r="F846" s="7" t="s">
        <v>145</v>
      </c>
      <c r="G846" s="7" t="s">
        <v>1441</v>
      </c>
      <c r="H846" s="7">
        <v>2</v>
      </c>
      <c r="I846" s="7">
        <v>1</v>
      </c>
      <c r="J846" s="7">
        <v>2</v>
      </c>
      <c r="K846" s="7" t="s">
        <v>1442</v>
      </c>
    </row>
    <row r="847" spans="1:11" x14ac:dyDescent="0.25">
      <c r="A847" s="7">
        <v>846</v>
      </c>
      <c r="B847" s="7" t="s">
        <v>1190</v>
      </c>
      <c r="C847" s="7" t="s">
        <v>1336</v>
      </c>
      <c r="D847" s="7" t="s">
        <v>1337</v>
      </c>
      <c r="E847" s="7" t="s">
        <v>1412</v>
      </c>
      <c r="F847" s="7" t="s">
        <v>145</v>
      </c>
      <c r="G847" s="7" t="s">
        <v>1443</v>
      </c>
      <c r="H847" s="7">
        <v>2</v>
      </c>
      <c r="I847" s="7">
        <v>1</v>
      </c>
      <c r="J847" s="7">
        <v>2</v>
      </c>
      <c r="K847" s="7" t="s">
        <v>1444</v>
      </c>
    </row>
    <row r="848" spans="1:11" x14ac:dyDescent="0.25">
      <c r="A848" s="7">
        <v>847</v>
      </c>
      <c r="B848" s="7" t="s">
        <v>1190</v>
      </c>
      <c r="C848" s="7" t="s">
        <v>1336</v>
      </c>
      <c r="D848" s="7" t="s">
        <v>1337</v>
      </c>
      <c r="E848" s="7" t="s">
        <v>1412</v>
      </c>
      <c r="F848" s="7" t="s">
        <v>145</v>
      </c>
      <c r="G848" s="7" t="s">
        <v>1445</v>
      </c>
      <c r="H848" s="7">
        <v>3</v>
      </c>
      <c r="I848" s="7">
        <v>1</v>
      </c>
      <c r="J848" s="7">
        <v>3</v>
      </c>
      <c r="K848" s="7" t="s">
        <v>1446</v>
      </c>
    </row>
    <row r="849" spans="1:11" x14ac:dyDescent="0.25">
      <c r="A849" s="7">
        <v>848</v>
      </c>
      <c r="B849" s="7" t="s">
        <v>1190</v>
      </c>
      <c r="C849" s="7" t="s">
        <v>1336</v>
      </c>
      <c r="D849" s="7" t="s">
        <v>1337</v>
      </c>
      <c r="E849" s="7" t="s">
        <v>1412</v>
      </c>
      <c r="F849" s="7" t="s">
        <v>145</v>
      </c>
      <c r="G849" s="7" t="s">
        <v>1447</v>
      </c>
      <c r="H849" s="7">
        <v>1</v>
      </c>
      <c r="I849" s="7">
        <v>1</v>
      </c>
      <c r="J849" s="7">
        <v>1</v>
      </c>
      <c r="K849" s="7" t="s">
        <v>1448</v>
      </c>
    </row>
    <row r="850" spans="1:11" x14ac:dyDescent="0.25">
      <c r="A850" s="7">
        <v>849</v>
      </c>
      <c r="B850" s="7" t="s">
        <v>1190</v>
      </c>
      <c r="C850" s="7" t="s">
        <v>1336</v>
      </c>
      <c r="D850" s="7" t="s">
        <v>1337</v>
      </c>
      <c r="E850" s="7" t="s">
        <v>1412</v>
      </c>
      <c r="F850" s="7" t="s">
        <v>145</v>
      </c>
      <c r="G850" s="7" t="s">
        <v>1449</v>
      </c>
      <c r="H850" s="7">
        <v>2</v>
      </c>
      <c r="I850" s="7">
        <v>1</v>
      </c>
      <c r="J850" s="7">
        <v>2</v>
      </c>
      <c r="K850" s="7" t="s">
        <v>1450</v>
      </c>
    </row>
    <row r="851" spans="1:11" x14ac:dyDescent="0.25">
      <c r="A851" s="7">
        <v>850</v>
      </c>
      <c r="B851" s="7" t="s">
        <v>1190</v>
      </c>
      <c r="C851" s="7" t="s">
        <v>1336</v>
      </c>
      <c r="D851" s="7" t="s">
        <v>1337</v>
      </c>
      <c r="E851" s="7" t="s">
        <v>1412</v>
      </c>
      <c r="F851" s="7" t="s">
        <v>145</v>
      </c>
      <c r="G851" s="7" t="s">
        <v>1451</v>
      </c>
      <c r="H851" s="7">
        <v>0.5</v>
      </c>
      <c r="I851" s="7">
        <v>1</v>
      </c>
      <c r="J851" s="7">
        <v>0.5</v>
      </c>
      <c r="K851" s="7" t="s">
        <v>1452</v>
      </c>
    </row>
    <row r="852" spans="1:11" x14ac:dyDescent="0.25">
      <c r="A852" s="7">
        <v>851</v>
      </c>
      <c r="B852" s="7" t="s">
        <v>1190</v>
      </c>
      <c r="C852" s="7" t="s">
        <v>1336</v>
      </c>
      <c r="D852" s="7" t="s">
        <v>1337</v>
      </c>
      <c r="E852" s="7" t="s">
        <v>1412</v>
      </c>
      <c r="F852" s="7" t="s">
        <v>145</v>
      </c>
      <c r="G852" s="7" t="s">
        <v>1453</v>
      </c>
      <c r="H852" s="7">
        <v>3</v>
      </c>
      <c r="I852" s="7">
        <v>1</v>
      </c>
      <c r="J852" s="7">
        <v>3</v>
      </c>
      <c r="K852" s="7" t="s">
        <v>1454</v>
      </c>
    </row>
    <row r="853" spans="1:11" x14ac:dyDescent="0.25">
      <c r="A853" s="7">
        <v>852</v>
      </c>
      <c r="B853" s="7" t="s">
        <v>1190</v>
      </c>
      <c r="C853" s="7" t="s">
        <v>1336</v>
      </c>
      <c r="D853" s="7" t="s">
        <v>1337</v>
      </c>
      <c r="E853" s="7" t="s">
        <v>1412</v>
      </c>
      <c r="F853" s="7" t="s">
        <v>145</v>
      </c>
      <c r="G853" s="7" t="s">
        <v>1455</v>
      </c>
      <c r="H853" s="7">
        <v>6</v>
      </c>
      <c r="I853" s="7">
        <v>1</v>
      </c>
      <c r="J853" s="7">
        <v>6</v>
      </c>
      <c r="K853" s="7" t="s">
        <v>1456</v>
      </c>
    </row>
    <row r="854" spans="1:11" x14ac:dyDescent="0.25">
      <c r="A854" s="7">
        <v>853</v>
      </c>
      <c r="B854" s="7" t="s">
        <v>1190</v>
      </c>
      <c r="C854" s="7" t="s">
        <v>1336</v>
      </c>
      <c r="D854" s="7" t="s">
        <v>1337</v>
      </c>
      <c r="E854" s="7" t="s">
        <v>1412</v>
      </c>
      <c r="F854" s="7" t="s">
        <v>145</v>
      </c>
      <c r="G854" s="7" t="s">
        <v>1457</v>
      </c>
      <c r="H854" s="7">
        <v>2</v>
      </c>
      <c r="I854" s="7">
        <v>2</v>
      </c>
      <c r="J854" s="7">
        <v>4</v>
      </c>
      <c r="K854" s="7" t="s">
        <v>1458</v>
      </c>
    </row>
    <row r="855" spans="1:11" x14ac:dyDescent="0.25">
      <c r="A855" s="7">
        <v>854</v>
      </c>
      <c r="B855" s="7" t="s">
        <v>1190</v>
      </c>
      <c r="C855" s="7" t="s">
        <v>1336</v>
      </c>
      <c r="D855" s="7" t="s">
        <v>1337</v>
      </c>
      <c r="E855" s="7" t="s">
        <v>1412</v>
      </c>
      <c r="F855" s="7" t="s">
        <v>145</v>
      </c>
      <c r="G855" s="7" t="s">
        <v>1459</v>
      </c>
      <c r="H855" s="7">
        <v>3</v>
      </c>
      <c r="I855" s="7">
        <v>2</v>
      </c>
      <c r="J855" s="7">
        <v>6</v>
      </c>
      <c r="K855" s="7" t="s">
        <v>1460</v>
      </c>
    </row>
    <row r="856" spans="1:11" x14ac:dyDescent="0.25">
      <c r="A856" s="7">
        <v>855</v>
      </c>
      <c r="B856" s="7" t="s">
        <v>1190</v>
      </c>
      <c r="C856" s="7" t="s">
        <v>1336</v>
      </c>
      <c r="D856" s="7" t="s">
        <v>1337</v>
      </c>
      <c r="E856" s="7" t="s">
        <v>1412</v>
      </c>
      <c r="F856" s="7" t="s">
        <v>145</v>
      </c>
      <c r="G856" s="7" t="s">
        <v>1461</v>
      </c>
      <c r="H856" s="7">
        <v>2</v>
      </c>
      <c r="I856" s="7">
        <v>2</v>
      </c>
      <c r="J856" s="7">
        <v>4</v>
      </c>
      <c r="K856" s="7" t="s">
        <v>1462</v>
      </c>
    </row>
    <row r="857" spans="1:11" x14ac:dyDescent="0.25">
      <c r="A857" s="7">
        <v>856</v>
      </c>
      <c r="B857" s="7" t="s">
        <v>1190</v>
      </c>
      <c r="C857" s="7" t="s">
        <v>1336</v>
      </c>
      <c r="D857" s="7" t="s">
        <v>1337</v>
      </c>
      <c r="E857" s="7" t="s">
        <v>1412</v>
      </c>
      <c r="F857" s="7" t="s">
        <v>145</v>
      </c>
      <c r="G857" s="7" t="s">
        <v>1463</v>
      </c>
      <c r="H857" s="7">
        <v>1</v>
      </c>
      <c r="I857" s="7">
        <v>1</v>
      </c>
      <c r="J857" s="7">
        <v>1</v>
      </c>
      <c r="K857" s="7" t="s">
        <v>1464</v>
      </c>
    </row>
    <row r="858" spans="1:11" x14ac:dyDescent="0.25">
      <c r="A858" s="7">
        <v>857</v>
      </c>
      <c r="B858" s="7" t="s">
        <v>1190</v>
      </c>
      <c r="C858" s="7" t="s">
        <v>1336</v>
      </c>
      <c r="D858" s="7" t="s">
        <v>1337</v>
      </c>
      <c r="E858" s="7" t="s">
        <v>1412</v>
      </c>
      <c r="F858" s="7" t="s">
        <v>145</v>
      </c>
      <c r="G858" s="7" t="s">
        <v>1465</v>
      </c>
      <c r="H858" s="7">
        <v>3</v>
      </c>
      <c r="I858" s="7">
        <v>2</v>
      </c>
      <c r="J858" s="7">
        <v>6</v>
      </c>
      <c r="K858" s="7" t="s">
        <v>1466</v>
      </c>
    </row>
    <row r="859" spans="1:11" x14ac:dyDescent="0.25">
      <c r="A859" s="7">
        <v>858</v>
      </c>
      <c r="B859" s="7" t="s">
        <v>1190</v>
      </c>
      <c r="C859" s="7" t="s">
        <v>1336</v>
      </c>
      <c r="D859" s="7" t="s">
        <v>1337</v>
      </c>
      <c r="E859" s="7" t="s">
        <v>1412</v>
      </c>
      <c r="F859" s="7" t="s">
        <v>145</v>
      </c>
      <c r="G859" s="7" t="s">
        <v>1467</v>
      </c>
      <c r="H859" s="7">
        <v>4</v>
      </c>
      <c r="I859" s="7">
        <v>1</v>
      </c>
      <c r="J859" s="7">
        <v>4</v>
      </c>
      <c r="K859" s="7" t="s">
        <v>1468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6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12" customWidth="1"/>
    <col min="2" max="2" width="26" customWidth="1"/>
    <col min="3" max="3" width="12" customWidth="1"/>
    <col min="4" max="4" width="32" customWidth="1"/>
    <col min="5" max="5" width="14" customWidth="1"/>
    <col min="6" max="6" width="16" customWidth="1"/>
    <col min="7" max="7" width="14" customWidth="1"/>
    <col min="8" max="8" width="16" customWidth="1"/>
    <col min="9" max="9" width="10" customWidth="1"/>
  </cols>
  <sheetData>
    <row r="1" spans="1:9" ht="45" x14ac:dyDescent="0.25">
      <c r="A1" s="6" t="s">
        <v>1469</v>
      </c>
      <c r="B1" s="6" t="s">
        <v>1470</v>
      </c>
      <c r="C1" s="6" t="s">
        <v>37</v>
      </c>
      <c r="D1" s="6" t="s">
        <v>38</v>
      </c>
      <c r="E1" s="6" t="s">
        <v>1471</v>
      </c>
      <c r="F1" s="6" t="s">
        <v>1472</v>
      </c>
      <c r="G1" s="6" t="s">
        <v>1473</v>
      </c>
      <c r="H1" s="6" t="s">
        <v>1474</v>
      </c>
      <c r="I1" s="6" t="s">
        <v>1475</v>
      </c>
    </row>
    <row r="2" spans="1:9" x14ac:dyDescent="0.25">
      <c r="A2" s="8" t="s">
        <v>1476</v>
      </c>
      <c r="B2" s="8" t="s">
        <v>1477</v>
      </c>
      <c r="C2" s="8" t="s">
        <v>881</v>
      </c>
      <c r="D2" s="8" t="s">
        <v>976</v>
      </c>
      <c r="E2" s="8" t="s">
        <v>1478</v>
      </c>
      <c r="F2" s="8">
        <v>2018</v>
      </c>
      <c r="G2" s="9">
        <v>28</v>
      </c>
      <c r="H2" s="10">
        <v>1800</v>
      </c>
      <c r="I2" s="8" t="s">
        <v>1479</v>
      </c>
    </row>
    <row r="3" spans="1:9" x14ac:dyDescent="0.25">
      <c r="A3" s="8" t="s">
        <v>1480</v>
      </c>
      <c r="B3" s="8" t="s">
        <v>1477</v>
      </c>
      <c r="C3" s="8" t="s">
        <v>881</v>
      </c>
      <c r="D3" s="8" t="s">
        <v>976</v>
      </c>
      <c r="E3" s="8" t="s">
        <v>1478</v>
      </c>
      <c r="F3" s="8">
        <v>2015</v>
      </c>
      <c r="G3" s="9">
        <v>28</v>
      </c>
      <c r="H3" s="10">
        <v>1800</v>
      </c>
      <c r="I3" s="8" t="s">
        <v>1481</v>
      </c>
    </row>
    <row r="4" spans="1:9" x14ac:dyDescent="0.25">
      <c r="A4" s="8" t="s">
        <v>1482</v>
      </c>
      <c r="B4" s="8" t="s">
        <v>1483</v>
      </c>
      <c r="C4" s="8" t="s">
        <v>881</v>
      </c>
      <c r="D4" s="8" t="s">
        <v>976</v>
      </c>
      <c r="E4" s="8" t="s">
        <v>1484</v>
      </c>
      <c r="F4" s="8">
        <v>2019</v>
      </c>
      <c r="G4" s="9">
        <v>28</v>
      </c>
      <c r="H4" s="10">
        <v>1800</v>
      </c>
      <c r="I4" s="8" t="s">
        <v>1479</v>
      </c>
    </row>
    <row r="5" spans="1:9" x14ac:dyDescent="0.25">
      <c r="A5" s="8" t="s">
        <v>1485</v>
      </c>
      <c r="B5" s="8" t="s">
        <v>1486</v>
      </c>
      <c r="C5" s="8" t="s">
        <v>657</v>
      </c>
      <c r="D5" s="8" t="s">
        <v>658</v>
      </c>
      <c r="E5" s="8" t="s">
        <v>1487</v>
      </c>
      <c r="F5" s="8">
        <v>2020</v>
      </c>
      <c r="G5" s="9">
        <v>24</v>
      </c>
      <c r="H5" s="10">
        <v>1500</v>
      </c>
      <c r="I5" s="8" t="s">
        <v>1479</v>
      </c>
    </row>
    <row r="6" spans="1:9" x14ac:dyDescent="0.25">
      <c r="A6" s="8" t="s">
        <v>1488</v>
      </c>
      <c r="B6" s="8" t="s">
        <v>1477</v>
      </c>
      <c r="C6" s="8" t="s">
        <v>881</v>
      </c>
      <c r="D6" s="8" t="s">
        <v>976</v>
      </c>
      <c r="E6" s="8" t="s">
        <v>1478</v>
      </c>
      <c r="F6" s="8">
        <v>2014</v>
      </c>
      <c r="G6" s="9">
        <v>26</v>
      </c>
      <c r="H6" s="10">
        <v>1800</v>
      </c>
      <c r="I6" s="8" t="s">
        <v>1479</v>
      </c>
    </row>
    <row r="7" spans="1:9" x14ac:dyDescent="0.25">
      <c r="A7" s="8" t="s">
        <v>1489</v>
      </c>
      <c r="B7" s="8" t="s">
        <v>1490</v>
      </c>
      <c r="C7" s="8" t="s">
        <v>46</v>
      </c>
      <c r="D7" s="8" t="s">
        <v>47</v>
      </c>
      <c r="E7" s="8" t="s">
        <v>1491</v>
      </c>
      <c r="F7" s="8">
        <v>2022</v>
      </c>
      <c r="G7" s="9">
        <v>12</v>
      </c>
      <c r="H7" s="10">
        <v>450</v>
      </c>
      <c r="I7" s="8" t="s">
        <v>1479</v>
      </c>
    </row>
    <row r="8" spans="1:9" x14ac:dyDescent="0.25">
      <c r="A8" s="8" t="s">
        <v>1492</v>
      </c>
      <c r="B8" s="8" t="s">
        <v>1493</v>
      </c>
      <c r="C8" s="8" t="s">
        <v>46</v>
      </c>
      <c r="D8" s="8" t="s">
        <v>397</v>
      </c>
      <c r="E8" s="8" t="s">
        <v>1491</v>
      </c>
      <c r="F8" s="8">
        <v>2021</v>
      </c>
      <c r="G8" s="9">
        <v>9</v>
      </c>
      <c r="H8" s="10">
        <v>400</v>
      </c>
      <c r="I8" s="8" t="s">
        <v>1479</v>
      </c>
    </row>
    <row r="9" spans="1:9" x14ac:dyDescent="0.25">
      <c r="A9" s="8" t="s">
        <v>1494</v>
      </c>
      <c r="B9" s="8" t="s">
        <v>1495</v>
      </c>
      <c r="C9" s="8" t="s">
        <v>46</v>
      </c>
      <c r="D9" s="8" t="s">
        <v>47</v>
      </c>
      <c r="E9" s="8" t="s">
        <v>1491</v>
      </c>
      <c r="F9" s="8">
        <v>2020</v>
      </c>
      <c r="G9" s="9">
        <v>7</v>
      </c>
      <c r="H9" s="10">
        <v>350</v>
      </c>
      <c r="I9" s="8" t="s">
        <v>1479</v>
      </c>
    </row>
    <row r="10" spans="1:9" x14ac:dyDescent="0.25">
      <c r="A10" s="8" t="s">
        <v>1496</v>
      </c>
      <c r="B10" s="8" t="s">
        <v>1497</v>
      </c>
      <c r="C10" s="8" t="s">
        <v>881</v>
      </c>
      <c r="D10" s="8" t="s">
        <v>1047</v>
      </c>
      <c r="E10" s="8" t="s">
        <v>1484</v>
      </c>
      <c r="F10" s="8">
        <v>2019</v>
      </c>
      <c r="G10" s="9">
        <v>22</v>
      </c>
      <c r="H10" s="10">
        <v>2200</v>
      </c>
      <c r="I10" s="8" t="s">
        <v>1479</v>
      </c>
    </row>
    <row r="11" spans="1:9" x14ac:dyDescent="0.25">
      <c r="A11" s="8" t="s">
        <v>1498</v>
      </c>
      <c r="B11" s="8" t="s">
        <v>1499</v>
      </c>
      <c r="C11" s="8" t="s">
        <v>881</v>
      </c>
      <c r="D11" s="8" t="s">
        <v>1142</v>
      </c>
      <c r="E11" s="8" t="s">
        <v>1478</v>
      </c>
      <c r="F11" s="8">
        <v>2017</v>
      </c>
      <c r="G11" s="9">
        <v>20</v>
      </c>
      <c r="H11" s="10">
        <v>2000</v>
      </c>
      <c r="I11" s="8" t="s">
        <v>1479</v>
      </c>
    </row>
    <row r="12" spans="1:9" x14ac:dyDescent="0.25">
      <c r="A12" s="8" t="s">
        <v>1500</v>
      </c>
      <c r="B12" s="8" t="s">
        <v>1501</v>
      </c>
      <c r="C12" s="8" t="s">
        <v>881</v>
      </c>
      <c r="D12" s="8" t="s">
        <v>1096</v>
      </c>
      <c r="E12" s="8" t="s">
        <v>1478</v>
      </c>
      <c r="F12" s="8">
        <v>2018</v>
      </c>
      <c r="G12" s="9">
        <v>18</v>
      </c>
      <c r="H12" s="10">
        <v>1900</v>
      </c>
      <c r="I12" s="8" t="s">
        <v>1479</v>
      </c>
    </row>
    <row r="13" spans="1:9" x14ac:dyDescent="0.25">
      <c r="A13" s="8" t="s">
        <v>1502</v>
      </c>
      <c r="B13" s="8" t="s">
        <v>1503</v>
      </c>
      <c r="C13" s="8" t="s">
        <v>1190</v>
      </c>
      <c r="D13" s="8" t="s">
        <v>1191</v>
      </c>
      <c r="E13" s="8" t="s">
        <v>1504</v>
      </c>
      <c r="F13" s="8">
        <v>2016</v>
      </c>
      <c r="G13" s="9">
        <v>12</v>
      </c>
      <c r="H13" s="10">
        <v>300</v>
      </c>
      <c r="I13" s="8" t="s">
        <v>1479</v>
      </c>
    </row>
    <row r="14" spans="1:9" x14ac:dyDescent="0.25">
      <c r="A14" s="8" t="s">
        <v>1505</v>
      </c>
      <c r="B14" s="8" t="s">
        <v>1506</v>
      </c>
      <c r="C14" s="8" t="s">
        <v>1190</v>
      </c>
      <c r="D14" s="8" t="s">
        <v>1259</v>
      </c>
      <c r="E14" s="8" t="s">
        <v>1507</v>
      </c>
      <c r="F14" s="8">
        <v>2019</v>
      </c>
      <c r="G14" s="9">
        <v>8</v>
      </c>
      <c r="H14" s="10">
        <v>250</v>
      </c>
      <c r="I14" s="8" t="s">
        <v>1479</v>
      </c>
    </row>
    <row r="15" spans="1:9" x14ac:dyDescent="0.25">
      <c r="A15" s="8" t="s">
        <v>1508</v>
      </c>
      <c r="B15" s="8" t="s">
        <v>1509</v>
      </c>
      <c r="C15" s="8" t="s">
        <v>657</v>
      </c>
      <c r="D15" s="8" t="s">
        <v>658</v>
      </c>
      <c r="E15" s="8" t="s">
        <v>1510</v>
      </c>
      <c r="F15" s="8">
        <v>2017</v>
      </c>
      <c r="G15" s="9">
        <v>30</v>
      </c>
      <c r="H15" s="10">
        <v>1600</v>
      </c>
      <c r="I15" s="8" t="s">
        <v>1479</v>
      </c>
    </row>
    <row r="16" spans="1:9" x14ac:dyDescent="0.25">
      <c r="A16" s="8" t="s">
        <v>1511</v>
      </c>
      <c r="B16" s="8" t="s">
        <v>1512</v>
      </c>
      <c r="C16" s="8" t="s">
        <v>1190</v>
      </c>
      <c r="D16" s="8" t="s">
        <v>1336</v>
      </c>
      <c r="E16" s="8" t="s">
        <v>70</v>
      </c>
      <c r="F16" s="8">
        <v>2015</v>
      </c>
      <c r="G16" s="9"/>
      <c r="H16" s="10">
        <v>200</v>
      </c>
      <c r="I16" s="8" t="s">
        <v>1479</v>
      </c>
    </row>
  </sheetData>
  <dataValidations count="2">
    <dataValidation type="list" allowBlank="1" sqref="C2:C200" xr:uid="{00000000-0002-0000-0200-000000000000}">
      <formula1>CategoryList</formula1>
      <formula2>0</formula2>
    </dataValidation>
    <dataValidation type="list" allowBlank="1" sqref="D2:D200" xr:uid="{00000000-0002-0000-0200-000001000000}">
      <formula1>INDIRECT($C2)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6"/>
  <sheetViews>
    <sheetView zoomScaleNormal="100" workbookViewId="0"/>
  </sheetViews>
  <sheetFormatPr defaultColWidth="8.7109375" defaultRowHeight="15" x14ac:dyDescent="0.25"/>
  <sheetData>
    <row r="1" spans="1:7" x14ac:dyDescent="0.25">
      <c r="A1" s="3" t="s">
        <v>37</v>
      </c>
      <c r="B1" s="3" t="s">
        <v>46</v>
      </c>
      <c r="C1" s="3" t="s">
        <v>657</v>
      </c>
      <c r="D1" s="3" t="s">
        <v>881</v>
      </c>
      <c r="E1" s="3" t="s">
        <v>1190</v>
      </c>
      <c r="F1" s="3"/>
      <c r="G1" s="3" t="s">
        <v>1513</v>
      </c>
    </row>
    <row r="2" spans="1:7" x14ac:dyDescent="0.25">
      <c r="A2" t="s">
        <v>46</v>
      </c>
      <c r="B2" t="s">
        <v>47</v>
      </c>
      <c r="C2" t="s">
        <v>658</v>
      </c>
      <c r="D2" t="s">
        <v>882</v>
      </c>
      <c r="E2" t="s">
        <v>1191</v>
      </c>
      <c r="G2" t="s">
        <v>49</v>
      </c>
    </row>
    <row r="3" spans="1:7" x14ac:dyDescent="0.25">
      <c r="A3" t="s">
        <v>657</v>
      </c>
      <c r="B3" t="s">
        <v>397</v>
      </c>
      <c r="D3" t="s">
        <v>976</v>
      </c>
      <c r="E3" t="s">
        <v>1259</v>
      </c>
      <c r="G3" t="s">
        <v>145</v>
      </c>
    </row>
    <row r="4" spans="1:7" x14ac:dyDescent="0.25">
      <c r="A4" t="s">
        <v>881</v>
      </c>
      <c r="D4" t="s">
        <v>1047</v>
      </c>
      <c r="E4" t="s">
        <v>1336</v>
      </c>
      <c r="G4" t="s">
        <v>117</v>
      </c>
    </row>
    <row r="5" spans="1:7" x14ac:dyDescent="0.25">
      <c r="A5" t="s">
        <v>1190</v>
      </c>
      <c r="D5" t="s">
        <v>1096</v>
      </c>
    </row>
    <row r="6" spans="1:7" x14ac:dyDescent="0.25">
      <c r="D6" t="s">
        <v>1142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V500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8" customWidth="1"/>
    <col min="2" max="2" width="12" customWidth="1"/>
    <col min="3" max="3" width="11" customWidth="1"/>
    <col min="4" max="4" width="22" customWidth="1"/>
    <col min="5" max="5" width="11" customWidth="1"/>
    <col min="6" max="6" width="32" customWidth="1"/>
    <col min="7" max="7" width="11" customWidth="1"/>
    <col min="8" max="9" width="9" customWidth="1"/>
    <col min="10" max="11" width="13" customWidth="1"/>
    <col min="12" max="12" width="9" customWidth="1"/>
    <col min="13" max="13" width="24" customWidth="1"/>
    <col min="14" max="14" width="20" customWidth="1"/>
    <col min="15" max="16" width="12" customWidth="1"/>
    <col min="17" max="18" width="13" customWidth="1"/>
    <col min="19" max="19" width="12" customWidth="1"/>
    <col min="20" max="20" width="14" customWidth="1"/>
    <col min="21" max="21" width="15" customWidth="1"/>
    <col min="22" max="22" width="14" customWidth="1"/>
  </cols>
  <sheetData>
    <row r="1" spans="1:22" ht="45" x14ac:dyDescent="0.25">
      <c r="A1" s="6" t="s">
        <v>1514</v>
      </c>
      <c r="B1" s="6" t="s">
        <v>1515</v>
      </c>
      <c r="C1" s="6" t="s">
        <v>1469</v>
      </c>
      <c r="D1" s="6" t="s">
        <v>1516</v>
      </c>
      <c r="E1" s="6" t="s">
        <v>37</v>
      </c>
      <c r="F1" s="6" t="s">
        <v>38</v>
      </c>
      <c r="G1" s="6" t="s">
        <v>1517</v>
      </c>
      <c r="H1" s="6" t="s">
        <v>1518</v>
      </c>
      <c r="I1" s="6" t="s">
        <v>1519</v>
      </c>
      <c r="J1" s="6" t="s">
        <v>1520</v>
      </c>
      <c r="K1" s="6" t="s">
        <v>1521</v>
      </c>
      <c r="L1" s="6" t="s">
        <v>1522</v>
      </c>
      <c r="M1" s="6" t="s">
        <v>1523</v>
      </c>
      <c r="N1" s="6" t="s">
        <v>1524</v>
      </c>
      <c r="O1" s="6" t="s">
        <v>1473</v>
      </c>
      <c r="P1" s="6" t="s">
        <v>1525</v>
      </c>
      <c r="Q1" s="6" t="s">
        <v>1526</v>
      </c>
      <c r="R1" s="6" t="s">
        <v>1527</v>
      </c>
      <c r="S1" s="6" t="s">
        <v>1528</v>
      </c>
      <c r="T1" s="6" t="s">
        <v>1474</v>
      </c>
      <c r="U1" s="6" t="s">
        <v>1529</v>
      </c>
      <c r="V1" s="6" t="s">
        <v>1530</v>
      </c>
    </row>
    <row r="2" spans="1:22" x14ac:dyDescent="0.25">
      <c r="A2" s="7">
        <f t="shared" ref="A2:A65" si="0">IF(B2="","",ROW()-1)</f>
        <v>1</v>
      </c>
      <c r="B2" s="11" t="s">
        <v>1531</v>
      </c>
      <c r="C2" s="12" t="s">
        <v>1476</v>
      </c>
      <c r="D2" s="7" t="str">
        <f>IFERROR(INDEX('Asset Register'!$B:$B,MATCH($C2,'Asset Register'!$A:$A,0)),"")</f>
        <v>Bull Dozer (CAT)</v>
      </c>
      <c r="E2" s="7" t="str">
        <f>IFERROR(INDEX('Asset Register'!$C:$C,MATCH($C2,'Asset Register'!$A:$A,0)),"")</f>
        <v>Machinery</v>
      </c>
      <c r="F2" s="7" t="str">
        <f>IFERROR(INDEX('Asset Register'!$D:$D,MATCH($C2,'Asset Register'!$A:$A,0)),"")</f>
        <v>Dozer</v>
      </c>
      <c r="G2" s="8">
        <v>5.5</v>
      </c>
      <c r="H2" s="8">
        <v>2</v>
      </c>
      <c r="I2" s="8">
        <v>0.5</v>
      </c>
      <c r="J2" s="13">
        <f t="shared" ref="J2:J16" si="1">IFERROR($G2/($G2+$I2),"")</f>
        <v>0.91666666666666663</v>
      </c>
      <c r="K2" s="13">
        <f t="shared" ref="K2:K16" si="2">IFERROR($G2/($G2+$H2+$I2),"")</f>
        <v>0.6875</v>
      </c>
      <c r="L2" s="13">
        <f t="shared" ref="L2:L65" si="3">IF($J2="","",1-$J2)</f>
        <v>8.333333333333337E-2</v>
      </c>
      <c r="M2" s="8"/>
      <c r="N2" s="8"/>
      <c r="O2" s="14">
        <f>IFERROR(INDEX('Asset Register'!$G:$G,MATCH($C2,'Asset Register'!$A:$A,0)),"")</f>
        <v>28</v>
      </c>
      <c r="P2" s="8">
        <v>154</v>
      </c>
      <c r="Q2" s="7">
        <f t="shared" ref="Q2:Q65" si="4">IF($O2="","",$O2*$G2)</f>
        <v>154</v>
      </c>
      <c r="R2" s="7">
        <f t="shared" ref="R2:R65" si="5">IF(OR($P2="",$Q2=""),"",$P2-$Q2)</f>
        <v>0</v>
      </c>
      <c r="S2" s="13">
        <f t="shared" ref="S2:S65" si="6">IF(OR($R2="",$Q2="",$Q2=0),"",$R2/$Q2)</f>
        <v>0</v>
      </c>
      <c r="T2" s="15">
        <f>IFERROR(INDEX('Asset Register'!$H:$H,MATCH($C2,'Asset Register'!$A:$A,0)),"")</f>
        <v>1800</v>
      </c>
      <c r="U2" s="15">
        <f t="shared" ref="U2:U65" si="7">IF($T2="","",$G2*$T2)</f>
        <v>9900</v>
      </c>
      <c r="V2" s="13">
        <f t="shared" ref="V2:V65" si="8">IFERROR($H2/$G2,"")</f>
        <v>0.36363636363636365</v>
      </c>
    </row>
    <row r="3" spans="1:22" x14ac:dyDescent="0.25">
      <c r="A3" s="7">
        <f t="shared" si="0"/>
        <v>2</v>
      </c>
      <c r="B3" s="11" t="s">
        <v>1531</v>
      </c>
      <c r="C3" s="12" t="s">
        <v>1480</v>
      </c>
      <c r="D3" s="7" t="str">
        <f>IFERROR(INDEX('Asset Register'!$B:$B,MATCH($C3,'Asset Register'!$A:$A,0)),"")</f>
        <v>Bull Dozer (CAT)</v>
      </c>
      <c r="E3" s="7" t="str">
        <f>IFERROR(INDEX('Asset Register'!$C:$C,MATCH($C3,'Asset Register'!$A:$A,0)),"")</f>
        <v>Machinery</v>
      </c>
      <c r="F3" s="7" t="str">
        <f>IFERROR(INDEX('Asset Register'!$D:$D,MATCH($C3,'Asset Register'!$A:$A,0)),"")</f>
        <v>Dozer</v>
      </c>
      <c r="G3" s="8">
        <v>0</v>
      </c>
      <c r="H3" s="8">
        <v>0</v>
      </c>
      <c r="I3" s="8">
        <v>8</v>
      </c>
      <c r="J3" s="13">
        <f t="shared" si="1"/>
        <v>0</v>
      </c>
      <c r="K3" s="13">
        <f t="shared" si="2"/>
        <v>0</v>
      </c>
      <c r="L3" s="13">
        <f t="shared" si="3"/>
        <v>1</v>
      </c>
      <c r="M3" s="8" t="s">
        <v>1532</v>
      </c>
      <c r="N3" s="8"/>
      <c r="O3" s="14">
        <f>IFERROR(INDEX('Asset Register'!$G:$G,MATCH($C3,'Asset Register'!$A:$A,0)),"")</f>
        <v>28</v>
      </c>
      <c r="P3" s="8">
        <v>0</v>
      </c>
      <c r="Q3" s="7">
        <f t="shared" si="4"/>
        <v>0</v>
      </c>
      <c r="R3" s="7">
        <f t="shared" si="5"/>
        <v>0</v>
      </c>
      <c r="S3" s="13" t="str">
        <f t="shared" si="6"/>
        <v/>
      </c>
      <c r="T3" s="15">
        <f>IFERROR(INDEX('Asset Register'!$H:$H,MATCH($C3,'Asset Register'!$A:$A,0)),"")</f>
        <v>1800</v>
      </c>
      <c r="U3" s="15">
        <f t="shared" si="7"/>
        <v>0</v>
      </c>
      <c r="V3" s="13" t="str">
        <f t="shared" si="8"/>
        <v/>
      </c>
    </row>
    <row r="4" spans="1:22" x14ac:dyDescent="0.25">
      <c r="A4" s="7">
        <f t="shared" si="0"/>
        <v>3</v>
      </c>
      <c r="B4" s="11" t="s">
        <v>1531</v>
      </c>
      <c r="C4" s="12" t="s">
        <v>1482</v>
      </c>
      <c r="D4" s="7" t="str">
        <f>IFERROR(INDEX('Asset Register'!$B:$B,MATCH($C4,'Asset Register'!$A:$A,0)),"")</f>
        <v>Bull Dozer (Komatsu)</v>
      </c>
      <c r="E4" s="7" t="str">
        <f>IFERROR(INDEX('Asset Register'!$C:$C,MATCH($C4,'Asset Register'!$A:$A,0)),"")</f>
        <v>Machinery</v>
      </c>
      <c r="F4" s="7" t="str">
        <f>IFERROR(INDEX('Asset Register'!$D:$D,MATCH($C4,'Asset Register'!$A:$A,0)),"")</f>
        <v>Dozer</v>
      </c>
      <c r="G4" s="8">
        <v>4</v>
      </c>
      <c r="H4" s="8">
        <v>4</v>
      </c>
      <c r="I4" s="8">
        <v>0</v>
      </c>
      <c r="J4" s="13">
        <f t="shared" si="1"/>
        <v>1</v>
      </c>
      <c r="K4" s="13">
        <f t="shared" si="2"/>
        <v>0.5</v>
      </c>
      <c r="L4" s="13">
        <f t="shared" si="3"/>
        <v>0</v>
      </c>
      <c r="M4" s="8"/>
      <c r="N4" s="8"/>
      <c r="O4" s="14">
        <f>IFERROR(INDEX('Asset Register'!$G:$G,MATCH($C4,'Asset Register'!$A:$A,0)),"")</f>
        <v>28</v>
      </c>
      <c r="P4" s="8">
        <v>120</v>
      </c>
      <c r="Q4" s="7">
        <f t="shared" si="4"/>
        <v>112</v>
      </c>
      <c r="R4" s="7">
        <f t="shared" si="5"/>
        <v>8</v>
      </c>
      <c r="S4" s="13">
        <f t="shared" si="6"/>
        <v>7.1428571428571425E-2</v>
      </c>
      <c r="T4" s="15">
        <f>IFERROR(INDEX('Asset Register'!$H:$H,MATCH($C4,'Asset Register'!$A:$A,0)),"")</f>
        <v>1800</v>
      </c>
      <c r="U4" s="15">
        <f t="shared" si="7"/>
        <v>7200</v>
      </c>
      <c r="V4" s="13">
        <f t="shared" si="8"/>
        <v>1</v>
      </c>
    </row>
    <row r="5" spans="1:22" x14ac:dyDescent="0.25">
      <c r="A5" s="7">
        <f t="shared" si="0"/>
        <v>4</v>
      </c>
      <c r="B5" s="11" t="s">
        <v>1531</v>
      </c>
      <c r="C5" s="12" t="s">
        <v>1485</v>
      </c>
      <c r="D5" s="7" t="str">
        <f>IFERROR(INDEX('Asset Register'!$B:$B,MATCH($C5,'Asset Register'!$A:$A,0)),"")</f>
        <v>Dump Truck (Volvo)</v>
      </c>
      <c r="E5" s="7" t="str">
        <f>IFERROR(INDEX('Asset Register'!$C:$C,MATCH($C5,'Asset Register'!$A:$A,0)),"")</f>
        <v>Heavy</v>
      </c>
      <c r="F5" s="7" t="str">
        <f>IFERROR(INDEX('Asset Register'!$D:$D,MATCH($C5,'Asset Register'!$A:$A,0)),"")</f>
        <v>Heavy Truck</v>
      </c>
      <c r="G5" s="8">
        <v>6.5</v>
      </c>
      <c r="H5" s="8">
        <v>1.5</v>
      </c>
      <c r="I5" s="8">
        <v>0</v>
      </c>
      <c r="J5" s="13">
        <f t="shared" si="1"/>
        <v>1</v>
      </c>
      <c r="K5" s="13">
        <f t="shared" si="2"/>
        <v>0.8125</v>
      </c>
      <c r="L5" s="13">
        <f t="shared" si="3"/>
        <v>0</v>
      </c>
      <c r="M5" s="8"/>
      <c r="N5" s="8"/>
      <c r="O5" s="14">
        <f>IFERROR(INDEX('Asset Register'!$G:$G,MATCH($C5,'Asset Register'!$A:$A,0)),"")</f>
        <v>24</v>
      </c>
      <c r="P5" s="8">
        <v>182</v>
      </c>
      <c r="Q5" s="7">
        <f t="shared" si="4"/>
        <v>156</v>
      </c>
      <c r="R5" s="7">
        <f t="shared" si="5"/>
        <v>26</v>
      </c>
      <c r="S5" s="13">
        <f t="shared" si="6"/>
        <v>0.16666666666666666</v>
      </c>
      <c r="T5" s="15">
        <f>IFERROR(INDEX('Asset Register'!$H:$H,MATCH($C5,'Asset Register'!$A:$A,0)),"")</f>
        <v>1500</v>
      </c>
      <c r="U5" s="15">
        <f t="shared" si="7"/>
        <v>9750</v>
      </c>
      <c r="V5" s="13">
        <f t="shared" si="8"/>
        <v>0.23076923076923078</v>
      </c>
    </row>
    <row r="6" spans="1:22" x14ac:dyDescent="0.25">
      <c r="A6" s="7">
        <f t="shared" si="0"/>
        <v>5</v>
      </c>
      <c r="B6" s="11" t="s">
        <v>1531</v>
      </c>
      <c r="C6" s="12" t="s">
        <v>1488</v>
      </c>
      <c r="D6" s="7" t="str">
        <f>IFERROR(INDEX('Asset Register'!$B:$B,MATCH($C6,'Asset Register'!$A:$A,0)),"")</f>
        <v>Bull Dozer (CAT)</v>
      </c>
      <c r="E6" s="7" t="str">
        <f>IFERROR(INDEX('Asset Register'!$C:$C,MATCH($C6,'Asset Register'!$A:$A,0)),"")</f>
        <v>Machinery</v>
      </c>
      <c r="F6" s="7" t="str">
        <f>IFERROR(INDEX('Asset Register'!$D:$D,MATCH($C6,'Asset Register'!$A:$A,0)),"")</f>
        <v>Dozer</v>
      </c>
      <c r="G6" s="8">
        <v>5</v>
      </c>
      <c r="H6" s="8">
        <v>1</v>
      </c>
      <c r="I6" s="8">
        <v>2</v>
      </c>
      <c r="J6" s="13">
        <f t="shared" si="1"/>
        <v>0.7142857142857143</v>
      </c>
      <c r="K6" s="13">
        <f t="shared" si="2"/>
        <v>0.625</v>
      </c>
      <c r="L6" s="13">
        <f t="shared" si="3"/>
        <v>0.2857142857142857</v>
      </c>
      <c r="M6" s="8" t="s">
        <v>1533</v>
      </c>
      <c r="N6" s="8"/>
      <c r="O6" s="14">
        <f>IFERROR(INDEX('Asset Register'!$G:$G,MATCH($C6,'Asset Register'!$A:$A,0)),"")</f>
        <v>26</v>
      </c>
      <c r="P6" s="8">
        <v>140</v>
      </c>
      <c r="Q6" s="7">
        <f t="shared" si="4"/>
        <v>130</v>
      </c>
      <c r="R6" s="7">
        <f t="shared" si="5"/>
        <v>10</v>
      </c>
      <c r="S6" s="13">
        <f t="shared" si="6"/>
        <v>7.6923076923076927E-2</v>
      </c>
      <c r="T6" s="15">
        <f>IFERROR(INDEX('Asset Register'!$H:$H,MATCH($C6,'Asset Register'!$A:$A,0)),"")</f>
        <v>1800</v>
      </c>
      <c r="U6" s="15">
        <f t="shared" si="7"/>
        <v>9000</v>
      </c>
      <c r="V6" s="13">
        <f t="shared" si="8"/>
        <v>0.2</v>
      </c>
    </row>
    <row r="7" spans="1:22" x14ac:dyDescent="0.25">
      <c r="A7" s="7">
        <f t="shared" si="0"/>
        <v>6</v>
      </c>
      <c r="B7" s="11" t="s">
        <v>1534</v>
      </c>
      <c r="C7" s="12" t="s">
        <v>1489</v>
      </c>
      <c r="D7" s="7" t="str">
        <f>IFERROR(INDEX('Asset Register'!$B:$B,MATCH($C7,'Asset Register'!$A:$A,0)),"")</f>
        <v>Toyota Land Cruiser</v>
      </c>
      <c r="E7" s="7" t="str">
        <f>IFERROR(INDEX('Asset Register'!$C:$C,MATCH($C7,'Asset Register'!$A:$A,0)),"")</f>
        <v>Light</v>
      </c>
      <c r="F7" s="7" t="str">
        <f>IFERROR(INDEX('Asset Register'!$D:$D,MATCH($C7,'Asset Register'!$A:$A,0)),"")</f>
        <v>Automobile</v>
      </c>
      <c r="G7" s="8">
        <v>6</v>
      </c>
      <c r="H7" s="8">
        <v>1</v>
      </c>
      <c r="I7" s="8">
        <v>0</v>
      </c>
      <c r="J7" s="13">
        <f t="shared" si="1"/>
        <v>1</v>
      </c>
      <c r="K7" s="13">
        <f t="shared" si="2"/>
        <v>0.8571428571428571</v>
      </c>
      <c r="L7" s="13">
        <f t="shared" si="3"/>
        <v>0</v>
      </c>
      <c r="M7" s="8"/>
      <c r="N7" s="8"/>
      <c r="O7" s="14">
        <f>IFERROR(INDEX('Asset Register'!$G:$G,MATCH($C7,'Asset Register'!$A:$A,0)),"")</f>
        <v>12</v>
      </c>
      <c r="P7" s="8">
        <v>75</v>
      </c>
      <c r="Q7" s="7">
        <f t="shared" si="4"/>
        <v>72</v>
      </c>
      <c r="R7" s="7">
        <f t="shared" si="5"/>
        <v>3</v>
      </c>
      <c r="S7" s="13">
        <f t="shared" si="6"/>
        <v>4.1666666666666664E-2</v>
      </c>
      <c r="T7" s="15">
        <f>IFERROR(INDEX('Asset Register'!$H:$H,MATCH($C7,'Asset Register'!$A:$A,0)),"")</f>
        <v>450</v>
      </c>
      <c r="U7" s="15">
        <f t="shared" si="7"/>
        <v>2700</v>
      </c>
      <c r="V7" s="13">
        <f t="shared" si="8"/>
        <v>0.16666666666666666</v>
      </c>
    </row>
    <row r="8" spans="1:22" x14ac:dyDescent="0.25">
      <c r="A8" s="7">
        <f t="shared" si="0"/>
        <v>7</v>
      </c>
      <c r="B8" s="11" t="s">
        <v>1534</v>
      </c>
      <c r="C8" s="12" t="s">
        <v>1492</v>
      </c>
      <c r="D8" s="7" t="str">
        <f>IFERROR(INDEX('Asset Register'!$B:$B,MATCH($C8,'Asset Register'!$A:$A,0)),"")</f>
        <v>Toyota Hilux Pickup</v>
      </c>
      <c r="E8" s="7" t="str">
        <f>IFERROR(INDEX('Asset Register'!$C:$C,MATCH($C8,'Asset Register'!$A:$A,0)),"")</f>
        <v>Light</v>
      </c>
      <c r="F8" s="7" t="str">
        <f>IFERROR(INDEX('Asset Register'!$D:$D,MATCH($C8,'Asset Register'!$A:$A,0)),"")</f>
        <v>Pick Up / Station Wagon / Mini Bus</v>
      </c>
      <c r="G8" s="8">
        <v>7</v>
      </c>
      <c r="H8" s="8">
        <v>0.5</v>
      </c>
      <c r="I8" s="8">
        <v>0</v>
      </c>
      <c r="J8" s="13">
        <f t="shared" si="1"/>
        <v>1</v>
      </c>
      <c r="K8" s="13">
        <f t="shared" si="2"/>
        <v>0.93333333333333335</v>
      </c>
      <c r="L8" s="13">
        <f t="shared" si="3"/>
        <v>0</v>
      </c>
      <c r="M8" s="8"/>
      <c r="N8" s="8"/>
      <c r="O8" s="14">
        <f>IFERROR(INDEX('Asset Register'!$G:$G,MATCH($C8,'Asset Register'!$A:$A,0)),"")</f>
        <v>9</v>
      </c>
      <c r="P8" s="8">
        <v>66</v>
      </c>
      <c r="Q8" s="7">
        <f t="shared" si="4"/>
        <v>63</v>
      </c>
      <c r="R8" s="7">
        <f t="shared" si="5"/>
        <v>3</v>
      </c>
      <c r="S8" s="13">
        <f t="shared" si="6"/>
        <v>4.7619047619047616E-2</v>
      </c>
      <c r="T8" s="15">
        <f>IFERROR(INDEX('Asset Register'!$H:$H,MATCH($C8,'Asset Register'!$A:$A,0)),"")</f>
        <v>400</v>
      </c>
      <c r="U8" s="15">
        <f t="shared" si="7"/>
        <v>2800</v>
      </c>
      <c r="V8" s="13">
        <f t="shared" si="8"/>
        <v>7.1428571428571425E-2</v>
      </c>
    </row>
    <row r="9" spans="1:22" x14ac:dyDescent="0.25">
      <c r="A9" s="7">
        <f t="shared" si="0"/>
        <v>8</v>
      </c>
      <c r="B9" s="11" t="s">
        <v>1534</v>
      </c>
      <c r="C9" s="12" t="s">
        <v>1494</v>
      </c>
      <c r="D9" s="7" t="str">
        <f>IFERROR(INDEX('Asset Register'!$B:$B,MATCH($C9,'Asset Register'!$A:$A,0)),"")</f>
        <v>Sedan Pool Car</v>
      </c>
      <c r="E9" s="7" t="str">
        <f>IFERROR(INDEX('Asset Register'!$C:$C,MATCH($C9,'Asset Register'!$A:$A,0)),"")</f>
        <v>Light</v>
      </c>
      <c r="F9" s="7" t="str">
        <f>IFERROR(INDEX('Asset Register'!$D:$D,MATCH($C9,'Asset Register'!$A:$A,0)),"")</f>
        <v>Automobile</v>
      </c>
      <c r="G9" s="8">
        <v>5</v>
      </c>
      <c r="H9" s="8">
        <v>1</v>
      </c>
      <c r="I9" s="8">
        <v>0</v>
      </c>
      <c r="J9" s="13">
        <f t="shared" si="1"/>
        <v>1</v>
      </c>
      <c r="K9" s="13">
        <f t="shared" si="2"/>
        <v>0.83333333333333337</v>
      </c>
      <c r="L9" s="13">
        <f t="shared" si="3"/>
        <v>0</v>
      </c>
      <c r="M9" s="8"/>
      <c r="N9" s="8"/>
      <c r="O9" s="14">
        <f>IFERROR(INDEX('Asset Register'!$G:$G,MATCH($C9,'Asset Register'!$A:$A,0)),"")</f>
        <v>7</v>
      </c>
      <c r="P9" s="8">
        <v>34</v>
      </c>
      <c r="Q9" s="7">
        <f t="shared" si="4"/>
        <v>35</v>
      </c>
      <c r="R9" s="7">
        <f t="shared" si="5"/>
        <v>-1</v>
      </c>
      <c r="S9" s="13">
        <f t="shared" si="6"/>
        <v>-2.8571428571428571E-2</v>
      </c>
      <c r="T9" s="15">
        <f>IFERROR(INDEX('Asset Register'!$H:$H,MATCH($C9,'Asset Register'!$A:$A,0)),"")</f>
        <v>350</v>
      </c>
      <c r="U9" s="15">
        <f t="shared" si="7"/>
        <v>1750</v>
      </c>
      <c r="V9" s="13">
        <f t="shared" si="8"/>
        <v>0.2</v>
      </c>
    </row>
    <row r="10" spans="1:22" x14ac:dyDescent="0.25">
      <c r="A10" s="7">
        <f t="shared" si="0"/>
        <v>9</v>
      </c>
      <c r="B10" s="11" t="s">
        <v>1534</v>
      </c>
      <c r="C10" s="12" t="s">
        <v>1496</v>
      </c>
      <c r="D10" s="7" t="str">
        <f>IFERROR(INDEX('Asset Register'!$B:$B,MATCH($C10,'Asset Register'!$A:$A,0)),"")</f>
        <v>Excavator (Komatsu PC200)</v>
      </c>
      <c r="E10" s="7" t="str">
        <f>IFERROR(INDEX('Asset Register'!$C:$C,MATCH($C10,'Asset Register'!$A:$A,0)),"")</f>
        <v>Machinery</v>
      </c>
      <c r="F10" s="7" t="str">
        <f>IFERROR(INDEX('Asset Register'!$D:$D,MATCH($C10,'Asset Register'!$A:$A,0)),"")</f>
        <v>Excavator</v>
      </c>
      <c r="G10" s="8">
        <v>7</v>
      </c>
      <c r="H10" s="8">
        <v>1</v>
      </c>
      <c r="I10" s="8">
        <v>0</v>
      </c>
      <c r="J10" s="13">
        <f t="shared" si="1"/>
        <v>1</v>
      </c>
      <c r="K10" s="13">
        <f t="shared" si="2"/>
        <v>0.875</v>
      </c>
      <c r="L10" s="13">
        <f t="shared" si="3"/>
        <v>0</v>
      </c>
      <c r="M10" s="8"/>
      <c r="N10" s="8"/>
      <c r="O10" s="14">
        <f>IFERROR(INDEX('Asset Register'!$G:$G,MATCH($C10,'Asset Register'!$A:$A,0)),"")</f>
        <v>22</v>
      </c>
      <c r="P10" s="8">
        <v>158</v>
      </c>
      <c r="Q10" s="7">
        <f t="shared" si="4"/>
        <v>154</v>
      </c>
      <c r="R10" s="7">
        <f t="shared" si="5"/>
        <v>4</v>
      </c>
      <c r="S10" s="13">
        <f t="shared" si="6"/>
        <v>2.5974025974025976E-2</v>
      </c>
      <c r="T10" s="15">
        <f>IFERROR(INDEX('Asset Register'!$H:$H,MATCH($C10,'Asset Register'!$A:$A,0)),"")</f>
        <v>2200</v>
      </c>
      <c r="U10" s="15">
        <f t="shared" si="7"/>
        <v>15400</v>
      </c>
      <c r="V10" s="13">
        <f t="shared" si="8"/>
        <v>0.14285714285714285</v>
      </c>
    </row>
    <row r="11" spans="1:22" x14ac:dyDescent="0.25">
      <c r="A11" s="7">
        <f t="shared" si="0"/>
        <v>10</v>
      </c>
      <c r="B11" s="11" t="s">
        <v>1534</v>
      </c>
      <c r="C11" s="12" t="s">
        <v>1498</v>
      </c>
      <c r="D11" s="7" t="str">
        <f>IFERROR(INDEX('Asset Register'!$B:$B,MATCH($C11,'Asset Register'!$A:$A,0)),"")</f>
        <v>Grader (CAT 140K)</v>
      </c>
      <c r="E11" s="7" t="str">
        <f>IFERROR(INDEX('Asset Register'!$C:$C,MATCH($C11,'Asset Register'!$A:$A,0)),"")</f>
        <v>Machinery</v>
      </c>
      <c r="F11" s="7" t="str">
        <f>IFERROR(INDEX('Asset Register'!$D:$D,MATCH($C11,'Asset Register'!$A:$A,0)),"")</f>
        <v>Grader</v>
      </c>
      <c r="G11" s="8">
        <v>6</v>
      </c>
      <c r="H11" s="8">
        <v>2</v>
      </c>
      <c r="I11" s="8">
        <v>0</v>
      </c>
      <c r="J11" s="13">
        <f t="shared" si="1"/>
        <v>1</v>
      </c>
      <c r="K11" s="13">
        <f t="shared" si="2"/>
        <v>0.75</v>
      </c>
      <c r="L11" s="13">
        <f t="shared" si="3"/>
        <v>0</v>
      </c>
      <c r="M11" s="8"/>
      <c r="N11" s="8"/>
      <c r="O11" s="14">
        <f>IFERROR(INDEX('Asset Register'!$G:$G,MATCH($C11,'Asset Register'!$A:$A,0)),"")</f>
        <v>20</v>
      </c>
      <c r="P11" s="8">
        <v>128</v>
      </c>
      <c r="Q11" s="7">
        <f t="shared" si="4"/>
        <v>120</v>
      </c>
      <c r="R11" s="7">
        <f t="shared" si="5"/>
        <v>8</v>
      </c>
      <c r="S11" s="13">
        <f t="shared" si="6"/>
        <v>6.6666666666666666E-2</v>
      </c>
      <c r="T11" s="15">
        <f>IFERROR(INDEX('Asset Register'!$H:$H,MATCH($C11,'Asset Register'!$A:$A,0)),"")</f>
        <v>2000</v>
      </c>
      <c r="U11" s="15">
        <f t="shared" si="7"/>
        <v>12000</v>
      </c>
      <c r="V11" s="13">
        <f t="shared" si="8"/>
        <v>0.33333333333333331</v>
      </c>
    </row>
    <row r="12" spans="1:22" x14ac:dyDescent="0.25">
      <c r="A12" s="7">
        <f t="shared" si="0"/>
        <v>11</v>
      </c>
      <c r="B12" s="11" t="s">
        <v>1534</v>
      </c>
      <c r="C12" s="12" t="s">
        <v>1500</v>
      </c>
      <c r="D12" s="7" t="str">
        <f>IFERROR(INDEX('Asset Register'!$B:$B,MATCH($C12,'Asset Register'!$A:$A,0)),"")</f>
        <v>Wheel Loader (CAT 950)</v>
      </c>
      <c r="E12" s="7" t="str">
        <f>IFERROR(INDEX('Asset Register'!$C:$C,MATCH($C12,'Asset Register'!$A:$A,0)),"")</f>
        <v>Machinery</v>
      </c>
      <c r="F12" s="7" t="str">
        <f>IFERROR(INDEX('Asset Register'!$D:$D,MATCH($C12,'Asset Register'!$A:$A,0)),"")</f>
        <v>Loader</v>
      </c>
      <c r="G12" s="8">
        <v>6.5</v>
      </c>
      <c r="H12" s="8">
        <v>1.5</v>
      </c>
      <c r="I12" s="8">
        <v>0</v>
      </c>
      <c r="J12" s="13">
        <f t="shared" si="1"/>
        <v>1</v>
      </c>
      <c r="K12" s="13">
        <f t="shared" si="2"/>
        <v>0.8125</v>
      </c>
      <c r="L12" s="13">
        <f t="shared" si="3"/>
        <v>0</v>
      </c>
      <c r="M12" s="8"/>
      <c r="N12" s="8"/>
      <c r="O12" s="14">
        <f>IFERROR(INDEX('Asset Register'!$G:$G,MATCH($C12,'Asset Register'!$A:$A,0)),"")</f>
        <v>18</v>
      </c>
      <c r="P12" s="8">
        <v>122</v>
      </c>
      <c r="Q12" s="7">
        <f t="shared" si="4"/>
        <v>117</v>
      </c>
      <c r="R12" s="7">
        <f t="shared" si="5"/>
        <v>5</v>
      </c>
      <c r="S12" s="13">
        <f t="shared" si="6"/>
        <v>4.2735042735042736E-2</v>
      </c>
      <c r="T12" s="15">
        <f>IFERROR(INDEX('Asset Register'!$H:$H,MATCH($C12,'Asset Register'!$A:$A,0)),"")</f>
        <v>1900</v>
      </c>
      <c r="U12" s="15">
        <f t="shared" si="7"/>
        <v>12350</v>
      </c>
      <c r="V12" s="13">
        <f t="shared" si="8"/>
        <v>0.23076923076923078</v>
      </c>
    </row>
    <row r="13" spans="1:22" x14ac:dyDescent="0.25">
      <c r="A13" s="7">
        <f t="shared" si="0"/>
        <v>12</v>
      </c>
      <c r="B13" s="11" t="s">
        <v>1534</v>
      </c>
      <c r="C13" s="12" t="s">
        <v>1502</v>
      </c>
      <c r="D13" s="7" t="str">
        <f>IFERROR(INDEX('Asset Register'!$B:$B,MATCH($C13,'Asset Register'!$A:$A,0)),"")</f>
        <v>Standby Generator 150KVA</v>
      </c>
      <c r="E13" s="7" t="str">
        <f>IFERROR(INDEX('Asset Register'!$C:$C,MATCH($C13,'Asset Register'!$A:$A,0)),"")</f>
        <v>Others</v>
      </c>
      <c r="F13" s="7" t="str">
        <f>IFERROR(INDEX('Asset Register'!$D:$D,MATCH($C13,'Asset Register'!$A:$A,0)),"")</f>
        <v>Generator</v>
      </c>
      <c r="G13" s="8">
        <v>8</v>
      </c>
      <c r="H13" s="8">
        <v>0</v>
      </c>
      <c r="I13" s="8">
        <v>0</v>
      </c>
      <c r="J13" s="13">
        <f t="shared" si="1"/>
        <v>1</v>
      </c>
      <c r="K13" s="13">
        <f t="shared" si="2"/>
        <v>1</v>
      </c>
      <c r="L13" s="13">
        <f t="shared" si="3"/>
        <v>0</v>
      </c>
      <c r="M13" s="8"/>
      <c r="N13" s="8"/>
      <c r="O13" s="14">
        <f>IFERROR(INDEX('Asset Register'!$G:$G,MATCH($C13,'Asset Register'!$A:$A,0)),"")</f>
        <v>12</v>
      </c>
      <c r="P13" s="8">
        <v>100</v>
      </c>
      <c r="Q13" s="7">
        <f t="shared" si="4"/>
        <v>96</v>
      </c>
      <c r="R13" s="7">
        <f t="shared" si="5"/>
        <v>4</v>
      </c>
      <c r="S13" s="13">
        <f t="shared" si="6"/>
        <v>4.1666666666666664E-2</v>
      </c>
      <c r="T13" s="15">
        <f>IFERROR(INDEX('Asset Register'!$H:$H,MATCH($C13,'Asset Register'!$A:$A,0)),"")</f>
        <v>300</v>
      </c>
      <c r="U13" s="15">
        <f t="shared" si="7"/>
        <v>2400</v>
      </c>
      <c r="V13" s="13">
        <f t="shared" si="8"/>
        <v>0</v>
      </c>
    </row>
    <row r="14" spans="1:22" x14ac:dyDescent="0.25">
      <c r="A14" s="7">
        <f t="shared" si="0"/>
        <v>13</v>
      </c>
      <c r="B14" s="11" t="s">
        <v>1534</v>
      </c>
      <c r="C14" s="12" t="s">
        <v>1505</v>
      </c>
      <c r="D14" s="7" t="str">
        <f>IFERROR(INDEX('Asset Register'!$B:$B,MATCH($C14,'Asset Register'!$A:$A,0)),"")</f>
        <v>Air Compressor Unit 1</v>
      </c>
      <c r="E14" s="7" t="str">
        <f>IFERROR(INDEX('Asset Register'!$C:$C,MATCH($C14,'Asset Register'!$A:$A,0)),"")</f>
        <v>Others</v>
      </c>
      <c r="F14" s="7" t="str">
        <f>IFERROR(INDEX('Asset Register'!$D:$D,MATCH($C14,'Asset Register'!$A:$A,0)),"")</f>
        <v>Air Compressor</v>
      </c>
      <c r="G14" s="8">
        <v>8</v>
      </c>
      <c r="H14" s="8">
        <v>0</v>
      </c>
      <c r="I14" s="8">
        <v>0</v>
      </c>
      <c r="J14" s="13">
        <f t="shared" si="1"/>
        <v>1</v>
      </c>
      <c r="K14" s="13">
        <f t="shared" si="2"/>
        <v>1</v>
      </c>
      <c r="L14" s="13">
        <f t="shared" si="3"/>
        <v>0</v>
      </c>
      <c r="M14" s="8"/>
      <c r="N14" s="8"/>
      <c r="O14" s="14">
        <f>IFERROR(INDEX('Asset Register'!$G:$G,MATCH($C14,'Asset Register'!$A:$A,0)),"")</f>
        <v>8</v>
      </c>
      <c r="P14" s="8">
        <v>66</v>
      </c>
      <c r="Q14" s="7">
        <f t="shared" si="4"/>
        <v>64</v>
      </c>
      <c r="R14" s="7">
        <f t="shared" si="5"/>
        <v>2</v>
      </c>
      <c r="S14" s="13">
        <f t="shared" si="6"/>
        <v>3.125E-2</v>
      </c>
      <c r="T14" s="15">
        <f>IFERROR(INDEX('Asset Register'!$H:$H,MATCH($C14,'Asset Register'!$A:$A,0)),"")</f>
        <v>250</v>
      </c>
      <c r="U14" s="15">
        <f t="shared" si="7"/>
        <v>2000</v>
      </c>
      <c r="V14" s="13">
        <f t="shared" si="8"/>
        <v>0</v>
      </c>
    </row>
    <row r="15" spans="1:22" x14ac:dyDescent="0.25">
      <c r="A15" s="7">
        <f t="shared" si="0"/>
        <v>14</v>
      </c>
      <c r="B15" s="11" t="s">
        <v>1534</v>
      </c>
      <c r="C15" s="12" t="s">
        <v>1508</v>
      </c>
      <c r="D15" s="7" t="str">
        <f>IFERROR(INDEX('Asset Register'!$B:$B,MATCH($C15,'Asset Register'!$A:$A,0)),"")</f>
        <v>Heavy Fuel Tanker</v>
      </c>
      <c r="E15" s="7" t="str">
        <f>IFERROR(INDEX('Asset Register'!$C:$C,MATCH($C15,'Asset Register'!$A:$A,0)),"")</f>
        <v>Heavy</v>
      </c>
      <c r="F15" s="7" t="str">
        <f>IFERROR(INDEX('Asset Register'!$D:$D,MATCH($C15,'Asset Register'!$A:$A,0)),"")</f>
        <v>Heavy Truck</v>
      </c>
      <c r="G15" s="8">
        <v>7</v>
      </c>
      <c r="H15" s="8">
        <v>1</v>
      </c>
      <c r="I15" s="8">
        <v>0</v>
      </c>
      <c r="J15" s="13">
        <f t="shared" si="1"/>
        <v>1</v>
      </c>
      <c r="K15" s="13">
        <f t="shared" si="2"/>
        <v>0.875</v>
      </c>
      <c r="L15" s="13">
        <f t="shared" si="3"/>
        <v>0</v>
      </c>
      <c r="M15" s="8"/>
      <c r="N15" s="8"/>
      <c r="O15" s="14">
        <f>IFERROR(INDEX('Asset Register'!$G:$G,MATCH($C15,'Asset Register'!$A:$A,0)),"")</f>
        <v>30</v>
      </c>
      <c r="P15" s="8">
        <v>205</v>
      </c>
      <c r="Q15" s="7">
        <f t="shared" si="4"/>
        <v>210</v>
      </c>
      <c r="R15" s="7">
        <f t="shared" si="5"/>
        <v>-5</v>
      </c>
      <c r="S15" s="13">
        <f t="shared" si="6"/>
        <v>-2.3809523809523808E-2</v>
      </c>
      <c r="T15" s="15">
        <f>IFERROR(INDEX('Asset Register'!$H:$H,MATCH($C15,'Asset Register'!$A:$A,0)),"")</f>
        <v>1600</v>
      </c>
      <c r="U15" s="15">
        <f t="shared" si="7"/>
        <v>11200</v>
      </c>
      <c r="V15" s="13">
        <f t="shared" si="8"/>
        <v>0.14285714285714285</v>
      </c>
    </row>
    <row r="16" spans="1:22" x14ac:dyDescent="0.25">
      <c r="A16" s="7">
        <f t="shared" si="0"/>
        <v>15</v>
      </c>
      <c r="B16" s="11" t="s">
        <v>1534</v>
      </c>
      <c r="C16" s="12" t="s">
        <v>1511</v>
      </c>
      <c r="D16" s="7" t="str">
        <f>IFERROR(INDEX('Asset Register'!$B:$B,MATCH($C16,'Asset Register'!$A:$A,0)),"")</f>
        <v>Site Electrical Panel</v>
      </c>
      <c r="E16" s="7" t="str">
        <f>IFERROR(INDEX('Asset Register'!$C:$C,MATCH($C16,'Asset Register'!$A:$A,0)),"")</f>
        <v>Others</v>
      </c>
      <c r="F16" s="7" t="str">
        <f>IFERROR(INDEX('Asset Register'!$D:$D,MATCH($C16,'Asset Register'!$A:$A,0)),"")</f>
        <v>Electrical &amp; Electronics</v>
      </c>
      <c r="G16" s="8">
        <v>8</v>
      </c>
      <c r="H16" s="8">
        <v>0</v>
      </c>
      <c r="I16" s="8">
        <v>0</v>
      </c>
      <c r="J16" s="13">
        <f t="shared" si="1"/>
        <v>1</v>
      </c>
      <c r="K16" s="13">
        <f t="shared" si="2"/>
        <v>1</v>
      </c>
      <c r="L16" s="13">
        <f t="shared" si="3"/>
        <v>0</v>
      </c>
      <c r="M16" s="8"/>
      <c r="N16" s="8"/>
      <c r="O16" s="14">
        <f>IFERROR(INDEX('Asset Register'!$G:$G,MATCH($C16,'Asset Register'!$A:$A,0)),"")</f>
        <v>0</v>
      </c>
      <c r="P16" s="8"/>
      <c r="Q16" s="7">
        <f t="shared" si="4"/>
        <v>0</v>
      </c>
      <c r="R16" s="7" t="str">
        <f t="shared" si="5"/>
        <v/>
      </c>
      <c r="S16" s="13" t="str">
        <f t="shared" si="6"/>
        <v/>
      </c>
      <c r="T16" s="15">
        <f>IFERROR(INDEX('Asset Register'!$H:$H,MATCH($C16,'Asset Register'!$A:$A,0)),"")</f>
        <v>200</v>
      </c>
      <c r="U16" s="15">
        <f t="shared" si="7"/>
        <v>1600</v>
      </c>
      <c r="V16" s="13">
        <f t="shared" si="8"/>
        <v>0</v>
      </c>
    </row>
    <row r="17" spans="1:22" x14ac:dyDescent="0.25">
      <c r="A17" t="str">
        <f t="shared" si="0"/>
        <v/>
      </c>
      <c r="B17" s="16"/>
      <c r="D17" t="str">
        <f>IF($C17="","",IFERROR(INDEX('Asset Register'!$B:$B,MATCH($C17,'Asset Register'!$A:$A,0)),""))</f>
        <v/>
      </c>
      <c r="E17" t="str">
        <f>IF($C17="","",IFERROR(INDEX('Asset Register'!$C:$C,MATCH($C17,'Asset Register'!$A:$A,0)),""))</f>
        <v/>
      </c>
      <c r="F17" t="str">
        <f>IF($C17="","",IFERROR(INDEX('Asset Register'!$D:$D,MATCH($C17,'Asset Register'!$A:$A,0)),""))</f>
        <v/>
      </c>
      <c r="J17" s="17" t="str">
        <f t="shared" ref="J17:J80" si="9">IF(OR($G17="",$G17+$I17=0),"",$G17/($G17+$I17))</f>
        <v/>
      </c>
      <c r="K17" s="17" t="str">
        <f t="shared" ref="K17:K80" si="10">IF(OR($G17="",$G17+$H17+$I17=0),"",$G17/($G17+$H17+$I17))</f>
        <v/>
      </c>
      <c r="L17" s="17" t="str">
        <f t="shared" si="3"/>
        <v/>
      </c>
      <c r="O17" t="str">
        <f>IF($C17="","",IFERROR(INDEX('Asset Register'!$G:$G,MATCH($C17,'Asset Register'!$A:$A,0)),""))</f>
        <v/>
      </c>
      <c r="Q17" t="str">
        <f t="shared" si="4"/>
        <v/>
      </c>
      <c r="R17" t="str">
        <f t="shared" si="5"/>
        <v/>
      </c>
      <c r="S17" s="17" t="str">
        <f t="shared" si="6"/>
        <v/>
      </c>
      <c r="T17" s="18" t="str">
        <f>IF($C17="","",IFERROR(INDEX('Asset Register'!$H:$H,MATCH($C17,'Asset Register'!$A:$A,0)),""))</f>
        <v/>
      </c>
      <c r="U17" s="18" t="str">
        <f t="shared" si="7"/>
        <v/>
      </c>
      <c r="V17" s="17" t="str">
        <f t="shared" si="8"/>
        <v/>
      </c>
    </row>
    <row r="18" spans="1:22" x14ac:dyDescent="0.25">
      <c r="A18" t="str">
        <f t="shared" si="0"/>
        <v/>
      </c>
      <c r="B18" s="16"/>
      <c r="D18" t="str">
        <f>IF($C18="","",IFERROR(INDEX('Asset Register'!$B:$B,MATCH($C18,'Asset Register'!$A:$A,0)),""))</f>
        <v/>
      </c>
      <c r="E18" t="str">
        <f>IF($C18="","",IFERROR(INDEX('Asset Register'!$C:$C,MATCH($C18,'Asset Register'!$A:$A,0)),""))</f>
        <v/>
      </c>
      <c r="F18" t="str">
        <f>IF($C18="","",IFERROR(INDEX('Asset Register'!$D:$D,MATCH($C18,'Asset Register'!$A:$A,0)),""))</f>
        <v/>
      </c>
      <c r="J18" s="17" t="str">
        <f t="shared" si="9"/>
        <v/>
      </c>
      <c r="K18" s="17" t="str">
        <f t="shared" si="10"/>
        <v/>
      </c>
      <c r="L18" s="17" t="str">
        <f t="shared" si="3"/>
        <v/>
      </c>
      <c r="O18" t="str">
        <f>IF($C18="","",IFERROR(INDEX('Asset Register'!$G:$G,MATCH($C18,'Asset Register'!$A:$A,0)),""))</f>
        <v/>
      </c>
      <c r="Q18" t="str">
        <f t="shared" si="4"/>
        <v/>
      </c>
      <c r="R18" t="str">
        <f t="shared" si="5"/>
        <v/>
      </c>
      <c r="S18" s="17" t="str">
        <f t="shared" si="6"/>
        <v/>
      </c>
      <c r="T18" s="18" t="str">
        <f>IF($C18="","",IFERROR(INDEX('Asset Register'!$H:$H,MATCH($C18,'Asset Register'!$A:$A,0)),""))</f>
        <v/>
      </c>
      <c r="U18" s="18" t="str">
        <f t="shared" si="7"/>
        <v/>
      </c>
      <c r="V18" s="17" t="str">
        <f t="shared" si="8"/>
        <v/>
      </c>
    </row>
    <row r="19" spans="1:22" x14ac:dyDescent="0.25">
      <c r="A19" t="str">
        <f t="shared" si="0"/>
        <v/>
      </c>
      <c r="B19" s="16"/>
      <c r="D19" t="str">
        <f>IF($C19="","",IFERROR(INDEX('Asset Register'!$B:$B,MATCH($C19,'Asset Register'!$A:$A,0)),""))</f>
        <v/>
      </c>
      <c r="E19" t="str">
        <f>IF($C19="","",IFERROR(INDEX('Asset Register'!$C:$C,MATCH($C19,'Asset Register'!$A:$A,0)),""))</f>
        <v/>
      </c>
      <c r="F19" t="str">
        <f>IF($C19="","",IFERROR(INDEX('Asset Register'!$D:$D,MATCH($C19,'Asset Register'!$A:$A,0)),""))</f>
        <v/>
      </c>
      <c r="J19" s="17" t="str">
        <f t="shared" si="9"/>
        <v/>
      </c>
      <c r="K19" s="17" t="str">
        <f t="shared" si="10"/>
        <v/>
      </c>
      <c r="L19" s="17" t="str">
        <f t="shared" si="3"/>
        <v/>
      </c>
      <c r="O19" t="str">
        <f>IF($C19="","",IFERROR(INDEX('Asset Register'!$G:$G,MATCH($C19,'Asset Register'!$A:$A,0)),""))</f>
        <v/>
      </c>
      <c r="Q19" t="str">
        <f t="shared" si="4"/>
        <v/>
      </c>
      <c r="R19" t="str">
        <f t="shared" si="5"/>
        <v/>
      </c>
      <c r="S19" s="17" t="str">
        <f t="shared" si="6"/>
        <v/>
      </c>
      <c r="T19" s="18" t="str">
        <f>IF($C19="","",IFERROR(INDEX('Asset Register'!$H:$H,MATCH($C19,'Asset Register'!$A:$A,0)),""))</f>
        <v/>
      </c>
      <c r="U19" s="18" t="str">
        <f t="shared" si="7"/>
        <v/>
      </c>
      <c r="V19" s="17" t="str">
        <f t="shared" si="8"/>
        <v/>
      </c>
    </row>
    <row r="20" spans="1:22" x14ac:dyDescent="0.25">
      <c r="A20" t="str">
        <f t="shared" si="0"/>
        <v/>
      </c>
      <c r="B20" s="16"/>
      <c r="D20" t="str">
        <f>IF($C20="","",IFERROR(INDEX('Asset Register'!$B:$B,MATCH($C20,'Asset Register'!$A:$A,0)),""))</f>
        <v/>
      </c>
      <c r="E20" t="str">
        <f>IF($C20="","",IFERROR(INDEX('Asset Register'!$C:$C,MATCH($C20,'Asset Register'!$A:$A,0)),""))</f>
        <v/>
      </c>
      <c r="F20" t="str">
        <f>IF($C20="","",IFERROR(INDEX('Asset Register'!$D:$D,MATCH($C20,'Asset Register'!$A:$A,0)),""))</f>
        <v/>
      </c>
      <c r="J20" s="17" t="str">
        <f t="shared" si="9"/>
        <v/>
      </c>
      <c r="K20" s="17" t="str">
        <f t="shared" si="10"/>
        <v/>
      </c>
      <c r="L20" s="17" t="str">
        <f t="shared" si="3"/>
        <v/>
      </c>
      <c r="O20" t="str">
        <f>IF($C20="","",IFERROR(INDEX('Asset Register'!$G:$G,MATCH($C20,'Asset Register'!$A:$A,0)),""))</f>
        <v/>
      </c>
      <c r="Q20" t="str">
        <f t="shared" si="4"/>
        <v/>
      </c>
      <c r="R20" t="str">
        <f t="shared" si="5"/>
        <v/>
      </c>
      <c r="S20" s="17" t="str">
        <f t="shared" si="6"/>
        <v/>
      </c>
      <c r="T20" s="18" t="str">
        <f>IF($C20="","",IFERROR(INDEX('Asset Register'!$H:$H,MATCH($C20,'Asset Register'!$A:$A,0)),""))</f>
        <v/>
      </c>
      <c r="U20" s="18" t="str">
        <f t="shared" si="7"/>
        <v/>
      </c>
      <c r="V20" s="17" t="str">
        <f t="shared" si="8"/>
        <v/>
      </c>
    </row>
    <row r="21" spans="1:22" x14ac:dyDescent="0.25">
      <c r="A21" t="str">
        <f t="shared" si="0"/>
        <v/>
      </c>
      <c r="B21" s="16"/>
      <c r="D21" t="str">
        <f>IF($C21="","",IFERROR(INDEX('Asset Register'!$B:$B,MATCH($C21,'Asset Register'!$A:$A,0)),""))</f>
        <v/>
      </c>
      <c r="E21" t="str">
        <f>IF($C21="","",IFERROR(INDEX('Asset Register'!$C:$C,MATCH($C21,'Asset Register'!$A:$A,0)),""))</f>
        <v/>
      </c>
      <c r="F21" t="str">
        <f>IF($C21="","",IFERROR(INDEX('Asset Register'!$D:$D,MATCH($C21,'Asset Register'!$A:$A,0)),""))</f>
        <v/>
      </c>
      <c r="J21" s="17" t="str">
        <f t="shared" si="9"/>
        <v/>
      </c>
      <c r="K21" s="17" t="str">
        <f t="shared" si="10"/>
        <v/>
      </c>
      <c r="L21" s="17" t="str">
        <f t="shared" si="3"/>
        <v/>
      </c>
      <c r="O21" t="str">
        <f>IF($C21="","",IFERROR(INDEX('Asset Register'!$G:$G,MATCH($C21,'Asset Register'!$A:$A,0)),""))</f>
        <v/>
      </c>
      <c r="Q21" t="str">
        <f t="shared" si="4"/>
        <v/>
      </c>
      <c r="R21" t="str">
        <f t="shared" si="5"/>
        <v/>
      </c>
      <c r="S21" s="17" t="str">
        <f t="shared" si="6"/>
        <v/>
      </c>
      <c r="T21" s="18" t="str">
        <f>IF($C21="","",IFERROR(INDEX('Asset Register'!$H:$H,MATCH($C21,'Asset Register'!$A:$A,0)),""))</f>
        <v/>
      </c>
      <c r="U21" s="18" t="str">
        <f t="shared" si="7"/>
        <v/>
      </c>
      <c r="V21" s="17" t="str">
        <f t="shared" si="8"/>
        <v/>
      </c>
    </row>
    <row r="22" spans="1:22" x14ac:dyDescent="0.25">
      <c r="A22" t="str">
        <f t="shared" si="0"/>
        <v/>
      </c>
      <c r="B22" s="16"/>
      <c r="D22" t="str">
        <f>IF($C22="","",IFERROR(INDEX('Asset Register'!$B:$B,MATCH($C22,'Asset Register'!$A:$A,0)),""))</f>
        <v/>
      </c>
      <c r="E22" t="str">
        <f>IF($C22="","",IFERROR(INDEX('Asset Register'!$C:$C,MATCH($C22,'Asset Register'!$A:$A,0)),""))</f>
        <v/>
      </c>
      <c r="F22" t="str">
        <f>IF($C22="","",IFERROR(INDEX('Asset Register'!$D:$D,MATCH($C22,'Asset Register'!$A:$A,0)),""))</f>
        <v/>
      </c>
      <c r="J22" s="17" t="str">
        <f t="shared" si="9"/>
        <v/>
      </c>
      <c r="K22" s="17" t="str">
        <f t="shared" si="10"/>
        <v/>
      </c>
      <c r="L22" s="17" t="str">
        <f t="shared" si="3"/>
        <v/>
      </c>
      <c r="O22" t="str">
        <f>IF($C22="","",IFERROR(INDEX('Asset Register'!$G:$G,MATCH($C22,'Asset Register'!$A:$A,0)),""))</f>
        <v/>
      </c>
      <c r="Q22" t="str">
        <f t="shared" si="4"/>
        <v/>
      </c>
      <c r="R22" t="str">
        <f t="shared" si="5"/>
        <v/>
      </c>
      <c r="S22" s="17" t="str">
        <f t="shared" si="6"/>
        <v/>
      </c>
      <c r="T22" s="18" t="str">
        <f>IF($C22="","",IFERROR(INDEX('Asset Register'!$H:$H,MATCH($C22,'Asset Register'!$A:$A,0)),""))</f>
        <v/>
      </c>
      <c r="U22" s="18" t="str">
        <f t="shared" si="7"/>
        <v/>
      </c>
      <c r="V22" s="17" t="str">
        <f t="shared" si="8"/>
        <v/>
      </c>
    </row>
    <row r="23" spans="1:22" x14ac:dyDescent="0.25">
      <c r="A23" t="str">
        <f t="shared" si="0"/>
        <v/>
      </c>
      <c r="B23" s="16"/>
      <c r="D23" t="str">
        <f>IF($C23="","",IFERROR(INDEX('Asset Register'!$B:$B,MATCH($C23,'Asset Register'!$A:$A,0)),""))</f>
        <v/>
      </c>
      <c r="E23" t="str">
        <f>IF($C23="","",IFERROR(INDEX('Asset Register'!$C:$C,MATCH($C23,'Asset Register'!$A:$A,0)),""))</f>
        <v/>
      </c>
      <c r="F23" t="str">
        <f>IF($C23="","",IFERROR(INDEX('Asset Register'!$D:$D,MATCH($C23,'Asset Register'!$A:$A,0)),""))</f>
        <v/>
      </c>
      <c r="J23" s="17" t="str">
        <f t="shared" si="9"/>
        <v/>
      </c>
      <c r="K23" s="17" t="str">
        <f t="shared" si="10"/>
        <v/>
      </c>
      <c r="L23" s="17" t="str">
        <f t="shared" si="3"/>
        <v/>
      </c>
      <c r="O23" t="str">
        <f>IF($C23="","",IFERROR(INDEX('Asset Register'!$G:$G,MATCH($C23,'Asset Register'!$A:$A,0)),""))</f>
        <v/>
      </c>
      <c r="Q23" t="str">
        <f t="shared" si="4"/>
        <v/>
      </c>
      <c r="R23" t="str">
        <f t="shared" si="5"/>
        <v/>
      </c>
      <c r="S23" s="17" t="str">
        <f t="shared" si="6"/>
        <v/>
      </c>
      <c r="T23" s="18" t="str">
        <f>IF($C23="","",IFERROR(INDEX('Asset Register'!$H:$H,MATCH($C23,'Asset Register'!$A:$A,0)),""))</f>
        <v/>
      </c>
      <c r="U23" s="18" t="str">
        <f t="shared" si="7"/>
        <v/>
      </c>
      <c r="V23" s="17" t="str">
        <f t="shared" si="8"/>
        <v/>
      </c>
    </row>
    <row r="24" spans="1:22" x14ac:dyDescent="0.25">
      <c r="A24" t="str">
        <f t="shared" si="0"/>
        <v/>
      </c>
      <c r="B24" s="16"/>
      <c r="D24" t="str">
        <f>IF($C24="","",IFERROR(INDEX('Asset Register'!$B:$B,MATCH($C24,'Asset Register'!$A:$A,0)),""))</f>
        <v/>
      </c>
      <c r="E24" t="str">
        <f>IF($C24="","",IFERROR(INDEX('Asset Register'!$C:$C,MATCH($C24,'Asset Register'!$A:$A,0)),""))</f>
        <v/>
      </c>
      <c r="F24" t="str">
        <f>IF($C24="","",IFERROR(INDEX('Asset Register'!$D:$D,MATCH($C24,'Asset Register'!$A:$A,0)),""))</f>
        <v/>
      </c>
      <c r="J24" s="17" t="str">
        <f t="shared" si="9"/>
        <v/>
      </c>
      <c r="K24" s="17" t="str">
        <f t="shared" si="10"/>
        <v/>
      </c>
      <c r="L24" s="17" t="str">
        <f t="shared" si="3"/>
        <v/>
      </c>
      <c r="O24" t="str">
        <f>IF($C24="","",IFERROR(INDEX('Asset Register'!$G:$G,MATCH($C24,'Asset Register'!$A:$A,0)),""))</f>
        <v/>
      </c>
      <c r="Q24" t="str">
        <f t="shared" si="4"/>
        <v/>
      </c>
      <c r="R24" t="str">
        <f t="shared" si="5"/>
        <v/>
      </c>
      <c r="S24" s="17" t="str">
        <f t="shared" si="6"/>
        <v/>
      </c>
      <c r="T24" s="18" t="str">
        <f>IF($C24="","",IFERROR(INDEX('Asset Register'!$H:$H,MATCH($C24,'Asset Register'!$A:$A,0)),""))</f>
        <v/>
      </c>
      <c r="U24" s="18" t="str">
        <f t="shared" si="7"/>
        <v/>
      </c>
      <c r="V24" s="17" t="str">
        <f t="shared" si="8"/>
        <v/>
      </c>
    </row>
    <row r="25" spans="1:22" x14ac:dyDescent="0.25">
      <c r="A25" t="str">
        <f t="shared" si="0"/>
        <v/>
      </c>
      <c r="B25" s="16"/>
      <c r="D25" t="str">
        <f>IF($C25="","",IFERROR(INDEX('Asset Register'!$B:$B,MATCH($C25,'Asset Register'!$A:$A,0)),""))</f>
        <v/>
      </c>
      <c r="E25" t="str">
        <f>IF($C25="","",IFERROR(INDEX('Asset Register'!$C:$C,MATCH($C25,'Asset Register'!$A:$A,0)),""))</f>
        <v/>
      </c>
      <c r="F25" t="str">
        <f>IF($C25="","",IFERROR(INDEX('Asset Register'!$D:$D,MATCH($C25,'Asset Register'!$A:$A,0)),""))</f>
        <v/>
      </c>
      <c r="J25" s="17" t="str">
        <f t="shared" si="9"/>
        <v/>
      </c>
      <c r="K25" s="17" t="str">
        <f t="shared" si="10"/>
        <v/>
      </c>
      <c r="L25" s="17" t="str">
        <f t="shared" si="3"/>
        <v/>
      </c>
      <c r="O25" t="str">
        <f>IF($C25="","",IFERROR(INDEX('Asset Register'!$G:$G,MATCH($C25,'Asset Register'!$A:$A,0)),""))</f>
        <v/>
      </c>
      <c r="Q25" t="str">
        <f t="shared" si="4"/>
        <v/>
      </c>
      <c r="R25" t="str">
        <f t="shared" si="5"/>
        <v/>
      </c>
      <c r="S25" s="17" t="str">
        <f t="shared" si="6"/>
        <v/>
      </c>
      <c r="T25" s="18" t="str">
        <f>IF($C25="","",IFERROR(INDEX('Asset Register'!$H:$H,MATCH($C25,'Asset Register'!$A:$A,0)),""))</f>
        <v/>
      </c>
      <c r="U25" s="18" t="str">
        <f t="shared" si="7"/>
        <v/>
      </c>
      <c r="V25" s="17" t="str">
        <f t="shared" si="8"/>
        <v/>
      </c>
    </row>
    <row r="26" spans="1:22" x14ac:dyDescent="0.25">
      <c r="A26" t="str">
        <f t="shared" si="0"/>
        <v/>
      </c>
      <c r="B26" s="16"/>
      <c r="D26" t="str">
        <f>IF($C26="","",IFERROR(INDEX('Asset Register'!$B:$B,MATCH($C26,'Asset Register'!$A:$A,0)),""))</f>
        <v/>
      </c>
      <c r="E26" t="str">
        <f>IF($C26="","",IFERROR(INDEX('Asset Register'!$C:$C,MATCH($C26,'Asset Register'!$A:$A,0)),""))</f>
        <v/>
      </c>
      <c r="F26" t="str">
        <f>IF($C26="","",IFERROR(INDEX('Asset Register'!$D:$D,MATCH($C26,'Asset Register'!$A:$A,0)),""))</f>
        <v/>
      </c>
      <c r="J26" s="17" t="str">
        <f t="shared" si="9"/>
        <v/>
      </c>
      <c r="K26" s="17" t="str">
        <f t="shared" si="10"/>
        <v/>
      </c>
      <c r="L26" s="17" t="str">
        <f t="shared" si="3"/>
        <v/>
      </c>
      <c r="O26" t="str">
        <f>IF($C26="","",IFERROR(INDEX('Asset Register'!$G:$G,MATCH($C26,'Asset Register'!$A:$A,0)),""))</f>
        <v/>
      </c>
      <c r="Q26" t="str">
        <f t="shared" si="4"/>
        <v/>
      </c>
      <c r="R26" t="str">
        <f t="shared" si="5"/>
        <v/>
      </c>
      <c r="S26" s="17" t="str">
        <f t="shared" si="6"/>
        <v/>
      </c>
      <c r="T26" s="18" t="str">
        <f>IF($C26="","",IFERROR(INDEX('Asset Register'!$H:$H,MATCH($C26,'Asset Register'!$A:$A,0)),""))</f>
        <v/>
      </c>
      <c r="U26" s="18" t="str">
        <f t="shared" si="7"/>
        <v/>
      </c>
      <c r="V26" s="17" t="str">
        <f t="shared" si="8"/>
        <v/>
      </c>
    </row>
    <row r="27" spans="1:22" x14ac:dyDescent="0.25">
      <c r="A27" t="str">
        <f t="shared" si="0"/>
        <v/>
      </c>
      <c r="B27" s="16"/>
      <c r="D27" t="str">
        <f>IF($C27="","",IFERROR(INDEX('Asset Register'!$B:$B,MATCH($C27,'Asset Register'!$A:$A,0)),""))</f>
        <v/>
      </c>
      <c r="E27" t="str">
        <f>IF($C27="","",IFERROR(INDEX('Asset Register'!$C:$C,MATCH($C27,'Asset Register'!$A:$A,0)),""))</f>
        <v/>
      </c>
      <c r="F27" t="str">
        <f>IF($C27="","",IFERROR(INDEX('Asset Register'!$D:$D,MATCH($C27,'Asset Register'!$A:$A,0)),""))</f>
        <v/>
      </c>
      <c r="J27" s="17" t="str">
        <f t="shared" si="9"/>
        <v/>
      </c>
      <c r="K27" s="17" t="str">
        <f t="shared" si="10"/>
        <v/>
      </c>
      <c r="L27" s="17" t="str">
        <f t="shared" si="3"/>
        <v/>
      </c>
      <c r="O27" t="str">
        <f>IF($C27="","",IFERROR(INDEX('Asset Register'!$G:$G,MATCH($C27,'Asset Register'!$A:$A,0)),""))</f>
        <v/>
      </c>
      <c r="Q27" t="str">
        <f t="shared" si="4"/>
        <v/>
      </c>
      <c r="R27" t="str">
        <f t="shared" si="5"/>
        <v/>
      </c>
      <c r="S27" s="17" t="str">
        <f t="shared" si="6"/>
        <v/>
      </c>
      <c r="T27" s="18" t="str">
        <f>IF($C27="","",IFERROR(INDEX('Asset Register'!$H:$H,MATCH($C27,'Asset Register'!$A:$A,0)),""))</f>
        <v/>
      </c>
      <c r="U27" s="18" t="str">
        <f t="shared" si="7"/>
        <v/>
      </c>
      <c r="V27" s="17" t="str">
        <f t="shared" si="8"/>
        <v/>
      </c>
    </row>
    <row r="28" spans="1:22" x14ac:dyDescent="0.25">
      <c r="A28" t="str">
        <f t="shared" si="0"/>
        <v/>
      </c>
      <c r="B28" s="16"/>
      <c r="D28" t="str">
        <f>IF($C28="","",IFERROR(INDEX('Asset Register'!$B:$B,MATCH($C28,'Asset Register'!$A:$A,0)),""))</f>
        <v/>
      </c>
      <c r="E28" t="str">
        <f>IF($C28="","",IFERROR(INDEX('Asset Register'!$C:$C,MATCH($C28,'Asset Register'!$A:$A,0)),""))</f>
        <v/>
      </c>
      <c r="F28" t="str">
        <f>IF($C28="","",IFERROR(INDEX('Asset Register'!$D:$D,MATCH($C28,'Asset Register'!$A:$A,0)),""))</f>
        <v/>
      </c>
      <c r="J28" s="17" t="str">
        <f t="shared" si="9"/>
        <v/>
      </c>
      <c r="K28" s="17" t="str">
        <f t="shared" si="10"/>
        <v/>
      </c>
      <c r="L28" s="17" t="str">
        <f t="shared" si="3"/>
        <v/>
      </c>
      <c r="O28" t="str">
        <f>IF($C28="","",IFERROR(INDEX('Asset Register'!$G:$G,MATCH($C28,'Asset Register'!$A:$A,0)),""))</f>
        <v/>
      </c>
      <c r="Q28" t="str">
        <f t="shared" si="4"/>
        <v/>
      </c>
      <c r="R28" t="str">
        <f t="shared" si="5"/>
        <v/>
      </c>
      <c r="S28" s="17" t="str">
        <f t="shared" si="6"/>
        <v/>
      </c>
      <c r="T28" s="18" t="str">
        <f>IF($C28="","",IFERROR(INDEX('Asset Register'!$H:$H,MATCH($C28,'Asset Register'!$A:$A,0)),""))</f>
        <v/>
      </c>
      <c r="U28" s="18" t="str">
        <f t="shared" si="7"/>
        <v/>
      </c>
      <c r="V28" s="17" t="str">
        <f t="shared" si="8"/>
        <v/>
      </c>
    </row>
    <row r="29" spans="1:22" x14ac:dyDescent="0.25">
      <c r="A29" t="str">
        <f t="shared" si="0"/>
        <v/>
      </c>
      <c r="B29" s="16"/>
      <c r="D29" t="str">
        <f>IF($C29="","",IFERROR(INDEX('Asset Register'!$B:$B,MATCH($C29,'Asset Register'!$A:$A,0)),""))</f>
        <v/>
      </c>
      <c r="E29" t="str">
        <f>IF($C29="","",IFERROR(INDEX('Asset Register'!$C:$C,MATCH($C29,'Asset Register'!$A:$A,0)),""))</f>
        <v/>
      </c>
      <c r="F29" t="str">
        <f>IF($C29="","",IFERROR(INDEX('Asset Register'!$D:$D,MATCH($C29,'Asset Register'!$A:$A,0)),""))</f>
        <v/>
      </c>
      <c r="J29" s="17" t="str">
        <f t="shared" si="9"/>
        <v/>
      </c>
      <c r="K29" s="17" t="str">
        <f t="shared" si="10"/>
        <v/>
      </c>
      <c r="L29" s="17" t="str">
        <f t="shared" si="3"/>
        <v/>
      </c>
      <c r="O29" t="str">
        <f>IF($C29="","",IFERROR(INDEX('Asset Register'!$G:$G,MATCH($C29,'Asset Register'!$A:$A,0)),""))</f>
        <v/>
      </c>
      <c r="Q29" t="str">
        <f t="shared" si="4"/>
        <v/>
      </c>
      <c r="R29" t="str">
        <f t="shared" si="5"/>
        <v/>
      </c>
      <c r="S29" s="17" t="str">
        <f t="shared" si="6"/>
        <v/>
      </c>
      <c r="T29" s="18" t="str">
        <f>IF($C29="","",IFERROR(INDEX('Asset Register'!$H:$H,MATCH($C29,'Asset Register'!$A:$A,0)),""))</f>
        <v/>
      </c>
      <c r="U29" s="18" t="str">
        <f t="shared" si="7"/>
        <v/>
      </c>
      <c r="V29" s="17" t="str">
        <f t="shared" si="8"/>
        <v/>
      </c>
    </row>
    <row r="30" spans="1:22" x14ac:dyDescent="0.25">
      <c r="A30" t="str">
        <f t="shared" si="0"/>
        <v/>
      </c>
      <c r="B30" s="16"/>
      <c r="D30" t="str">
        <f>IF($C30="","",IFERROR(INDEX('Asset Register'!$B:$B,MATCH($C30,'Asset Register'!$A:$A,0)),""))</f>
        <v/>
      </c>
      <c r="E30" t="str">
        <f>IF($C30="","",IFERROR(INDEX('Asset Register'!$C:$C,MATCH($C30,'Asset Register'!$A:$A,0)),""))</f>
        <v/>
      </c>
      <c r="F30" t="str">
        <f>IF($C30="","",IFERROR(INDEX('Asset Register'!$D:$D,MATCH($C30,'Asset Register'!$A:$A,0)),""))</f>
        <v/>
      </c>
      <c r="J30" s="17" t="str">
        <f t="shared" si="9"/>
        <v/>
      </c>
      <c r="K30" s="17" t="str">
        <f t="shared" si="10"/>
        <v/>
      </c>
      <c r="L30" s="17" t="str">
        <f t="shared" si="3"/>
        <v/>
      </c>
      <c r="O30" t="str">
        <f>IF($C30="","",IFERROR(INDEX('Asset Register'!$G:$G,MATCH($C30,'Asset Register'!$A:$A,0)),""))</f>
        <v/>
      </c>
      <c r="Q30" t="str">
        <f t="shared" si="4"/>
        <v/>
      </c>
      <c r="R30" t="str">
        <f t="shared" si="5"/>
        <v/>
      </c>
      <c r="S30" s="17" t="str">
        <f t="shared" si="6"/>
        <v/>
      </c>
      <c r="T30" s="18" t="str">
        <f>IF($C30="","",IFERROR(INDEX('Asset Register'!$H:$H,MATCH($C30,'Asset Register'!$A:$A,0)),""))</f>
        <v/>
      </c>
      <c r="U30" s="18" t="str">
        <f t="shared" si="7"/>
        <v/>
      </c>
      <c r="V30" s="17" t="str">
        <f t="shared" si="8"/>
        <v/>
      </c>
    </row>
    <row r="31" spans="1:22" x14ac:dyDescent="0.25">
      <c r="A31" t="str">
        <f t="shared" si="0"/>
        <v/>
      </c>
      <c r="B31" s="16"/>
      <c r="D31" t="str">
        <f>IF($C31="","",IFERROR(INDEX('Asset Register'!$B:$B,MATCH($C31,'Asset Register'!$A:$A,0)),""))</f>
        <v/>
      </c>
      <c r="E31" t="str">
        <f>IF($C31="","",IFERROR(INDEX('Asset Register'!$C:$C,MATCH($C31,'Asset Register'!$A:$A,0)),""))</f>
        <v/>
      </c>
      <c r="F31" t="str">
        <f>IF($C31="","",IFERROR(INDEX('Asset Register'!$D:$D,MATCH($C31,'Asset Register'!$A:$A,0)),""))</f>
        <v/>
      </c>
      <c r="J31" s="17" t="str">
        <f t="shared" si="9"/>
        <v/>
      </c>
      <c r="K31" s="17" t="str">
        <f t="shared" si="10"/>
        <v/>
      </c>
      <c r="L31" s="17" t="str">
        <f t="shared" si="3"/>
        <v/>
      </c>
      <c r="O31" t="str">
        <f>IF($C31="","",IFERROR(INDEX('Asset Register'!$G:$G,MATCH($C31,'Asset Register'!$A:$A,0)),""))</f>
        <v/>
      </c>
      <c r="Q31" t="str">
        <f t="shared" si="4"/>
        <v/>
      </c>
      <c r="R31" t="str">
        <f t="shared" si="5"/>
        <v/>
      </c>
      <c r="S31" s="17" t="str">
        <f t="shared" si="6"/>
        <v/>
      </c>
      <c r="T31" s="18" t="str">
        <f>IF($C31="","",IFERROR(INDEX('Asset Register'!$H:$H,MATCH($C31,'Asset Register'!$A:$A,0)),""))</f>
        <v/>
      </c>
      <c r="U31" s="18" t="str">
        <f t="shared" si="7"/>
        <v/>
      </c>
      <c r="V31" s="17" t="str">
        <f t="shared" si="8"/>
        <v/>
      </c>
    </row>
    <row r="32" spans="1:22" x14ac:dyDescent="0.25">
      <c r="A32" t="str">
        <f t="shared" si="0"/>
        <v/>
      </c>
      <c r="B32" s="16"/>
      <c r="D32" t="str">
        <f>IF($C32="","",IFERROR(INDEX('Asset Register'!$B:$B,MATCH($C32,'Asset Register'!$A:$A,0)),""))</f>
        <v/>
      </c>
      <c r="E32" t="str">
        <f>IF($C32="","",IFERROR(INDEX('Asset Register'!$C:$C,MATCH($C32,'Asset Register'!$A:$A,0)),""))</f>
        <v/>
      </c>
      <c r="F32" t="str">
        <f>IF($C32="","",IFERROR(INDEX('Asset Register'!$D:$D,MATCH($C32,'Asset Register'!$A:$A,0)),""))</f>
        <v/>
      </c>
      <c r="J32" s="17" t="str">
        <f t="shared" si="9"/>
        <v/>
      </c>
      <c r="K32" s="17" t="str">
        <f t="shared" si="10"/>
        <v/>
      </c>
      <c r="L32" s="17" t="str">
        <f t="shared" si="3"/>
        <v/>
      </c>
      <c r="O32" t="str">
        <f>IF($C32="","",IFERROR(INDEX('Asset Register'!$G:$G,MATCH($C32,'Asset Register'!$A:$A,0)),""))</f>
        <v/>
      </c>
      <c r="Q32" t="str">
        <f t="shared" si="4"/>
        <v/>
      </c>
      <c r="R32" t="str">
        <f t="shared" si="5"/>
        <v/>
      </c>
      <c r="S32" s="17" t="str">
        <f t="shared" si="6"/>
        <v/>
      </c>
      <c r="T32" s="18" t="str">
        <f>IF($C32="","",IFERROR(INDEX('Asset Register'!$H:$H,MATCH($C32,'Asset Register'!$A:$A,0)),""))</f>
        <v/>
      </c>
      <c r="U32" s="18" t="str">
        <f t="shared" si="7"/>
        <v/>
      </c>
      <c r="V32" s="17" t="str">
        <f t="shared" si="8"/>
        <v/>
      </c>
    </row>
    <row r="33" spans="1:22" x14ac:dyDescent="0.25">
      <c r="A33" t="str">
        <f t="shared" si="0"/>
        <v/>
      </c>
      <c r="B33" s="16"/>
      <c r="D33" t="str">
        <f>IF($C33="","",IFERROR(INDEX('Asset Register'!$B:$B,MATCH($C33,'Asset Register'!$A:$A,0)),""))</f>
        <v/>
      </c>
      <c r="E33" t="str">
        <f>IF($C33="","",IFERROR(INDEX('Asset Register'!$C:$C,MATCH($C33,'Asset Register'!$A:$A,0)),""))</f>
        <v/>
      </c>
      <c r="F33" t="str">
        <f>IF($C33="","",IFERROR(INDEX('Asset Register'!$D:$D,MATCH($C33,'Asset Register'!$A:$A,0)),""))</f>
        <v/>
      </c>
      <c r="J33" s="17" t="str">
        <f t="shared" si="9"/>
        <v/>
      </c>
      <c r="K33" s="17" t="str">
        <f t="shared" si="10"/>
        <v/>
      </c>
      <c r="L33" s="17" t="str">
        <f t="shared" si="3"/>
        <v/>
      </c>
      <c r="O33" t="str">
        <f>IF($C33="","",IFERROR(INDEX('Asset Register'!$G:$G,MATCH($C33,'Asset Register'!$A:$A,0)),""))</f>
        <v/>
      </c>
      <c r="Q33" t="str">
        <f t="shared" si="4"/>
        <v/>
      </c>
      <c r="R33" t="str">
        <f t="shared" si="5"/>
        <v/>
      </c>
      <c r="S33" s="17" t="str">
        <f t="shared" si="6"/>
        <v/>
      </c>
      <c r="T33" s="18" t="str">
        <f>IF($C33="","",IFERROR(INDEX('Asset Register'!$H:$H,MATCH($C33,'Asset Register'!$A:$A,0)),""))</f>
        <v/>
      </c>
      <c r="U33" s="18" t="str">
        <f t="shared" si="7"/>
        <v/>
      </c>
      <c r="V33" s="17" t="str">
        <f t="shared" si="8"/>
        <v/>
      </c>
    </row>
    <row r="34" spans="1:22" x14ac:dyDescent="0.25">
      <c r="A34" t="str">
        <f t="shared" si="0"/>
        <v/>
      </c>
      <c r="B34" s="16"/>
      <c r="D34" t="str">
        <f>IF($C34="","",IFERROR(INDEX('Asset Register'!$B:$B,MATCH($C34,'Asset Register'!$A:$A,0)),""))</f>
        <v/>
      </c>
      <c r="E34" t="str">
        <f>IF($C34="","",IFERROR(INDEX('Asset Register'!$C:$C,MATCH($C34,'Asset Register'!$A:$A,0)),""))</f>
        <v/>
      </c>
      <c r="F34" t="str">
        <f>IF($C34="","",IFERROR(INDEX('Asset Register'!$D:$D,MATCH($C34,'Asset Register'!$A:$A,0)),""))</f>
        <v/>
      </c>
      <c r="J34" s="17" t="str">
        <f t="shared" si="9"/>
        <v/>
      </c>
      <c r="K34" s="17" t="str">
        <f t="shared" si="10"/>
        <v/>
      </c>
      <c r="L34" s="17" t="str">
        <f t="shared" si="3"/>
        <v/>
      </c>
      <c r="O34" t="str">
        <f>IF($C34="","",IFERROR(INDEX('Asset Register'!$G:$G,MATCH($C34,'Asset Register'!$A:$A,0)),""))</f>
        <v/>
      </c>
      <c r="Q34" t="str">
        <f t="shared" si="4"/>
        <v/>
      </c>
      <c r="R34" t="str">
        <f t="shared" si="5"/>
        <v/>
      </c>
      <c r="S34" s="17" t="str">
        <f t="shared" si="6"/>
        <v/>
      </c>
      <c r="T34" s="18" t="str">
        <f>IF($C34="","",IFERROR(INDEX('Asset Register'!$H:$H,MATCH($C34,'Asset Register'!$A:$A,0)),""))</f>
        <v/>
      </c>
      <c r="U34" s="18" t="str">
        <f t="shared" si="7"/>
        <v/>
      </c>
      <c r="V34" s="17" t="str">
        <f t="shared" si="8"/>
        <v/>
      </c>
    </row>
    <row r="35" spans="1:22" x14ac:dyDescent="0.25">
      <c r="A35" t="str">
        <f t="shared" si="0"/>
        <v/>
      </c>
      <c r="B35" s="16"/>
      <c r="D35" t="str">
        <f>IF($C35="","",IFERROR(INDEX('Asset Register'!$B:$B,MATCH($C35,'Asset Register'!$A:$A,0)),""))</f>
        <v/>
      </c>
      <c r="E35" t="str">
        <f>IF($C35="","",IFERROR(INDEX('Asset Register'!$C:$C,MATCH($C35,'Asset Register'!$A:$A,0)),""))</f>
        <v/>
      </c>
      <c r="F35" t="str">
        <f>IF($C35="","",IFERROR(INDEX('Asset Register'!$D:$D,MATCH($C35,'Asset Register'!$A:$A,0)),""))</f>
        <v/>
      </c>
      <c r="J35" s="17" t="str">
        <f t="shared" si="9"/>
        <v/>
      </c>
      <c r="K35" s="17" t="str">
        <f t="shared" si="10"/>
        <v/>
      </c>
      <c r="L35" s="17" t="str">
        <f t="shared" si="3"/>
        <v/>
      </c>
      <c r="O35" t="str">
        <f>IF($C35="","",IFERROR(INDEX('Asset Register'!$G:$G,MATCH($C35,'Asset Register'!$A:$A,0)),""))</f>
        <v/>
      </c>
      <c r="Q35" t="str">
        <f t="shared" si="4"/>
        <v/>
      </c>
      <c r="R35" t="str">
        <f t="shared" si="5"/>
        <v/>
      </c>
      <c r="S35" s="17" t="str">
        <f t="shared" si="6"/>
        <v/>
      </c>
      <c r="T35" s="18" t="str">
        <f>IF($C35="","",IFERROR(INDEX('Asset Register'!$H:$H,MATCH($C35,'Asset Register'!$A:$A,0)),""))</f>
        <v/>
      </c>
      <c r="U35" s="18" t="str">
        <f t="shared" si="7"/>
        <v/>
      </c>
      <c r="V35" s="17" t="str">
        <f t="shared" si="8"/>
        <v/>
      </c>
    </row>
    <row r="36" spans="1:22" x14ac:dyDescent="0.25">
      <c r="A36" t="str">
        <f t="shared" si="0"/>
        <v/>
      </c>
      <c r="B36" s="16"/>
      <c r="D36" t="str">
        <f>IF($C36="","",IFERROR(INDEX('Asset Register'!$B:$B,MATCH($C36,'Asset Register'!$A:$A,0)),""))</f>
        <v/>
      </c>
      <c r="E36" t="str">
        <f>IF($C36="","",IFERROR(INDEX('Asset Register'!$C:$C,MATCH($C36,'Asset Register'!$A:$A,0)),""))</f>
        <v/>
      </c>
      <c r="F36" t="str">
        <f>IF($C36="","",IFERROR(INDEX('Asset Register'!$D:$D,MATCH($C36,'Asset Register'!$A:$A,0)),""))</f>
        <v/>
      </c>
      <c r="J36" s="17" t="str">
        <f t="shared" si="9"/>
        <v/>
      </c>
      <c r="K36" s="17" t="str">
        <f t="shared" si="10"/>
        <v/>
      </c>
      <c r="L36" s="17" t="str">
        <f t="shared" si="3"/>
        <v/>
      </c>
      <c r="O36" t="str">
        <f>IF($C36="","",IFERROR(INDEX('Asset Register'!$G:$G,MATCH($C36,'Asset Register'!$A:$A,0)),""))</f>
        <v/>
      </c>
      <c r="Q36" t="str">
        <f t="shared" si="4"/>
        <v/>
      </c>
      <c r="R36" t="str">
        <f t="shared" si="5"/>
        <v/>
      </c>
      <c r="S36" s="17" t="str">
        <f t="shared" si="6"/>
        <v/>
      </c>
      <c r="T36" s="18" t="str">
        <f>IF($C36="","",IFERROR(INDEX('Asset Register'!$H:$H,MATCH($C36,'Asset Register'!$A:$A,0)),""))</f>
        <v/>
      </c>
      <c r="U36" s="18" t="str">
        <f t="shared" si="7"/>
        <v/>
      </c>
      <c r="V36" s="17" t="str">
        <f t="shared" si="8"/>
        <v/>
      </c>
    </row>
    <row r="37" spans="1:22" x14ac:dyDescent="0.25">
      <c r="A37" t="str">
        <f t="shared" si="0"/>
        <v/>
      </c>
      <c r="B37" s="16"/>
      <c r="D37" t="str">
        <f>IF($C37="","",IFERROR(INDEX('Asset Register'!$B:$B,MATCH($C37,'Asset Register'!$A:$A,0)),""))</f>
        <v/>
      </c>
      <c r="E37" t="str">
        <f>IF($C37="","",IFERROR(INDEX('Asset Register'!$C:$C,MATCH($C37,'Asset Register'!$A:$A,0)),""))</f>
        <v/>
      </c>
      <c r="F37" t="str">
        <f>IF($C37="","",IFERROR(INDEX('Asset Register'!$D:$D,MATCH($C37,'Asset Register'!$A:$A,0)),""))</f>
        <v/>
      </c>
      <c r="J37" s="17" t="str">
        <f t="shared" si="9"/>
        <v/>
      </c>
      <c r="K37" s="17" t="str">
        <f t="shared" si="10"/>
        <v/>
      </c>
      <c r="L37" s="17" t="str">
        <f t="shared" si="3"/>
        <v/>
      </c>
      <c r="O37" t="str">
        <f>IF($C37="","",IFERROR(INDEX('Asset Register'!$G:$G,MATCH($C37,'Asset Register'!$A:$A,0)),""))</f>
        <v/>
      </c>
      <c r="Q37" t="str">
        <f t="shared" si="4"/>
        <v/>
      </c>
      <c r="R37" t="str">
        <f t="shared" si="5"/>
        <v/>
      </c>
      <c r="S37" s="17" t="str">
        <f t="shared" si="6"/>
        <v/>
      </c>
      <c r="T37" s="18" t="str">
        <f>IF($C37="","",IFERROR(INDEX('Asset Register'!$H:$H,MATCH($C37,'Asset Register'!$A:$A,0)),""))</f>
        <v/>
      </c>
      <c r="U37" s="18" t="str">
        <f t="shared" si="7"/>
        <v/>
      </c>
      <c r="V37" s="17" t="str">
        <f t="shared" si="8"/>
        <v/>
      </c>
    </row>
    <row r="38" spans="1:22" x14ac:dyDescent="0.25">
      <c r="A38" t="str">
        <f t="shared" si="0"/>
        <v/>
      </c>
      <c r="B38" s="16"/>
      <c r="D38" t="str">
        <f>IF($C38="","",IFERROR(INDEX('Asset Register'!$B:$B,MATCH($C38,'Asset Register'!$A:$A,0)),""))</f>
        <v/>
      </c>
      <c r="E38" t="str">
        <f>IF($C38="","",IFERROR(INDEX('Asset Register'!$C:$C,MATCH($C38,'Asset Register'!$A:$A,0)),""))</f>
        <v/>
      </c>
      <c r="F38" t="str">
        <f>IF($C38="","",IFERROR(INDEX('Asset Register'!$D:$D,MATCH($C38,'Asset Register'!$A:$A,0)),""))</f>
        <v/>
      </c>
      <c r="J38" s="17" t="str">
        <f t="shared" si="9"/>
        <v/>
      </c>
      <c r="K38" s="17" t="str">
        <f t="shared" si="10"/>
        <v/>
      </c>
      <c r="L38" s="17" t="str">
        <f t="shared" si="3"/>
        <v/>
      </c>
      <c r="O38" t="str">
        <f>IF($C38="","",IFERROR(INDEX('Asset Register'!$G:$G,MATCH($C38,'Asset Register'!$A:$A,0)),""))</f>
        <v/>
      </c>
      <c r="Q38" t="str">
        <f t="shared" si="4"/>
        <v/>
      </c>
      <c r="R38" t="str">
        <f t="shared" si="5"/>
        <v/>
      </c>
      <c r="S38" s="17" t="str">
        <f t="shared" si="6"/>
        <v/>
      </c>
      <c r="T38" s="18" t="str">
        <f>IF($C38="","",IFERROR(INDEX('Asset Register'!$H:$H,MATCH($C38,'Asset Register'!$A:$A,0)),""))</f>
        <v/>
      </c>
      <c r="U38" s="18" t="str">
        <f t="shared" si="7"/>
        <v/>
      </c>
      <c r="V38" s="17" t="str">
        <f t="shared" si="8"/>
        <v/>
      </c>
    </row>
    <row r="39" spans="1:22" x14ac:dyDescent="0.25">
      <c r="A39" t="str">
        <f t="shared" si="0"/>
        <v/>
      </c>
      <c r="B39" s="16"/>
      <c r="D39" t="str">
        <f>IF($C39="","",IFERROR(INDEX('Asset Register'!$B:$B,MATCH($C39,'Asset Register'!$A:$A,0)),""))</f>
        <v/>
      </c>
      <c r="E39" t="str">
        <f>IF($C39="","",IFERROR(INDEX('Asset Register'!$C:$C,MATCH($C39,'Asset Register'!$A:$A,0)),""))</f>
        <v/>
      </c>
      <c r="F39" t="str">
        <f>IF($C39="","",IFERROR(INDEX('Asset Register'!$D:$D,MATCH($C39,'Asset Register'!$A:$A,0)),""))</f>
        <v/>
      </c>
      <c r="J39" s="17" t="str">
        <f t="shared" si="9"/>
        <v/>
      </c>
      <c r="K39" s="17" t="str">
        <f t="shared" si="10"/>
        <v/>
      </c>
      <c r="L39" s="17" t="str">
        <f t="shared" si="3"/>
        <v/>
      </c>
      <c r="O39" t="str">
        <f>IF($C39="","",IFERROR(INDEX('Asset Register'!$G:$G,MATCH($C39,'Asset Register'!$A:$A,0)),""))</f>
        <v/>
      </c>
      <c r="Q39" t="str">
        <f t="shared" si="4"/>
        <v/>
      </c>
      <c r="R39" t="str">
        <f t="shared" si="5"/>
        <v/>
      </c>
      <c r="S39" s="17" t="str">
        <f t="shared" si="6"/>
        <v/>
      </c>
      <c r="T39" s="18" t="str">
        <f>IF($C39="","",IFERROR(INDEX('Asset Register'!$H:$H,MATCH($C39,'Asset Register'!$A:$A,0)),""))</f>
        <v/>
      </c>
      <c r="U39" s="18" t="str">
        <f t="shared" si="7"/>
        <v/>
      </c>
      <c r="V39" s="17" t="str">
        <f t="shared" si="8"/>
        <v/>
      </c>
    </row>
    <row r="40" spans="1:22" x14ac:dyDescent="0.25">
      <c r="A40" t="str">
        <f t="shared" si="0"/>
        <v/>
      </c>
      <c r="B40" s="16"/>
      <c r="D40" t="str">
        <f>IF($C40="","",IFERROR(INDEX('Asset Register'!$B:$B,MATCH($C40,'Asset Register'!$A:$A,0)),""))</f>
        <v/>
      </c>
      <c r="E40" t="str">
        <f>IF($C40="","",IFERROR(INDEX('Asset Register'!$C:$C,MATCH($C40,'Asset Register'!$A:$A,0)),""))</f>
        <v/>
      </c>
      <c r="F40" t="str">
        <f>IF($C40="","",IFERROR(INDEX('Asset Register'!$D:$D,MATCH($C40,'Asset Register'!$A:$A,0)),""))</f>
        <v/>
      </c>
      <c r="J40" s="17" t="str">
        <f t="shared" si="9"/>
        <v/>
      </c>
      <c r="K40" s="17" t="str">
        <f t="shared" si="10"/>
        <v/>
      </c>
      <c r="L40" s="17" t="str">
        <f t="shared" si="3"/>
        <v/>
      </c>
      <c r="O40" t="str">
        <f>IF($C40="","",IFERROR(INDEX('Asset Register'!$G:$G,MATCH($C40,'Asset Register'!$A:$A,0)),""))</f>
        <v/>
      </c>
      <c r="Q40" t="str">
        <f t="shared" si="4"/>
        <v/>
      </c>
      <c r="R40" t="str">
        <f t="shared" si="5"/>
        <v/>
      </c>
      <c r="S40" s="17" t="str">
        <f t="shared" si="6"/>
        <v/>
      </c>
      <c r="T40" s="18" t="str">
        <f>IF($C40="","",IFERROR(INDEX('Asset Register'!$H:$H,MATCH($C40,'Asset Register'!$A:$A,0)),""))</f>
        <v/>
      </c>
      <c r="U40" s="18" t="str">
        <f t="shared" si="7"/>
        <v/>
      </c>
      <c r="V40" s="17" t="str">
        <f t="shared" si="8"/>
        <v/>
      </c>
    </row>
    <row r="41" spans="1:22" x14ac:dyDescent="0.25">
      <c r="A41" t="str">
        <f t="shared" si="0"/>
        <v/>
      </c>
      <c r="B41" s="16"/>
      <c r="D41" t="str">
        <f>IF($C41="","",IFERROR(INDEX('Asset Register'!$B:$B,MATCH($C41,'Asset Register'!$A:$A,0)),""))</f>
        <v/>
      </c>
      <c r="E41" t="str">
        <f>IF($C41="","",IFERROR(INDEX('Asset Register'!$C:$C,MATCH($C41,'Asset Register'!$A:$A,0)),""))</f>
        <v/>
      </c>
      <c r="F41" t="str">
        <f>IF($C41="","",IFERROR(INDEX('Asset Register'!$D:$D,MATCH($C41,'Asset Register'!$A:$A,0)),""))</f>
        <v/>
      </c>
      <c r="J41" s="17" t="str">
        <f t="shared" si="9"/>
        <v/>
      </c>
      <c r="K41" s="17" t="str">
        <f t="shared" si="10"/>
        <v/>
      </c>
      <c r="L41" s="17" t="str">
        <f t="shared" si="3"/>
        <v/>
      </c>
      <c r="O41" t="str">
        <f>IF($C41="","",IFERROR(INDEX('Asset Register'!$G:$G,MATCH($C41,'Asset Register'!$A:$A,0)),""))</f>
        <v/>
      </c>
      <c r="Q41" t="str">
        <f t="shared" si="4"/>
        <v/>
      </c>
      <c r="R41" t="str">
        <f t="shared" si="5"/>
        <v/>
      </c>
      <c r="S41" s="17" t="str">
        <f t="shared" si="6"/>
        <v/>
      </c>
      <c r="T41" s="18" t="str">
        <f>IF($C41="","",IFERROR(INDEX('Asset Register'!$H:$H,MATCH($C41,'Asset Register'!$A:$A,0)),""))</f>
        <v/>
      </c>
      <c r="U41" s="18" t="str">
        <f t="shared" si="7"/>
        <v/>
      </c>
      <c r="V41" s="17" t="str">
        <f t="shared" si="8"/>
        <v/>
      </c>
    </row>
    <row r="42" spans="1:22" x14ac:dyDescent="0.25">
      <c r="A42" t="str">
        <f t="shared" si="0"/>
        <v/>
      </c>
      <c r="B42" s="16"/>
      <c r="D42" t="str">
        <f>IF($C42="","",IFERROR(INDEX('Asset Register'!$B:$B,MATCH($C42,'Asset Register'!$A:$A,0)),""))</f>
        <v/>
      </c>
      <c r="E42" t="str">
        <f>IF($C42="","",IFERROR(INDEX('Asset Register'!$C:$C,MATCH($C42,'Asset Register'!$A:$A,0)),""))</f>
        <v/>
      </c>
      <c r="F42" t="str">
        <f>IF($C42="","",IFERROR(INDEX('Asset Register'!$D:$D,MATCH($C42,'Asset Register'!$A:$A,0)),""))</f>
        <v/>
      </c>
      <c r="J42" s="17" t="str">
        <f t="shared" si="9"/>
        <v/>
      </c>
      <c r="K42" s="17" t="str">
        <f t="shared" si="10"/>
        <v/>
      </c>
      <c r="L42" s="17" t="str">
        <f t="shared" si="3"/>
        <v/>
      </c>
      <c r="O42" t="str">
        <f>IF($C42="","",IFERROR(INDEX('Asset Register'!$G:$G,MATCH($C42,'Asset Register'!$A:$A,0)),""))</f>
        <v/>
      </c>
      <c r="Q42" t="str">
        <f t="shared" si="4"/>
        <v/>
      </c>
      <c r="R42" t="str">
        <f t="shared" si="5"/>
        <v/>
      </c>
      <c r="S42" s="17" t="str">
        <f t="shared" si="6"/>
        <v/>
      </c>
      <c r="T42" s="18" t="str">
        <f>IF($C42="","",IFERROR(INDEX('Asset Register'!$H:$H,MATCH($C42,'Asset Register'!$A:$A,0)),""))</f>
        <v/>
      </c>
      <c r="U42" s="18" t="str">
        <f t="shared" si="7"/>
        <v/>
      </c>
      <c r="V42" s="17" t="str">
        <f t="shared" si="8"/>
        <v/>
      </c>
    </row>
    <row r="43" spans="1:22" x14ac:dyDescent="0.25">
      <c r="A43" t="str">
        <f t="shared" si="0"/>
        <v/>
      </c>
      <c r="B43" s="16"/>
      <c r="D43" t="str">
        <f>IF($C43="","",IFERROR(INDEX('Asset Register'!$B:$B,MATCH($C43,'Asset Register'!$A:$A,0)),""))</f>
        <v/>
      </c>
      <c r="E43" t="str">
        <f>IF($C43="","",IFERROR(INDEX('Asset Register'!$C:$C,MATCH($C43,'Asset Register'!$A:$A,0)),""))</f>
        <v/>
      </c>
      <c r="F43" t="str">
        <f>IF($C43="","",IFERROR(INDEX('Asset Register'!$D:$D,MATCH($C43,'Asset Register'!$A:$A,0)),""))</f>
        <v/>
      </c>
      <c r="J43" s="17" t="str">
        <f t="shared" si="9"/>
        <v/>
      </c>
      <c r="K43" s="17" t="str">
        <f t="shared" si="10"/>
        <v/>
      </c>
      <c r="L43" s="17" t="str">
        <f t="shared" si="3"/>
        <v/>
      </c>
      <c r="O43" t="str">
        <f>IF($C43="","",IFERROR(INDEX('Asset Register'!$G:$G,MATCH($C43,'Asset Register'!$A:$A,0)),""))</f>
        <v/>
      </c>
      <c r="Q43" t="str">
        <f t="shared" si="4"/>
        <v/>
      </c>
      <c r="R43" t="str">
        <f t="shared" si="5"/>
        <v/>
      </c>
      <c r="S43" s="17" t="str">
        <f t="shared" si="6"/>
        <v/>
      </c>
      <c r="T43" s="18" t="str">
        <f>IF($C43="","",IFERROR(INDEX('Asset Register'!$H:$H,MATCH($C43,'Asset Register'!$A:$A,0)),""))</f>
        <v/>
      </c>
      <c r="U43" s="18" t="str">
        <f t="shared" si="7"/>
        <v/>
      </c>
      <c r="V43" s="17" t="str">
        <f t="shared" si="8"/>
        <v/>
      </c>
    </row>
    <row r="44" spans="1:22" x14ac:dyDescent="0.25">
      <c r="A44" t="str">
        <f t="shared" si="0"/>
        <v/>
      </c>
      <c r="B44" s="16"/>
      <c r="D44" t="str">
        <f>IF($C44="","",IFERROR(INDEX('Asset Register'!$B:$B,MATCH($C44,'Asset Register'!$A:$A,0)),""))</f>
        <v/>
      </c>
      <c r="E44" t="str">
        <f>IF($C44="","",IFERROR(INDEX('Asset Register'!$C:$C,MATCH($C44,'Asset Register'!$A:$A,0)),""))</f>
        <v/>
      </c>
      <c r="F44" t="str">
        <f>IF($C44="","",IFERROR(INDEX('Asset Register'!$D:$D,MATCH($C44,'Asset Register'!$A:$A,0)),""))</f>
        <v/>
      </c>
      <c r="J44" s="17" t="str">
        <f t="shared" si="9"/>
        <v/>
      </c>
      <c r="K44" s="17" t="str">
        <f t="shared" si="10"/>
        <v/>
      </c>
      <c r="L44" s="17" t="str">
        <f t="shared" si="3"/>
        <v/>
      </c>
      <c r="O44" t="str">
        <f>IF($C44="","",IFERROR(INDEX('Asset Register'!$G:$G,MATCH($C44,'Asset Register'!$A:$A,0)),""))</f>
        <v/>
      </c>
      <c r="Q44" t="str">
        <f t="shared" si="4"/>
        <v/>
      </c>
      <c r="R44" t="str">
        <f t="shared" si="5"/>
        <v/>
      </c>
      <c r="S44" s="17" t="str">
        <f t="shared" si="6"/>
        <v/>
      </c>
      <c r="T44" s="18" t="str">
        <f>IF($C44="","",IFERROR(INDEX('Asset Register'!$H:$H,MATCH($C44,'Asset Register'!$A:$A,0)),""))</f>
        <v/>
      </c>
      <c r="U44" s="18" t="str">
        <f t="shared" si="7"/>
        <v/>
      </c>
      <c r="V44" s="17" t="str">
        <f t="shared" si="8"/>
        <v/>
      </c>
    </row>
    <row r="45" spans="1:22" x14ac:dyDescent="0.25">
      <c r="A45" t="str">
        <f t="shared" si="0"/>
        <v/>
      </c>
      <c r="B45" s="16"/>
      <c r="D45" t="str">
        <f>IF($C45="","",IFERROR(INDEX('Asset Register'!$B:$B,MATCH($C45,'Asset Register'!$A:$A,0)),""))</f>
        <v/>
      </c>
      <c r="E45" t="str">
        <f>IF($C45="","",IFERROR(INDEX('Asset Register'!$C:$C,MATCH($C45,'Asset Register'!$A:$A,0)),""))</f>
        <v/>
      </c>
      <c r="F45" t="str">
        <f>IF($C45="","",IFERROR(INDEX('Asset Register'!$D:$D,MATCH($C45,'Asset Register'!$A:$A,0)),""))</f>
        <v/>
      </c>
      <c r="J45" s="17" t="str">
        <f t="shared" si="9"/>
        <v/>
      </c>
      <c r="K45" s="17" t="str">
        <f t="shared" si="10"/>
        <v/>
      </c>
      <c r="L45" s="17" t="str">
        <f t="shared" si="3"/>
        <v/>
      </c>
      <c r="O45" t="str">
        <f>IF($C45="","",IFERROR(INDEX('Asset Register'!$G:$G,MATCH($C45,'Asset Register'!$A:$A,0)),""))</f>
        <v/>
      </c>
      <c r="Q45" t="str">
        <f t="shared" si="4"/>
        <v/>
      </c>
      <c r="R45" t="str">
        <f t="shared" si="5"/>
        <v/>
      </c>
      <c r="S45" s="17" t="str">
        <f t="shared" si="6"/>
        <v/>
      </c>
      <c r="T45" s="18" t="str">
        <f>IF($C45="","",IFERROR(INDEX('Asset Register'!$H:$H,MATCH($C45,'Asset Register'!$A:$A,0)),""))</f>
        <v/>
      </c>
      <c r="U45" s="18" t="str">
        <f t="shared" si="7"/>
        <v/>
      </c>
      <c r="V45" s="17" t="str">
        <f t="shared" si="8"/>
        <v/>
      </c>
    </row>
    <row r="46" spans="1:22" x14ac:dyDescent="0.25">
      <c r="A46" t="str">
        <f t="shared" si="0"/>
        <v/>
      </c>
      <c r="B46" s="16"/>
      <c r="D46" t="str">
        <f>IF($C46="","",IFERROR(INDEX('Asset Register'!$B:$B,MATCH($C46,'Asset Register'!$A:$A,0)),""))</f>
        <v/>
      </c>
      <c r="E46" t="str">
        <f>IF($C46="","",IFERROR(INDEX('Asset Register'!$C:$C,MATCH($C46,'Asset Register'!$A:$A,0)),""))</f>
        <v/>
      </c>
      <c r="F46" t="str">
        <f>IF($C46="","",IFERROR(INDEX('Asset Register'!$D:$D,MATCH($C46,'Asset Register'!$A:$A,0)),""))</f>
        <v/>
      </c>
      <c r="J46" s="17" t="str">
        <f t="shared" si="9"/>
        <v/>
      </c>
      <c r="K46" s="17" t="str">
        <f t="shared" si="10"/>
        <v/>
      </c>
      <c r="L46" s="17" t="str">
        <f t="shared" si="3"/>
        <v/>
      </c>
      <c r="O46" t="str">
        <f>IF($C46="","",IFERROR(INDEX('Asset Register'!$G:$G,MATCH($C46,'Asset Register'!$A:$A,0)),""))</f>
        <v/>
      </c>
      <c r="Q46" t="str">
        <f t="shared" si="4"/>
        <v/>
      </c>
      <c r="R46" t="str">
        <f t="shared" si="5"/>
        <v/>
      </c>
      <c r="S46" s="17" t="str">
        <f t="shared" si="6"/>
        <v/>
      </c>
      <c r="T46" s="18" t="str">
        <f>IF($C46="","",IFERROR(INDEX('Asset Register'!$H:$H,MATCH($C46,'Asset Register'!$A:$A,0)),""))</f>
        <v/>
      </c>
      <c r="U46" s="18" t="str">
        <f t="shared" si="7"/>
        <v/>
      </c>
      <c r="V46" s="17" t="str">
        <f t="shared" si="8"/>
        <v/>
      </c>
    </row>
    <row r="47" spans="1:22" x14ac:dyDescent="0.25">
      <c r="A47" t="str">
        <f t="shared" si="0"/>
        <v/>
      </c>
      <c r="B47" s="16"/>
      <c r="D47" t="str">
        <f>IF($C47="","",IFERROR(INDEX('Asset Register'!$B:$B,MATCH($C47,'Asset Register'!$A:$A,0)),""))</f>
        <v/>
      </c>
      <c r="E47" t="str">
        <f>IF($C47="","",IFERROR(INDEX('Asset Register'!$C:$C,MATCH($C47,'Asset Register'!$A:$A,0)),""))</f>
        <v/>
      </c>
      <c r="F47" t="str">
        <f>IF($C47="","",IFERROR(INDEX('Asset Register'!$D:$D,MATCH($C47,'Asset Register'!$A:$A,0)),""))</f>
        <v/>
      </c>
      <c r="J47" s="17" t="str">
        <f t="shared" si="9"/>
        <v/>
      </c>
      <c r="K47" s="17" t="str">
        <f t="shared" si="10"/>
        <v/>
      </c>
      <c r="L47" s="17" t="str">
        <f t="shared" si="3"/>
        <v/>
      </c>
      <c r="O47" t="str">
        <f>IF($C47="","",IFERROR(INDEX('Asset Register'!$G:$G,MATCH($C47,'Asset Register'!$A:$A,0)),""))</f>
        <v/>
      </c>
      <c r="Q47" t="str">
        <f t="shared" si="4"/>
        <v/>
      </c>
      <c r="R47" t="str">
        <f t="shared" si="5"/>
        <v/>
      </c>
      <c r="S47" s="17" t="str">
        <f t="shared" si="6"/>
        <v/>
      </c>
      <c r="T47" s="18" t="str">
        <f>IF($C47="","",IFERROR(INDEX('Asset Register'!$H:$H,MATCH($C47,'Asset Register'!$A:$A,0)),""))</f>
        <v/>
      </c>
      <c r="U47" s="18" t="str">
        <f t="shared" si="7"/>
        <v/>
      </c>
      <c r="V47" s="17" t="str">
        <f t="shared" si="8"/>
        <v/>
      </c>
    </row>
    <row r="48" spans="1:22" x14ac:dyDescent="0.25">
      <c r="A48" t="str">
        <f t="shared" si="0"/>
        <v/>
      </c>
      <c r="B48" s="16"/>
      <c r="D48" t="str">
        <f>IF($C48="","",IFERROR(INDEX('Asset Register'!$B:$B,MATCH($C48,'Asset Register'!$A:$A,0)),""))</f>
        <v/>
      </c>
      <c r="E48" t="str">
        <f>IF($C48="","",IFERROR(INDEX('Asset Register'!$C:$C,MATCH($C48,'Asset Register'!$A:$A,0)),""))</f>
        <v/>
      </c>
      <c r="F48" t="str">
        <f>IF($C48="","",IFERROR(INDEX('Asset Register'!$D:$D,MATCH($C48,'Asset Register'!$A:$A,0)),""))</f>
        <v/>
      </c>
      <c r="J48" s="17" t="str">
        <f t="shared" si="9"/>
        <v/>
      </c>
      <c r="K48" s="17" t="str">
        <f t="shared" si="10"/>
        <v/>
      </c>
      <c r="L48" s="17" t="str">
        <f t="shared" si="3"/>
        <v/>
      </c>
      <c r="O48" t="str">
        <f>IF($C48="","",IFERROR(INDEX('Asset Register'!$G:$G,MATCH($C48,'Asset Register'!$A:$A,0)),""))</f>
        <v/>
      </c>
      <c r="Q48" t="str">
        <f t="shared" si="4"/>
        <v/>
      </c>
      <c r="R48" t="str">
        <f t="shared" si="5"/>
        <v/>
      </c>
      <c r="S48" s="17" t="str">
        <f t="shared" si="6"/>
        <v/>
      </c>
      <c r="T48" s="18" t="str">
        <f>IF($C48="","",IFERROR(INDEX('Asset Register'!$H:$H,MATCH($C48,'Asset Register'!$A:$A,0)),""))</f>
        <v/>
      </c>
      <c r="U48" s="18" t="str">
        <f t="shared" si="7"/>
        <v/>
      </c>
      <c r="V48" s="17" t="str">
        <f t="shared" si="8"/>
        <v/>
      </c>
    </row>
    <row r="49" spans="1:22" x14ac:dyDescent="0.25">
      <c r="A49" t="str">
        <f t="shared" si="0"/>
        <v/>
      </c>
      <c r="B49" s="16"/>
      <c r="D49" t="str">
        <f>IF($C49="","",IFERROR(INDEX('Asset Register'!$B:$B,MATCH($C49,'Asset Register'!$A:$A,0)),""))</f>
        <v/>
      </c>
      <c r="E49" t="str">
        <f>IF($C49="","",IFERROR(INDEX('Asset Register'!$C:$C,MATCH($C49,'Asset Register'!$A:$A,0)),""))</f>
        <v/>
      </c>
      <c r="F49" t="str">
        <f>IF($C49="","",IFERROR(INDEX('Asset Register'!$D:$D,MATCH($C49,'Asset Register'!$A:$A,0)),""))</f>
        <v/>
      </c>
      <c r="J49" s="17" t="str">
        <f t="shared" si="9"/>
        <v/>
      </c>
      <c r="K49" s="17" t="str">
        <f t="shared" si="10"/>
        <v/>
      </c>
      <c r="L49" s="17" t="str">
        <f t="shared" si="3"/>
        <v/>
      </c>
      <c r="O49" t="str">
        <f>IF($C49="","",IFERROR(INDEX('Asset Register'!$G:$G,MATCH($C49,'Asset Register'!$A:$A,0)),""))</f>
        <v/>
      </c>
      <c r="Q49" t="str">
        <f t="shared" si="4"/>
        <v/>
      </c>
      <c r="R49" t="str">
        <f t="shared" si="5"/>
        <v/>
      </c>
      <c r="S49" s="17" t="str">
        <f t="shared" si="6"/>
        <v/>
      </c>
      <c r="T49" s="18" t="str">
        <f>IF($C49="","",IFERROR(INDEX('Asset Register'!$H:$H,MATCH($C49,'Asset Register'!$A:$A,0)),""))</f>
        <v/>
      </c>
      <c r="U49" s="18" t="str">
        <f t="shared" si="7"/>
        <v/>
      </c>
      <c r="V49" s="17" t="str">
        <f t="shared" si="8"/>
        <v/>
      </c>
    </row>
    <row r="50" spans="1:22" x14ac:dyDescent="0.25">
      <c r="A50" t="str">
        <f t="shared" si="0"/>
        <v/>
      </c>
      <c r="B50" s="16"/>
      <c r="D50" t="str">
        <f>IF($C50="","",IFERROR(INDEX('Asset Register'!$B:$B,MATCH($C50,'Asset Register'!$A:$A,0)),""))</f>
        <v/>
      </c>
      <c r="E50" t="str">
        <f>IF($C50="","",IFERROR(INDEX('Asset Register'!$C:$C,MATCH($C50,'Asset Register'!$A:$A,0)),""))</f>
        <v/>
      </c>
      <c r="F50" t="str">
        <f>IF($C50="","",IFERROR(INDEX('Asset Register'!$D:$D,MATCH($C50,'Asset Register'!$A:$A,0)),""))</f>
        <v/>
      </c>
      <c r="J50" s="17" t="str">
        <f t="shared" si="9"/>
        <v/>
      </c>
      <c r="K50" s="17" t="str">
        <f t="shared" si="10"/>
        <v/>
      </c>
      <c r="L50" s="17" t="str">
        <f t="shared" si="3"/>
        <v/>
      </c>
      <c r="O50" t="str">
        <f>IF($C50="","",IFERROR(INDEX('Asset Register'!$G:$G,MATCH($C50,'Asset Register'!$A:$A,0)),""))</f>
        <v/>
      </c>
      <c r="Q50" t="str">
        <f t="shared" si="4"/>
        <v/>
      </c>
      <c r="R50" t="str">
        <f t="shared" si="5"/>
        <v/>
      </c>
      <c r="S50" s="17" t="str">
        <f t="shared" si="6"/>
        <v/>
      </c>
      <c r="T50" s="18" t="str">
        <f>IF($C50="","",IFERROR(INDEX('Asset Register'!$H:$H,MATCH($C50,'Asset Register'!$A:$A,0)),""))</f>
        <v/>
      </c>
      <c r="U50" s="18" t="str">
        <f t="shared" si="7"/>
        <v/>
      </c>
      <c r="V50" s="17" t="str">
        <f t="shared" si="8"/>
        <v/>
      </c>
    </row>
    <row r="51" spans="1:22" x14ac:dyDescent="0.25">
      <c r="A51" t="str">
        <f t="shared" si="0"/>
        <v/>
      </c>
      <c r="B51" s="16"/>
      <c r="D51" t="str">
        <f>IF($C51="","",IFERROR(INDEX('Asset Register'!$B:$B,MATCH($C51,'Asset Register'!$A:$A,0)),""))</f>
        <v/>
      </c>
      <c r="E51" t="str">
        <f>IF($C51="","",IFERROR(INDEX('Asset Register'!$C:$C,MATCH($C51,'Asset Register'!$A:$A,0)),""))</f>
        <v/>
      </c>
      <c r="F51" t="str">
        <f>IF($C51="","",IFERROR(INDEX('Asset Register'!$D:$D,MATCH($C51,'Asset Register'!$A:$A,0)),""))</f>
        <v/>
      </c>
      <c r="J51" s="17" t="str">
        <f t="shared" si="9"/>
        <v/>
      </c>
      <c r="K51" s="17" t="str">
        <f t="shared" si="10"/>
        <v/>
      </c>
      <c r="L51" s="17" t="str">
        <f t="shared" si="3"/>
        <v/>
      </c>
      <c r="O51" t="str">
        <f>IF($C51="","",IFERROR(INDEX('Asset Register'!$G:$G,MATCH($C51,'Asset Register'!$A:$A,0)),""))</f>
        <v/>
      </c>
      <c r="Q51" t="str">
        <f t="shared" si="4"/>
        <v/>
      </c>
      <c r="R51" t="str">
        <f t="shared" si="5"/>
        <v/>
      </c>
      <c r="S51" s="17" t="str">
        <f t="shared" si="6"/>
        <v/>
      </c>
      <c r="T51" s="18" t="str">
        <f>IF($C51="","",IFERROR(INDEX('Asset Register'!$H:$H,MATCH($C51,'Asset Register'!$A:$A,0)),""))</f>
        <v/>
      </c>
      <c r="U51" s="18" t="str">
        <f t="shared" si="7"/>
        <v/>
      </c>
      <c r="V51" s="17" t="str">
        <f t="shared" si="8"/>
        <v/>
      </c>
    </row>
    <row r="52" spans="1:22" x14ac:dyDescent="0.25">
      <c r="A52" t="str">
        <f t="shared" si="0"/>
        <v/>
      </c>
      <c r="B52" s="16"/>
      <c r="D52" t="str">
        <f>IF($C52="","",IFERROR(INDEX('Asset Register'!$B:$B,MATCH($C52,'Asset Register'!$A:$A,0)),""))</f>
        <v/>
      </c>
      <c r="E52" t="str">
        <f>IF($C52="","",IFERROR(INDEX('Asset Register'!$C:$C,MATCH($C52,'Asset Register'!$A:$A,0)),""))</f>
        <v/>
      </c>
      <c r="F52" t="str">
        <f>IF($C52="","",IFERROR(INDEX('Asset Register'!$D:$D,MATCH($C52,'Asset Register'!$A:$A,0)),""))</f>
        <v/>
      </c>
      <c r="J52" s="17" t="str">
        <f t="shared" si="9"/>
        <v/>
      </c>
      <c r="K52" s="17" t="str">
        <f t="shared" si="10"/>
        <v/>
      </c>
      <c r="L52" s="17" t="str">
        <f t="shared" si="3"/>
        <v/>
      </c>
      <c r="O52" t="str">
        <f>IF($C52="","",IFERROR(INDEX('Asset Register'!$G:$G,MATCH($C52,'Asset Register'!$A:$A,0)),""))</f>
        <v/>
      </c>
      <c r="Q52" t="str">
        <f t="shared" si="4"/>
        <v/>
      </c>
      <c r="R52" t="str">
        <f t="shared" si="5"/>
        <v/>
      </c>
      <c r="S52" s="17" t="str">
        <f t="shared" si="6"/>
        <v/>
      </c>
      <c r="T52" s="18" t="str">
        <f>IF($C52="","",IFERROR(INDEX('Asset Register'!$H:$H,MATCH($C52,'Asset Register'!$A:$A,0)),""))</f>
        <v/>
      </c>
      <c r="U52" s="18" t="str">
        <f t="shared" si="7"/>
        <v/>
      </c>
      <c r="V52" s="17" t="str">
        <f t="shared" si="8"/>
        <v/>
      </c>
    </row>
    <row r="53" spans="1:22" x14ac:dyDescent="0.25">
      <c r="A53" t="str">
        <f t="shared" si="0"/>
        <v/>
      </c>
      <c r="B53" s="16"/>
      <c r="D53" t="str">
        <f>IF($C53="","",IFERROR(INDEX('Asset Register'!$B:$B,MATCH($C53,'Asset Register'!$A:$A,0)),""))</f>
        <v/>
      </c>
      <c r="E53" t="str">
        <f>IF($C53="","",IFERROR(INDEX('Asset Register'!$C:$C,MATCH($C53,'Asset Register'!$A:$A,0)),""))</f>
        <v/>
      </c>
      <c r="F53" t="str">
        <f>IF($C53="","",IFERROR(INDEX('Asset Register'!$D:$D,MATCH($C53,'Asset Register'!$A:$A,0)),""))</f>
        <v/>
      </c>
      <c r="J53" s="17" t="str">
        <f t="shared" si="9"/>
        <v/>
      </c>
      <c r="K53" s="17" t="str">
        <f t="shared" si="10"/>
        <v/>
      </c>
      <c r="L53" s="17" t="str">
        <f t="shared" si="3"/>
        <v/>
      </c>
      <c r="O53" t="str">
        <f>IF($C53="","",IFERROR(INDEX('Asset Register'!$G:$G,MATCH($C53,'Asset Register'!$A:$A,0)),""))</f>
        <v/>
      </c>
      <c r="Q53" t="str">
        <f t="shared" si="4"/>
        <v/>
      </c>
      <c r="R53" t="str">
        <f t="shared" si="5"/>
        <v/>
      </c>
      <c r="S53" s="17" t="str">
        <f t="shared" si="6"/>
        <v/>
      </c>
      <c r="T53" s="18" t="str">
        <f>IF($C53="","",IFERROR(INDEX('Asset Register'!$H:$H,MATCH($C53,'Asset Register'!$A:$A,0)),""))</f>
        <v/>
      </c>
      <c r="U53" s="18" t="str">
        <f t="shared" si="7"/>
        <v/>
      </c>
      <c r="V53" s="17" t="str">
        <f t="shared" si="8"/>
        <v/>
      </c>
    </row>
    <row r="54" spans="1:22" x14ac:dyDescent="0.25">
      <c r="A54" t="str">
        <f t="shared" si="0"/>
        <v/>
      </c>
      <c r="B54" s="16"/>
      <c r="D54" t="str">
        <f>IF($C54="","",IFERROR(INDEX('Asset Register'!$B:$B,MATCH($C54,'Asset Register'!$A:$A,0)),""))</f>
        <v/>
      </c>
      <c r="E54" t="str">
        <f>IF($C54="","",IFERROR(INDEX('Asset Register'!$C:$C,MATCH($C54,'Asset Register'!$A:$A,0)),""))</f>
        <v/>
      </c>
      <c r="F54" t="str">
        <f>IF($C54="","",IFERROR(INDEX('Asset Register'!$D:$D,MATCH($C54,'Asset Register'!$A:$A,0)),""))</f>
        <v/>
      </c>
      <c r="J54" s="17" t="str">
        <f t="shared" si="9"/>
        <v/>
      </c>
      <c r="K54" s="17" t="str">
        <f t="shared" si="10"/>
        <v/>
      </c>
      <c r="L54" s="17" t="str">
        <f t="shared" si="3"/>
        <v/>
      </c>
      <c r="O54" t="str">
        <f>IF($C54="","",IFERROR(INDEX('Asset Register'!$G:$G,MATCH($C54,'Asset Register'!$A:$A,0)),""))</f>
        <v/>
      </c>
      <c r="Q54" t="str">
        <f t="shared" si="4"/>
        <v/>
      </c>
      <c r="R54" t="str">
        <f t="shared" si="5"/>
        <v/>
      </c>
      <c r="S54" s="17" t="str">
        <f t="shared" si="6"/>
        <v/>
      </c>
      <c r="T54" s="18" t="str">
        <f>IF($C54="","",IFERROR(INDEX('Asset Register'!$H:$H,MATCH($C54,'Asset Register'!$A:$A,0)),""))</f>
        <v/>
      </c>
      <c r="U54" s="18" t="str">
        <f t="shared" si="7"/>
        <v/>
      </c>
      <c r="V54" s="17" t="str">
        <f t="shared" si="8"/>
        <v/>
      </c>
    </row>
    <row r="55" spans="1:22" x14ac:dyDescent="0.25">
      <c r="A55" t="str">
        <f t="shared" si="0"/>
        <v/>
      </c>
      <c r="B55" s="16"/>
      <c r="D55" t="str">
        <f>IF($C55="","",IFERROR(INDEX('Asset Register'!$B:$B,MATCH($C55,'Asset Register'!$A:$A,0)),""))</f>
        <v/>
      </c>
      <c r="E55" t="str">
        <f>IF($C55="","",IFERROR(INDEX('Asset Register'!$C:$C,MATCH($C55,'Asset Register'!$A:$A,0)),""))</f>
        <v/>
      </c>
      <c r="F55" t="str">
        <f>IF($C55="","",IFERROR(INDEX('Asset Register'!$D:$D,MATCH($C55,'Asset Register'!$A:$A,0)),""))</f>
        <v/>
      </c>
      <c r="J55" s="17" t="str">
        <f t="shared" si="9"/>
        <v/>
      </c>
      <c r="K55" s="17" t="str">
        <f t="shared" si="10"/>
        <v/>
      </c>
      <c r="L55" s="17" t="str">
        <f t="shared" si="3"/>
        <v/>
      </c>
      <c r="O55" t="str">
        <f>IF($C55="","",IFERROR(INDEX('Asset Register'!$G:$G,MATCH($C55,'Asset Register'!$A:$A,0)),""))</f>
        <v/>
      </c>
      <c r="Q55" t="str">
        <f t="shared" si="4"/>
        <v/>
      </c>
      <c r="R55" t="str">
        <f t="shared" si="5"/>
        <v/>
      </c>
      <c r="S55" s="17" t="str">
        <f t="shared" si="6"/>
        <v/>
      </c>
      <c r="T55" s="18" t="str">
        <f>IF($C55="","",IFERROR(INDEX('Asset Register'!$H:$H,MATCH($C55,'Asset Register'!$A:$A,0)),""))</f>
        <v/>
      </c>
      <c r="U55" s="18" t="str">
        <f t="shared" si="7"/>
        <v/>
      </c>
      <c r="V55" s="17" t="str">
        <f t="shared" si="8"/>
        <v/>
      </c>
    </row>
    <row r="56" spans="1:22" x14ac:dyDescent="0.25">
      <c r="A56" t="str">
        <f t="shared" si="0"/>
        <v/>
      </c>
      <c r="B56" s="16"/>
      <c r="D56" t="str">
        <f>IF($C56="","",IFERROR(INDEX('Asset Register'!$B:$B,MATCH($C56,'Asset Register'!$A:$A,0)),""))</f>
        <v/>
      </c>
      <c r="E56" t="str">
        <f>IF($C56="","",IFERROR(INDEX('Asset Register'!$C:$C,MATCH($C56,'Asset Register'!$A:$A,0)),""))</f>
        <v/>
      </c>
      <c r="F56" t="str">
        <f>IF($C56="","",IFERROR(INDEX('Asset Register'!$D:$D,MATCH($C56,'Asset Register'!$A:$A,0)),""))</f>
        <v/>
      </c>
      <c r="J56" s="17" t="str">
        <f t="shared" si="9"/>
        <v/>
      </c>
      <c r="K56" s="17" t="str">
        <f t="shared" si="10"/>
        <v/>
      </c>
      <c r="L56" s="17" t="str">
        <f t="shared" si="3"/>
        <v/>
      </c>
      <c r="O56" t="str">
        <f>IF($C56="","",IFERROR(INDEX('Asset Register'!$G:$G,MATCH($C56,'Asset Register'!$A:$A,0)),""))</f>
        <v/>
      </c>
      <c r="Q56" t="str">
        <f t="shared" si="4"/>
        <v/>
      </c>
      <c r="R56" t="str">
        <f t="shared" si="5"/>
        <v/>
      </c>
      <c r="S56" s="17" t="str">
        <f t="shared" si="6"/>
        <v/>
      </c>
      <c r="T56" s="18" t="str">
        <f>IF($C56="","",IFERROR(INDEX('Asset Register'!$H:$H,MATCH($C56,'Asset Register'!$A:$A,0)),""))</f>
        <v/>
      </c>
      <c r="U56" s="18" t="str">
        <f t="shared" si="7"/>
        <v/>
      </c>
      <c r="V56" s="17" t="str">
        <f t="shared" si="8"/>
        <v/>
      </c>
    </row>
    <row r="57" spans="1:22" x14ac:dyDescent="0.25">
      <c r="A57" t="str">
        <f t="shared" si="0"/>
        <v/>
      </c>
      <c r="B57" s="16"/>
      <c r="D57" t="str">
        <f>IF($C57="","",IFERROR(INDEX('Asset Register'!$B:$B,MATCH($C57,'Asset Register'!$A:$A,0)),""))</f>
        <v/>
      </c>
      <c r="E57" t="str">
        <f>IF($C57="","",IFERROR(INDEX('Asset Register'!$C:$C,MATCH($C57,'Asset Register'!$A:$A,0)),""))</f>
        <v/>
      </c>
      <c r="F57" t="str">
        <f>IF($C57="","",IFERROR(INDEX('Asset Register'!$D:$D,MATCH($C57,'Asset Register'!$A:$A,0)),""))</f>
        <v/>
      </c>
      <c r="J57" s="17" t="str">
        <f t="shared" si="9"/>
        <v/>
      </c>
      <c r="K57" s="17" t="str">
        <f t="shared" si="10"/>
        <v/>
      </c>
      <c r="L57" s="17" t="str">
        <f t="shared" si="3"/>
        <v/>
      </c>
      <c r="O57" t="str">
        <f>IF($C57="","",IFERROR(INDEX('Asset Register'!$G:$G,MATCH($C57,'Asset Register'!$A:$A,0)),""))</f>
        <v/>
      </c>
      <c r="Q57" t="str">
        <f t="shared" si="4"/>
        <v/>
      </c>
      <c r="R57" t="str">
        <f t="shared" si="5"/>
        <v/>
      </c>
      <c r="S57" s="17" t="str">
        <f t="shared" si="6"/>
        <v/>
      </c>
      <c r="T57" s="18" t="str">
        <f>IF($C57="","",IFERROR(INDEX('Asset Register'!$H:$H,MATCH($C57,'Asset Register'!$A:$A,0)),""))</f>
        <v/>
      </c>
      <c r="U57" s="18" t="str">
        <f t="shared" si="7"/>
        <v/>
      </c>
      <c r="V57" s="17" t="str">
        <f t="shared" si="8"/>
        <v/>
      </c>
    </row>
    <row r="58" spans="1:22" x14ac:dyDescent="0.25">
      <c r="A58" t="str">
        <f t="shared" si="0"/>
        <v/>
      </c>
      <c r="B58" s="16"/>
      <c r="D58" t="str">
        <f>IF($C58="","",IFERROR(INDEX('Asset Register'!$B:$B,MATCH($C58,'Asset Register'!$A:$A,0)),""))</f>
        <v/>
      </c>
      <c r="E58" t="str">
        <f>IF($C58="","",IFERROR(INDEX('Asset Register'!$C:$C,MATCH($C58,'Asset Register'!$A:$A,0)),""))</f>
        <v/>
      </c>
      <c r="F58" t="str">
        <f>IF($C58="","",IFERROR(INDEX('Asset Register'!$D:$D,MATCH($C58,'Asset Register'!$A:$A,0)),""))</f>
        <v/>
      </c>
      <c r="J58" s="17" t="str">
        <f t="shared" si="9"/>
        <v/>
      </c>
      <c r="K58" s="17" t="str">
        <f t="shared" si="10"/>
        <v/>
      </c>
      <c r="L58" s="17" t="str">
        <f t="shared" si="3"/>
        <v/>
      </c>
      <c r="O58" t="str">
        <f>IF($C58="","",IFERROR(INDEX('Asset Register'!$G:$G,MATCH($C58,'Asset Register'!$A:$A,0)),""))</f>
        <v/>
      </c>
      <c r="Q58" t="str">
        <f t="shared" si="4"/>
        <v/>
      </c>
      <c r="R58" t="str">
        <f t="shared" si="5"/>
        <v/>
      </c>
      <c r="S58" s="17" t="str">
        <f t="shared" si="6"/>
        <v/>
      </c>
      <c r="T58" s="18" t="str">
        <f>IF($C58="","",IFERROR(INDEX('Asset Register'!$H:$H,MATCH($C58,'Asset Register'!$A:$A,0)),""))</f>
        <v/>
      </c>
      <c r="U58" s="18" t="str">
        <f t="shared" si="7"/>
        <v/>
      </c>
      <c r="V58" s="17" t="str">
        <f t="shared" si="8"/>
        <v/>
      </c>
    </row>
    <row r="59" spans="1:22" x14ac:dyDescent="0.25">
      <c r="A59" t="str">
        <f t="shared" si="0"/>
        <v/>
      </c>
      <c r="B59" s="16"/>
      <c r="D59" t="str">
        <f>IF($C59="","",IFERROR(INDEX('Asset Register'!$B:$B,MATCH($C59,'Asset Register'!$A:$A,0)),""))</f>
        <v/>
      </c>
      <c r="E59" t="str">
        <f>IF($C59="","",IFERROR(INDEX('Asset Register'!$C:$C,MATCH($C59,'Asset Register'!$A:$A,0)),""))</f>
        <v/>
      </c>
      <c r="F59" t="str">
        <f>IF($C59="","",IFERROR(INDEX('Asset Register'!$D:$D,MATCH($C59,'Asset Register'!$A:$A,0)),""))</f>
        <v/>
      </c>
      <c r="J59" s="17" t="str">
        <f t="shared" si="9"/>
        <v/>
      </c>
      <c r="K59" s="17" t="str">
        <f t="shared" si="10"/>
        <v/>
      </c>
      <c r="L59" s="17" t="str">
        <f t="shared" si="3"/>
        <v/>
      </c>
      <c r="O59" t="str">
        <f>IF($C59="","",IFERROR(INDEX('Asset Register'!$G:$G,MATCH($C59,'Asset Register'!$A:$A,0)),""))</f>
        <v/>
      </c>
      <c r="Q59" t="str">
        <f t="shared" si="4"/>
        <v/>
      </c>
      <c r="R59" t="str">
        <f t="shared" si="5"/>
        <v/>
      </c>
      <c r="S59" s="17" t="str">
        <f t="shared" si="6"/>
        <v/>
      </c>
      <c r="T59" s="18" t="str">
        <f>IF($C59="","",IFERROR(INDEX('Asset Register'!$H:$H,MATCH($C59,'Asset Register'!$A:$A,0)),""))</f>
        <v/>
      </c>
      <c r="U59" s="18" t="str">
        <f t="shared" si="7"/>
        <v/>
      </c>
      <c r="V59" s="17" t="str">
        <f t="shared" si="8"/>
        <v/>
      </c>
    </row>
    <row r="60" spans="1:22" x14ac:dyDescent="0.25">
      <c r="A60" t="str">
        <f t="shared" si="0"/>
        <v/>
      </c>
      <c r="B60" s="16"/>
      <c r="D60" t="str">
        <f>IF($C60="","",IFERROR(INDEX('Asset Register'!$B:$B,MATCH($C60,'Asset Register'!$A:$A,0)),""))</f>
        <v/>
      </c>
      <c r="E60" t="str">
        <f>IF($C60="","",IFERROR(INDEX('Asset Register'!$C:$C,MATCH($C60,'Asset Register'!$A:$A,0)),""))</f>
        <v/>
      </c>
      <c r="F60" t="str">
        <f>IF($C60="","",IFERROR(INDEX('Asset Register'!$D:$D,MATCH($C60,'Asset Register'!$A:$A,0)),""))</f>
        <v/>
      </c>
      <c r="J60" s="17" t="str">
        <f t="shared" si="9"/>
        <v/>
      </c>
      <c r="K60" s="17" t="str">
        <f t="shared" si="10"/>
        <v/>
      </c>
      <c r="L60" s="17" t="str">
        <f t="shared" si="3"/>
        <v/>
      </c>
      <c r="O60" t="str">
        <f>IF($C60="","",IFERROR(INDEX('Asset Register'!$G:$G,MATCH($C60,'Asset Register'!$A:$A,0)),""))</f>
        <v/>
      </c>
      <c r="Q60" t="str">
        <f t="shared" si="4"/>
        <v/>
      </c>
      <c r="R60" t="str">
        <f t="shared" si="5"/>
        <v/>
      </c>
      <c r="S60" s="17" t="str">
        <f t="shared" si="6"/>
        <v/>
      </c>
      <c r="T60" s="18" t="str">
        <f>IF($C60="","",IFERROR(INDEX('Asset Register'!$H:$H,MATCH($C60,'Asset Register'!$A:$A,0)),""))</f>
        <v/>
      </c>
      <c r="U60" s="18" t="str">
        <f t="shared" si="7"/>
        <v/>
      </c>
      <c r="V60" s="17" t="str">
        <f t="shared" si="8"/>
        <v/>
      </c>
    </row>
    <row r="61" spans="1:22" x14ac:dyDescent="0.25">
      <c r="A61" t="str">
        <f t="shared" si="0"/>
        <v/>
      </c>
      <c r="B61" s="16"/>
      <c r="D61" t="str">
        <f>IF($C61="","",IFERROR(INDEX('Asset Register'!$B:$B,MATCH($C61,'Asset Register'!$A:$A,0)),""))</f>
        <v/>
      </c>
      <c r="E61" t="str">
        <f>IF($C61="","",IFERROR(INDEX('Asset Register'!$C:$C,MATCH($C61,'Asset Register'!$A:$A,0)),""))</f>
        <v/>
      </c>
      <c r="F61" t="str">
        <f>IF($C61="","",IFERROR(INDEX('Asset Register'!$D:$D,MATCH($C61,'Asset Register'!$A:$A,0)),""))</f>
        <v/>
      </c>
      <c r="J61" s="17" t="str">
        <f t="shared" si="9"/>
        <v/>
      </c>
      <c r="K61" s="17" t="str">
        <f t="shared" si="10"/>
        <v/>
      </c>
      <c r="L61" s="17" t="str">
        <f t="shared" si="3"/>
        <v/>
      </c>
      <c r="O61" t="str">
        <f>IF($C61="","",IFERROR(INDEX('Asset Register'!$G:$G,MATCH($C61,'Asset Register'!$A:$A,0)),""))</f>
        <v/>
      </c>
      <c r="Q61" t="str">
        <f t="shared" si="4"/>
        <v/>
      </c>
      <c r="R61" t="str">
        <f t="shared" si="5"/>
        <v/>
      </c>
      <c r="S61" s="17" t="str">
        <f t="shared" si="6"/>
        <v/>
      </c>
      <c r="T61" s="18" t="str">
        <f>IF($C61="","",IFERROR(INDEX('Asset Register'!$H:$H,MATCH($C61,'Asset Register'!$A:$A,0)),""))</f>
        <v/>
      </c>
      <c r="U61" s="18" t="str">
        <f t="shared" si="7"/>
        <v/>
      </c>
      <c r="V61" s="17" t="str">
        <f t="shared" si="8"/>
        <v/>
      </c>
    </row>
    <row r="62" spans="1:22" x14ac:dyDescent="0.25">
      <c r="A62" t="str">
        <f t="shared" si="0"/>
        <v/>
      </c>
      <c r="B62" s="16"/>
      <c r="D62" t="str">
        <f>IF($C62="","",IFERROR(INDEX('Asset Register'!$B:$B,MATCH($C62,'Asset Register'!$A:$A,0)),""))</f>
        <v/>
      </c>
      <c r="E62" t="str">
        <f>IF($C62="","",IFERROR(INDEX('Asset Register'!$C:$C,MATCH($C62,'Asset Register'!$A:$A,0)),""))</f>
        <v/>
      </c>
      <c r="F62" t="str">
        <f>IF($C62="","",IFERROR(INDEX('Asset Register'!$D:$D,MATCH($C62,'Asset Register'!$A:$A,0)),""))</f>
        <v/>
      </c>
      <c r="J62" s="17" t="str">
        <f t="shared" si="9"/>
        <v/>
      </c>
      <c r="K62" s="17" t="str">
        <f t="shared" si="10"/>
        <v/>
      </c>
      <c r="L62" s="17" t="str">
        <f t="shared" si="3"/>
        <v/>
      </c>
      <c r="O62" t="str">
        <f>IF($C62="","",IFERROR(INDEX('Asset Register'!$G:$G,MATCH($C62,'Asset Register'!$A:$A,0)),""))</f>
        <v/>
      </c>
      <c r="Q62" t="str">
        <f t="shared" si="4"/>
        <v/>
      </c>
      <c r="R62" t="str">
        <f t="shared" si="5"/>
        <v/>
      </c>
      <c r="S62" s="17" t="str">
        <f t="shared" si="6"/>
        <v/>
      </c>
      <c r="T62" s="18" t="str">
        <f>IF($C62="","",IFERROR(INDEX('Asset Register'!$H:$H,MATCH($C62,'Asset Register'!$A:$A,0)),""))</f>
        <v/>
      </c>
      <c r="U62" s="18" t="str">
        <f t="shared" si="7"/>
        <v/>
      </c>
      <c r="V62" s="17" t="str">
        <f t="shared" si="8"/>
        <v/>
      </c>
    </row>
    <row r="63" spans="1:22" x14ac:dyDescent="0.25">
      <c r="A63" t="str">
        <f t="shared" si="0"/>
        <v/>
      </c>
      <c r="B63" s="16"/>
      <c r="D63" t="str">
        <f>IF($C63="","",IFERROR(INDEX('Asset Register'!$B:$B,MATCH($C63,'Asset Register'!$A:$A,0)),""))</f>
        <v/>
      </c>
      <c r="E63" t="str">
        <f>IF($C63="","",IFERROR(INDEX('Asset Register'!$C:$C,MATCH($C63,'Asset Register'!$A:$A,0)),""))</f>
        <v/>
      </c>
      <c r="F63" t="str">
        <f>IF($C63="","",IFERROR(INDEX('Asset Register'!$D:$D,MATCH($C63,'Asset Register'!$A:$A,0)),""))</f>
        <v/>
      </c>
      <c r="J63" s="17" t="str">
        <f t="shared" si="9"/>
        <v/>
      </c>
      <c r="K63" s="17" t="str">
        <f t="shared" si="10"/>
        <v/>
      </c>
      <c r="L63" s="17" t="str">
        <f t="shared" si="3"/>
        <v/>
      </c>
      <c r="O63" t="str">
        <f>IF($C63="","",IFERROR(INDEX('Asset Register'!$G:$G,MATCH($C63,'Asset Register'!$A:$A,0)),""))</f>
        <v/>
      </c>
      <c r="Q63" t="str">
        <f t="shared" si="4"/>
        <v/>
      </c>
      <c r="R63" t="str">
        <f t="shared" si="5"/>
        <v/>
      </c>
      <c r="S63" s="17" t="str">
        <f t="shared" si="6"/>
        <v/>
      </c>
      <c r="T63" s="18" t="str">
        <f>IF($C63="","",IFERROR(INDEX('Asset Register'!$H:$H,MATCH($C63,'Asset Register'!$A:$A,0)),""))</f>
        <v/>
      </c>
      <c r="U63" s="18" t="str">
        <f t="shared" si="7"/>
        <v/>
      </c>
      <c r="V63" s="17" t="str">
        <f t="shared" si="8"/>
        <v/>
      </c>
    </row>
    <row r="64" spans="1:22" x14ac:dyDescent="0.25">
      <c r="A64" t="str">
        <f t="shared" si="0"/>
        <v/>
      </c>
      <c r="B64" s="16"/>
      <c r="D64" t="str">
        <f>IF($C64="","",IFERROR(INDEX('Asset Register'!$B:$B,MATCH($C64,'Asset Register'!$A:$A,0)),""))</f>
        <v/>
      </c>
      <c r="E64" t="str">
        <f>IF($C64="","",IFERROR(INDEX('Asset Register'!$C:$C,MATCH($C64,'Asset Register'!$A:$A,0)),""))</f>
        <v/>
      </c>
      <c r="F64" t="str">
        <f>IF($C64="","",IFERROR(INDEX('Asset Register'!$D:$D,MATCH($C64,'Asset Register'!$A:$A,0)),""))</f>
        <v/>
      </c>
      <c r="J64" s="17" t="str">
        <f t="shared" si="9"/>
        <v/>
      </c>
      <c r="K64" s="17" t="str">
        <f t="shared" si="10"/>
        <v/>
      </c>
      <c r="L64" s="17" t="str">
        <f t="shared" si="3"/>
        <v/>
      </c>
      <c r="O64" t="str">
        <f>IF($C64="","",IFERROR(INDEX('Asset Register'!$G:$G,MATCH($C64,'Asset Register'!$A:$A,0)),""))</f>
        <v/>
      </c>
      <c r="Q64" t="str">
        <f t="shared" si="4"/>
        <v/>
      </c>
      <c r="R64" t="str">
        <f t="shared" si="5"/>
        <v/>
      </c>
      <c r="S64" s="17" t="str">
        <f t="shared" si="6"/>
        <v/>
      </c>
      <c r="T64" s="18" t="str">
        <f>IF($C64="","",IFERROR(INDEX('Asset Register'!$H:$H,MATCH($C64,'Asset Register'!$A:$A,0)),""))</f>
        <v/>
      </c>
      <c r="U64" s="18" t="str">
        <f t="shared" si="7"/>
        <v/>
      </c>
      <c r="V64" s="17" t="str">
        <f t="shared" si="8"/>
        <v/>
      </c>
    </row>
    <row r="65" spans="1:22" x14ac:dyDescent="0.25">
      <c r="A65" t="str">
        <f t="shared" si="0"/>
        <v/>
      </c>
      <c r="B65" s="16"/>
      <c r="D65" t="str">
        <f>IF($C65="","",IFERROR(INDEX('Asset Register'!$B:$B,MATCH($C65,'Asset Register'!$A:$A,0)),""))</f>
        <v/>
      </c>
      <c r="E65" t="str">
        <f>IF($C65="","",IFERROR(INDEX('Asset Register'!$C:$C,MATCH($C65,'Asset Register'!$A:$A,0)),""))</f>
        <v/>
      </c>
      <c r="F65" t="str">
        <f>IF($C65="","",IFERROR(INDEX('Asset Register'!$D:$D,MATCH($C65,'Asset Register'!$A:$A,0)),""))</f>
        <v/>
      </c>
      <c r="J65" s="17" t="str">
        <f t="shared" si="9"/>
        <v/>
      </c>
      <c r="K65" s="17" t="str">
        <f t="shared" si="10"/>
        <v/>
      </c>
      <c r="L65" s="17" t="str">
        <f t="shared" si="3"/>
        <v/>
      </c>
      <c r="O65" t="str">
        <f>IF($C65="","",IFERROR(INDEX('Asset Register'!$G:$G,MATCH($C65,'Asset Register'!$A:$A,0)),""))</f>
        <v/>
      </c>
      <c r="Q65" t="str">
        <f t="shared" si="4"/>
        <v/>
      </c>
      <c r="R65" t="str">
        <f t="shared" si="5"/>
        <v/>
      </c>
      <c r="S65" s="17" t="str">
        <f t="shared" si="6"/>
        <v/>
      </c>
      <c r="T65" s="18" t="str">
        <f>IF($C65="","",IFERROR(INDEX('Asset Register'!$H:$H,MATCH($C65,'Asset Register'!$A:$A,0)),""))</f>
        <v/>
      </c>
      <c r="U65" s="18" t="str">
        <f t="shared" si="7"/>
        <v/>
      </c>
      <c r="V65" s="17" t="str">
        <f t="shared" si="8"/>
        <v/>
      </c>
    </row>
    <row r="66" spans="1:22" x14ac:dyDescent="0.25">
      <c r="A66" t="str">
        <f t="shared" ref="A66:A129" si="11">IF(B66="","",ROW()-1)</f>
        <v/>
      </c>
      <c r="B66" s="16"/>
      <c r="D66" t="str">
        <f>IF($C66="","",IFERROR(INDEX('Asset Register'!$B:$B,MATCH($C66,'Asset Register'!$A:$A,0)),""))</f>
        <v/>
      </c>
      <c r="E66" t="str">
        <f>IF($C66="","",IFERROR(INDEX('Asset Register'!$C:$C,MATCH($C66,'Asset Register'!$A:$A,0)),""))</f>
        <v/>
      </c>
      <c r="F66" t="str">
        <f>IF($C66="","",IFERROR(INDEX('Asset Register'!$D:$D,MATCH($C66,'Asset Register'!$A:$A,0)),""))</f>
        <v/>
      </c>
      <c r="J66" s="17" t="str">
        <f t="shared" si="9"/>
        <v/>
      </c>
      <c r="K66" s="17" t="str">
        <f t="shared" si="10"/>
        <v/>
      </c>
      <c r="L66" s="17" t="str">
        <f t="shared" ref="L66:L129" si="12">IF($J66="","",1-$J66)</f>
        <v/>
      </c>
      <c r="O66" t="str">
        <f>IF($C66="","",IFERROR(INDEX('Asset Register'!$G:$G,MATCH($C66,'Asset Register'!$A:$A,0)),""))</f>
        <v/>
      </c>
      <c r="Q66" t="str">
        <f t="shared" ref="Q66:Q129" si="13">IF($O66="","",$O66*$G66)</f>
        <v/>
      </c>
      <c r="R66" t="str">
        <f t="shared" ref="R66:R129" si="14">IF(OR($P66="",$Q66=""),"",$P66-$Q66)</f>
        <v/>
      </c>
      <c r="S66" s="17" t="str">
        <f t="shared" ref="S66:S129" si="15">IF(OR($R66="",$Q66="",$Q66=0),"",$R66/$Q66)</f>
        <v/>
      </c>
      <c r="T66" s="18" t="str">
        <f>IF($C66="","",IFERROR(INDEX('Asset Register'!$H:$H,MATCH($C66,'Asset Register'!$A:$A,0)),""))</f>
        <v/>
      </c>
      <c r="U66" s="18" t="str">
        <f t="shared" ref="U66:U129" si="16">IF($T66="","",$G66*$T66)</f>
        <v/>
      </c>
      <c r="V66" s="17" t="str">
        <f t="shared" ref="V66:V129" si="17">IFERROR($H66/$G66,"")</f>
        <v/>
      </c>
    </row>
    <row r="67" spans="1:22" x14ac:dyDescent="0.25">
      <c r="A67" t="str">
        <f t="shared" si="11"/>
        <v/>
      </c>
      <c r="B67" s="16"/>
      <c r="D67" t="str">
        <f>IF($C67="","",IFERROR(INDEX('Asset Register'!$B:$B,MATCH($C67,'Asset Register'!$A:$A,0)),""))</f>
        <v/>
      </c>
      <c r="E67" t="str">
        <f>IF($C67="","",IFERROR(INDEX('Asset Register'!$C:$C,MATCH($C67,'Asset Register'!$A:$A,0)),""))</f>
        <v/>
      </c>
      <c r="F67" t="str">
        <f>IF($C67="","",IFERROR(INDEX('Asset Register'!$D:$D,MATCH($C67,'Asset Register'!$A:$A,0)),""))</f>
        <v/>
      </c>
      <c r="J67" s="17" t="str">
        <f t="shared" si="9"/>
        <v/>
      </c>
      <c r="K67" s="17" t="str">
        <f t="shared" si="10"/>
        <v/>
      </c>
      <c r="L67" s="17" t="str">
        <f t="shared" si="12"/>
        <v/>
      </c>
      <c r="O67" t="str">
        <f>IF($C67="","",IFERROR(INDEX('Asset Register'!$G:$G,MATCH($C67,'Asset Register'!$A:$A,0)),""))</f>
        <v/>
      </c>
      <c r="Q67" t="str">
        <f t="shared" si="13"/>
        <v/>
      </c>
      <c r="R67" t="str">
        <f t="shared" si="14"/>
        <v/>
      </c>
      <c r="S67" s="17" t="str">
        <f t="shared" si="15"/>
        <v/>
      </c>
      <c r="T67" s="18" t="str">
        <f>IF($C67="","",IFERROR(INDEX('Asset Register'!$H:$H,MATCH($C67,'Asset Register'!$A:$A,0)),""))</f>
        <v/>
      </c>
      <c r="U67" s="18" t="str">
        <f t="shared" si="16"/>
        <v/>
      </c>
      <c r="V67" s="17" t="str">
        <f t="shared" si="17"/>
        <v/>
      </c>
    </row>
    <row r="68" spans="1:22" x14ac:dyDescent="0.25">
      <c r="A68" t="str">
        <f t="shared" si="11"/>
        <v/>
      </c>
      <c r="B68" s="16"/>
      <c r="D68" t="str">
        <f>IF($C68="","",IFERROR(INDEX('Asset Register'!$B:$B,MATCH($C68,'Asset Register'!$A:$A,0)),""))</f>
        <v/>
      </c>
      <c r="E68" t="str">
        <f>IF($C68="","",IFERROR(INDEX('Asset Register'!$C:$C,MATCH($C68,'Asset Register'!$A:$A,0)),""))</f>
        <v/>
      </c>
      <c r="F68" t="str">
        <f>IF($C68="","",IFERROR(INDEX('Asset Register'!$D:$D,MATCH($C68,'Asset Register'!$A:$A,0)),""))</f>
        <v/>
      </c>
      <c r="J68" s="17" t="str">
        <f t="shared" si="9"/>
        <v/>
      </c>
      <c r="K68" s="17" t="str">
        <f t="shared" si="10"/>
        <v/>
      </c>
      <c r="L68" s="17" t="str">
        <f t="shared" si="12"/>
        <v/>
      </c>
      <c r="O68" t="str">
        <f>IF($C68="","",IFERROR(INDEX('Asset Register'!$G:$G,MATCH($C68,'Asset Register'!$A:$A,0)),""))</f>
        <v/>
      </c>
      <c r="Q68" t="str">
        <f t="shared" si="13"/>
        <v/>
      </c>
      <c r="R68" t="str">
        <f t="shared" si="14"/>
        <v/>
      </c>
      <c r="S68" s="17" t="str">
        <f t="shared" si="15"/>
        <v/>
      </c>
      <c r="T68" s="18" t="str">
        <f>IF($C68="","",IFERROR(INDEX('Asset Register'!$H:$H,MATCH($C68,'Asset Register'!$A:$A,0)),""))</f>
        <v/>
      </c>
      <c r="U68" s="18" t="str">
        <f t="shared" si="16"/>
        <v/>
      </c>
      <c r="V68" s="17" t="str">
        <f t="shared" si="17"/>
        <v/>
      </c>
    </row>
    <row r="69" spans="1:22" x14ac:dyDescent="0.25">
      <c r="A69" t="str">
        <f t="shared" si="11"/>
        <v/>
      </c>
      <c r="B69" s="16"/>
      <c r="D69" t="str">
        <f>IF($C69="","",IFERROR(INDEX('Asset Register'!$B:$B,MATCH($C69,'Asset Register'!$A:$A,0)),""))</f>
        <v/>
      </c>
      <c r="E69" t="str">
        <f>IF($C69="","",IFERROR(INDEX('Asset Register'!$C:$C,MATCH($C69,'Asset Register'!$A:$A,0)),""))</f>
        <v/>
      </c>
      <c r="F69" t="str">
        <f>IF($C69="","",IFERROR(INDEX('Asset Register'!$D:$D,MATCH($C69,'Asset Register'!$A:$A,0)),""))</f>
        <v/>
      </c>
      <c r="J69" s="17" t="str">
        <f t="shared" si="9"/>
        <v/>
      </c>
      <c r="K69" s="17" t="str">
        <f t="shared" si="10"/>
        <v/>
      </c>
      <c r="L69" s="17" t="str">
        <f t="shared" si="12"/>
        <v/>
      </c>
      <c r="O69" t="str">
        <f>IF($C69="","",IFERROR(INDEX('Asset Register'!$G:$G,MATCH($C69,'Asset Register'!$A:$A,0)),""))</f>
        <v/>
      </c>
      <c r="Q69" t="str">
        <f t="shared" si="13"/>
        <v/>
      </c>
      <c r="R69" t="str">
        <f t="shared" si="14"/>
        <v/>
      </c>
      <c r="S69" s="17" t="str">
        <f t="shared" si="15"/>
        <v/>
      </c>
      <c r="T69" s="18" t="str">
        <f>IF($C69="","",IFERROR(INDEX('Asset Register'!$H:$H,MATCH($C69,'Asset Register'!$A:$A,0)),""))</f>
        <v/>
      </c>
      <c r="U69" s="18" t="str">
        <f t="shared" si="16"/>
        <v/>
      </c>
      <c r="V69" s="17" t="str">
        <f t="shared" si="17"/>
        <v/>
      </c>
    </row>
    <row r="70" spans="1:22" x14ac:dyDescent="0.25">
      <c r="A70" t="str">
        <f t="shared" si="11"/>
        <v/>
      </c>
      <c r="B70" s="16"/>
      <c r="D70" t="str">
        <f>IF($C70="","",IFERROR(INDEX('Asset Register'!$B:$B,MATCH($C70,'Asset Register'!$A:$A,0)),""))</f>
        <v/>
      </c>
      <c r="E70" t="str">
        <f>IF($C70="","",IFERROR(INDEX('Asset Register'!$C:$C,MATCH($C70,'Asset Register'!$A:$A,0)),""))</f>
        <v/>
      </c>
      <c r="F70" t="str">
        <f>IF($C70="","",IFERROR(INDEX('Asset Register'!$D:$D,MATCH($C70,'Asset Register'!$A:$A,0)),""))</f>
        <v/>
      </c>
      <c r="J70" s="17" t="str">
        <f t="shared" si="9"/>
        <v/>
      </c>
      <c r="K70" s="17" t="str">
        <f t="shared" si="10"/>
        <v/>
      </c>
      <c r="L70" s="17" t="str">
        <f t="shared" si="12"/>
        <v/>
      </c>
      <c r="O70" t="str">
        <f>IF($C70="","",IFERROR(INDEX('Asset Register'!$G:$G,MATCH($C70,'Asset Register'!$A:$A,0)),""))</f>
        <v/>
      </c>
      <c r="Q70" t="str">
        <f t="shared" si="13"/>
        <v/>
      </c>
      <c r="R70" t="str">
        <f t="shared" si="14"/>
        <v/>
      </c>
      <c r="S70" s="17" t="str">
        <f t="shared" si="15"/>
        <v/>
      </c>
      <c r="T70" s="18" t="str">
        <f>IF($C70="","",IFERROR(INDEX('Asset Register'!$H:$H,MATCH($C70,'Asset Register'!$A:$A,0)),""))</f>
        <v/>
      </c>
      <c r="U70" s="18" t="str">
        <f t="shared" si="16"/>
        <v/>
      </c>
      <c r="V70" s="17" t="str">
        <f t="shared" si="17"/>
        <v/>
      </c>
    </row>
    <row r="71" spans="1:22" x14ac:dyDescent="0.25">
      <c r="A71" t="str">
        <f t="shared" si="11"/>
        <v/>
      </c>
      <c r="B71" s="16"/>
      <c r="D71" t="str">
        <f>IF($C71="","",IFERROR(INDEX('Asset Register'!$B:$B,MATCH($C71,'Asset Register'!$A:$A,0)),""))</f>
        <v/>
      </c>
      <c r="E71" t="str">
        <f>IF($C71="","",IFERROR(INDEX('Asset Register'!$C:$C,MATCH($C71,'Asset Register'!$A:$A,0)),""))</f>
        <v/>
      </c>
      <c r="F71" t="str">
        <f>IF($C71="","",IFERROR(INDEX('Asset Register'!$D:$D,MATCH($C71,'Asset Register'!$A:$A,0)),""))</f>
        <v/>
      </c>
      <c r="J71" s="17" t="str">
        <f t="shared" si="9"/>
        <v/>
      </c>
      <c r="K71" s="17" t="str">
        <f t="shared" si="10"/>
        <v/>
      </c>
      <c r="L71" s="17" t="str">
        <f t="shared" si="12"/>
        <v/>
      </c>
      <c r="O71" t="str">
        <f>IF($C71="","",IFERROR(INDEX('Asset Register'!$G:$G,MATCH($C71,'Asset Register'!$A:$A,0)),""))</f>
        <v/>
      </c>
      <c r="Q71" t="str">
        <f t="shared" si="13"/>
        <v/>
      </c>
      <c r="R71" t="str">
        <f t="shared" si="14"/>
        <v/>
      </c>
      <c r="S71" s="17" t="str">
        <f t="shared" si="15"/>
        <v/>
      </c>
      <c r="T71" s="18" t="str">
        <f>IF($C71="","",IFERROR(INDEX('Asset Register'!$H:$H,MATCH($C71,'Asset Register'!$A:$A,0)),""))</f>
        <v/>
      </c>
      <c r="U71" s="18" t="str">
        <f t="shared" si="16"/>
        <v/>
      </c>
      <c r="V71" s="17" t="str">
        <f t="shared" si="17"/>
        <v/>
      </c>
    </row>
    <row r="72" spans="1:22" x14ac:dyDescent="0.25">
      <c r="A72" t="str">
        <f t="shared" si="11"/>
        <v/>
      </c>
      <c r="B72" s="16"/>
      <c r="D72" t="str">
        <f>IF($C72="","",IFERROR(INDEX('Asset Register'!$B:$B,MATCH($C72,'Asset Register'!$A:$A,0)),""))</f>
        <v/>
      </c>
      <c r="E72" t="str">
        <f>IF($C72="","",IFERROR(INDEX('Asset Register'!$C:$C,MATCH($C72,'Asset Register'!$A:$A,0)),""))</f>
        <v/>
      </c>
      <c r="F72" t="str">
        <f>IF($C72="","",IFERROR(INDEX('Asset Register'!$D:$D,MATCH($C72,'Asset Register'!$A:$A,0)),""))</f>
        <v/>
      </c>
      <c r="J72" s="17" t="str">
        <f t="shared" si="9"/>
        <v/>
      </c>
      <c r="K72" s="17" t="str">
        <f t="shared" si="10"/>
        <v/>
      </c>
      <c r="L72" s="17" t="str">
        <f t="shared" si="12"/>
        <v/>
      </c>
      <c r="O72" t="str">
        <f>IF($C72="","",IFERROR(INDEX('Asset Register'!$G:$G,MATCH($C72,'Asset Register'!$A:$A,0)),""))</f>
        <v/>
      </c>
      <c r="Q72" t="str">
        <f t="shared" si="13"/>
        <v/>
      </c>
      <c r="R72" t="str">
        <f t="shared" si="14"/>
        <v/>
      </c>
      <c r="S72" s="17" t="str">
        <f t="shared" si="15"/>
        <v/>
      </c>
      <c r="T72" s="18" t="str">
        <f>IF($C72="","",IFERROR(INDEX('Asset Register'!$H:$H,MATCH($C72,'Asset Register'!$A:$A,0)),""))</f>
        <v/>
      </c>
      <c r="U72" s="18" t="str">
        <f t="shared" si="16"/>
        <v/>
      </c>
      <c r="V72" s="17" t="str">
        <f t="shared" si="17"/>
        <v/>
      </c>
    </row>
    <row r="73" spans="1:22" x14ac:dyDescent="0.25">
      <c r="A73" t="str">
        <f t="shared" si="11"/>
        <v/>
      </c>
      <c r="B73" s="16"/>
      <c r="D73" t="str">
        <f>IF($C73="","",IFERROR(INDEX('Asset Register'!$B:$B,MATCH($C73,'Asset Register'!$A:$A,0)),""))</f>
        <v/>
      </c>
      <c r="E73" t="str">
        <f>IF($C73="","",IFERROR(INDEX('Asset Register'!$C:$C,MATCH($C73,'Asset Register'!$A:$A,0)),""))</f>
        <v/>
      </c>
      <c r="F73" t="str">
        <f>IF($C73="","",IFERROR(INDEX('Asset Register'!$D:$D,MATCH($C73,'Asset Register'!$A:$A,0)),""))</f>
        <v/>
      </c>
      <c r="J73" s="17" t="str">
        <f t="shared" si="9"/>
        <v/>
      </c>
      <c r="K73" s="17" t="str">
        <f t="shared" si="10"/>
        <v/>
      </c>
      <c r="L73" s="17" t="str">
        <f t="shared" si="12"/>
        <v/>
      </c>
      <c r="O73" t="str">
        <f>IF($C73="","",IFERROR(INDEX('Asset Register'!$G:$G,MATCH($C73,'Asset Register'!$A:$A,0)),""))</f>
        <v/>
      </c>
      <c r="Q73" t="str">
        <f t="shared" si="13"/>
        <v/>
      </c>
      <c r="R73" t="str">
        <f t="shared" si="14"/>
        <v/>
      </c>
      <c r="S73" s="17" t="str">
        <f t="shared" si="15"/>
        <v/>
      </c>
      <c r="T73" s="18" t="str">
        <f>IF($C73="","",IFERROR(INDEX('Asset Register'!$H:$H,MATCH($C73,'Asset Register'!$A:$A,0)),""))</f>
        <v/>
      </c>
      <c r="U73" s="18" t="str">
        <f t="shared" si="16"/>
        <v/>
      </c>
      <c r="V73" s="17" t="str">
        <f t="shared" si="17"/>
        <v/>
      </c>
    </row>
    <row r="74" spans="1:22" x14ac:dyDescent="0.25">
      <c r="A74" t="str">
        <f t="shared" si="11"/>
        <v/>
      </c>
      <c r="B74" s="16"/>
      <c r="D74" t="str">
        <f>IF($C74="","",IFERROR(INDEX('Asset Register'!$B:$B,MATCH($C74,'Asset Register'!$A:$A,0)),""))</f>
        <v/>
      </c>
      <c r="E74" t="str">
        <f>IF($C74="","",IFERROR(INDEX('Asset Register'!$C:$C,MATCH($C74,'Asset Register'!$A:$A,0)),""))</f>
        <v/>
      </c>
      <c r="F74" t="str">
        <f>IF($C74="","",IFERROR(INDEX('Asset Register'!$D:$D,MATCH($C74,'Asset Register'!$A:$A,0)),""))</f>
        <v/>
      </c>
      <c r="J74" s="17" t="str">
        <f t="shared" si="9"/>
        <v/>
      </c>
      <c r="K74" s="17" t="str">
        <f t="shared" si="10"/>
        <v/>
      </c>
      <c r="L74" s="17" t="str">
        <f t="shared" si="12"/>
        <v/>
      </c>
      <c r="O74" t="str">
        <f>IF($C74="","",IFERROR(INDEX('Asset Register'!$G:$G,MATCH($C74,'Asset Register'!$A:$A,0)),""))</f>
        <v/>
      </c>
      <c r="Q74" t="str">
        <f t="shared" si="13"/>
        <v/>
      </c>
      <c r="R74" t="str">
        <f t="shared" si="14"/>
        <v/>
      </c>
      <c r="S74" s="17" t="str">
        <f t="shared" si="15"/>
        <v/>
      </c>
      <c r="T74" s="18" t="str">
        <f>IF($C74="","",IFERROR(INDEX('Asset Register'!$H:$H,MATCH($C74,'Asset Register'!$A:$A,0)),""))</f>
        <v/>
      </c>
      <c r="U74" s="18" t="str">
        <f t="shared" si="16"/>
        <v/>
      </c>
      <c r="V74" s="17" t="str">
        <f t="shared" si="17"/>
        <v/>
      </c>
    </row>
    <row r="75" spans="1:22" x14ac:dyDescent="0.25">
      <c r="A75" t="str">
        <f t="shared" si="11"/>
        <v/>
      </c>
      <c r="B75" s="16"/>
      <c r="D75" t="str">
        <f>IF($C75="","",IFERROR(INDEX('Asset Register'!$B:$B,MATCH($C75,'Asset Register'!$A:$A,0)),""))</f>
        <v/>
      </c>
      <c r="E75" t="str">
        <f>IF($C75="","",IFERROR(INDEX('Asset Register'!$C:$C,MATCH($C75,'Asset Register'!$A:$A,0)),""))</f>
        <v/>
      </c>
      <c r="F75" t="str">
        <f>IF($C75="","",IFERROR(INDEX('Asset Register'!$D:$D,MATCH($C75,'Asset Register'!$A:$A,0)),""))</f>
        <v/>
      </c>
      <c r="J75" s="17" t="str">
        <f t="shared" si="9"/>
        <v/>
      </c>
      <c r="K75" s="17" t="str">
        <f t="shared" si="10"/>
        <v/>
      </c>
      <c r="L75" s="17" t="str">
        <f t="shared" si="12"/>
        <v/>
      </c>
      <c r="O75" t="str">
        <f>IF($C75="","",IFERROR(INDEX('Asset Register'!$G:$G,MATCH($C75,'Asset Register'!$A:$A,0)),""))</f>
        <v/>
      </c>
      <c r="Q75" t="str">
        <f t="shared" si="13"/>
        <v/>
      </c>
      <c r="R75" t="str">
        <f t="shared" si="14"/>
        <v/>
      </c>
      <c r="S75" s="17" t="str">
        <f t="shared" si="15"/>
        <v/>
      </c>
      <c r="T75" s="18" t="str">
        <f>IF($C75="","",IFERROR(INDEX('Asset Register'!$H:$H,MATCH($C75,'Asset Register'!$A:$A,0)),""))</f>
        <v/>
      </c>
      <c r="U75" s="18" t="str">
        <f t="shared" si="16"/>
        <v/>
      </c>
      <c r="V75" s="17" t="str">
        <f t="shared" si="17"/>
        <v/>
      </c>
    </row>
    <row r="76" spans="1:22" x14ac:dyDescent="0.25">
      <c r="A76" t="str">
        <f t="shared" si="11"/>
        <v/>
      </c>
      <c r="B76" s="16"/>
      <c r="D76" t="str">
        <f>IF($C76="","",IFERROR(INDEX('Asset Register'!$B:$B,MATCH($C76,'Asset Register'!$A:$A,0)),""))</f>
        <v/>
      </c>
      <c r="E76" t="str">
        <f>IF($C76="","",IFERROR(INDEX('Asset Register'!$C:$C,MATCH($C76,'Asset Register'!$A:$A,0)),""))</f>
        <v/>
      </c>
      <c r="F76" t="str">
        <f>IF($C76="","",IFERROR(INDEX('Asset Register'!$D:$D,MATCH($C76,'Asset Register'!$A:$A,0)),""))</f>
        <v/>
      </c>
      <c r="J76" s="17" t="str">
        <f t="shared" si="9"/>
        <v/>
      </c>
      <c r="K76" s="17" t="str">
        <f t="shared" si="10"/>
        <v/>
      </c>
      <c r="L76" s="17" t="str">
        <f t="shared" si="12"/>
        <v/>
      </c>
      <c r="O76" t="str">
        <f>IF($C76="","",IFERROR(INDEX('Asset Register'!$G:$G,MATCH($C76,'Asset Register'!$A:$A,0)),""))</f>
        <v/>
      </c>
      <c r="Q76" t="str">
        <f t="shared" si="13"/>
        <v/>
      </c>
      <c r="R76" t="str">
        <f t="shared" si="14"/>
        <v/>
      </c>
      <c r="S76" s="17" t="str">
        <f t="shared" si="15"/>
        <v/>
      </c>
      <c r="T76" s="18" t="str">
        <f>IF($C76="","",IFERROR(INDEX('Asset Register'!$H:$H,MATCH($C76,'Asset Register'!$A:$A,0)),""))</f>
        <v/>
      </c>
      <c r="U76" s="18" t="str">
        <f t="shared" si="16"/>
        <v/>
      </c>
      <c r="V76" s="17" t="str">
        <f t="shared" si="17"/>
        <v/>
      </c>
    </row>
    <row r="77" spans="1:22" x14ac:dyDescent="0.25">
      <c r="A77" t="str">
        <f t="shared" si="11"/>
        <v/>
      </c>
      <c r="B77" s="16"/>
      <c r="D77" t="str">
        <f>IF($C77="","",IFERROR(INDEX('Asset Register'!$B:$B,MATCH($C77,'Asset Register'!$A:$A,0)),""))</f>
        <v/>
      </c>
      <c r="E77" t="str">
        <f>IF($C77="","",IFERROR(INDEX('Asset Register'!$C:$C,MATCH($C77,'Asset Register'!$A:$A,0)),""))</f>
        <v/>
      </c>
      <c r="F77" t="str">
        <f>IF($C77="","",IFERROR(INDEX('Asset Register'!$D:$D,MATCH($C77,'Asset Register'!$A:$A,0)),""))</f>
        <v/>
      </c>
      <c r="J77" s="17" t="str">
        <f t="shared" si="9"/>
        <v/>
      </c>
      <c r="K77" s="17" t="str">
        <f t="shared" si="10"/>
        <v/>
      </c>
      <c r="L77" s="17" t="str">
        <f t="shared" si="12"/>
        <v/>
      </c>
      <c r="O77" t="str">
        <f>IF($C77="","",IFERROR(INDEX('Asset Register'!$G:$G,MATCH($C77,'Asset Register'!$A:$A,0)),""))</f>
        <v/>
      </c>
      <c r="Q77" t="str">
        <f t="shared" si="13"/>
        <v/>
      </c>
      <c r="R77" t="str">
        <f t="shared" si="14"/>
        <v/>
      </c>
      <c r="S77" s="17" t="str">
        <f t="shared" si="15"/>
        <v/>
      </c>
      <c r="T77" s="18" t="str">
        <f>IF($C77="","",IFERROR(INDEX('Asset Register'!$H:$H,MATCH($C77,'Asset Register'!$A:$A,0)),""))</f>
        <v/>
      </c>
      <c r="U77" s="18" t="str">
        <f t="shared" si="16"/>
        <v/>
      </c>
      <c r="V77" s="17" t="str">
        <f t="shared" si="17"/>
        <v/>
      </c>
    </row>
    <row r="78" spans="1:22" x14ac:dyDescent="0.25">
      <c r="A78" t="str">
        <f t="shared" si="11"/>
        <v/>
      </c>
      <c r="B78" s="16"/>
      <c r="D78" t="str">
        <f>IF($C78="","",IFERROR(INDEX('Asset Register'!$B:$B,MATCH($C78,'Asset Register'!$A:$A,0)),""))</f>
        <v/>
      </c>
      <c r="E78" t="str">
        <f>IF($C78="","",IFERROR(INDEX('Asset Register'!$C:$C,MATCH($C78,'Asset Register'!$A:$A,0)),""))</f>
        <v/>
      </c>
      <c r="F78" t="str">
        <f>IF($C78="","",IFERROR(INDEX('Asset Register'!$D:$D,MATCH($C78,'Asset Register'!$A:$A,0)),""))</f>
        <v/>
      </c>
      <c r="J78" s="17" t="str">
        <f t="shared" si="9"/>
        <v/>
      </c>
      <c r="K78" s="17" t="str">
        <f t="shared" si="10"/>
        <v/>
      </c>
      <c r="L78" s="17" t="str">
        <f t="shared" si="12"/>
        <v/>
      </c>
      <c r="O78" t="str">
        <f>IF($C78="","",IFERROR(INDEX('Asset Register'!$G:$G,MATCH($C78,'Asset Register'!$A:$A,0)),""))</f>
        <v/>
      </c>
      <c r="Q78" t="str">
        <f t="shared" si="13"/>
        <v/>
      </c>
      <c r="R78" t="str">
        <f t="shared" si="14"/>
        <v/>
      </c>
      <c r="S78" s="17" t="str">
        <f t="shared" si="15"/>
        <v/>
      </c>
      <c r="T78" s="18" t="str">
        <f>IF($C78="","",IFERROR(INDEX('Asset Register'!$H:$H,MATCH($C78,'Asset Register'!$A:$A,0)),""))</f>
        <v/>
      </c>
      <c r="U78" s="18" t="str">
        <f t="shared" si="16"/>
        <v/>
      </c>
      <c r="V78" s="17" t="str">
        <f t="shared" si="17"/>
        <v/>
      </c>
    </row>
    <row r="79" spans="1:22" x14ac:dyDescent="0.25">
      <c r="A79" t="str">
        <f t="shared" si="11"/>
        <v/>
      </c>
      <c r="B79" s="16"/>
      <c r="D79" t="str">
        <f>IF($C79="","",IFERROR(INDEX('Asset Register'!$B:$B,MATCH($C79,'Asset Register'!$A:$A,0)),""))</f>
        <v/>
      </c>
      <c r="E79" t="str">
        <f>IF($C79="","",IFERROR(INDEX('Asset Register'!$C:$C,MATCH($C79,'Asset Register'!$A:$A,0)),""))</f>
        <v/>
      </c>
      <c r="F79" t="str">
        <f>IF($C79="","",IFERROR(INDEX('Asset Register'!$D:$D,MATCH($C79,'Asset Register'!$A:$A,0)),""))</f>
        <v/>
      </c>
      <c r="J79" s="17" t="str">
        <f t="shared" si="9"/>
        <v/>
      </c>
      <c r="K79" s="17" t="str">
        <f t="shared" si="10"/>
        <v/>
      </c>
      <c r="L79" s="17" t="str">
        <f t="shared" si="12"/>
        <v/>
      </c>
      <c r="O79" t="str">
        <f>IF($C79="","",IFERROR(INDEX('Asset Register'!$G:$G,MATCH($C79,'Asset Register'!$A:$A,0)),""))</f>
        <v/>
      </c>
      <c r="Q79" t="str">
        <f t="shared" si="13"/>
        <v/>
      </c>
      <c r="R79" t="str">
        <f t="shared" si="14"/>
        <v/>
      </c>
      <c r="S79" s="17" t="str">
        <f t="shared" si="15"/>
        <v/>
      </c>
      <c r="T79" s="18" t="str">
        <f>IF($C79="","",IFERROR(INDEX('Asset Register'!$H:$H,MATCH($C79,'Asset Register'!$A:$A,0)),""))</f>
        <v/>
      </c>
      <c r="U79" s="18" t="str">
        <f t="shared" si="16"/>
        <v/>
      </c>
      <c r="V79" s="17" t="str">
        <f t="shared" si="17"/>
        <v/>
      </c>
    </row>
    <row r="80" spans="1:22" x14ac:dyDescent="0.25">
      <c r="A80" t="str">
        <f t="shared" si="11"/>
        <v/>
      </c>
      <c r="B80" s="16"/>
      <c r="D80" t="str">
        <f>IF($C80="","",IFERROR(INDEX('Asset Register'!$B:$B,MATCH($C80,'Asset Register'!$A:$A,0)),""))</f>
        <v/>
      </c>
      <c r="E80" t="str">
        <f>IF($C80="","",IFERROR(INDEX('Asset Register'!$C:$C,MATCH($C80,'Asset Register'!$A:$A,0)),""))</f>
        <v/>
      </c>
      <c r="F80" t="str">
        <f>IF($C80="","",IFERROR(INDEX('Asset Register'!$D:$D,MATCH($C80,'Asset Register'!$A:$A,0)),""))</f>
        <v/>
      </c>
      <c r="J80" s="17" t="str">
        <f t="shared" si="9"/>
        <v/>
      </c>
      <c r="K80" s="17" t="str">
        <f t="shared" si="10"/>
        <v/>
      </c>
      <c r="L80" s="17" t="str">
        <f t="shared" si="12"/>
        <v/>
      </c>
      <c r="O80" t="str">
        <f>IF($C80="","",IFERROR(INDEX('Asset Register'!$G:$G,MATCH($C80,'Asset Register'!$A:$A,0)),""))</f>
        <v/>
      </c>
      <c r="Q80" t="str">
        <f t="shared" si="13"/>
        <v/>
      </c>
      <c r="R80" t="str">
        <f t="shared" si="14"/>
        <v/>
      </c>
      <c r="S80" s="17" t="str">
        <f t="shared" si="15"/>
        <v/>
      </c>
      <c r="T80" s="18" t="str">
        <f>IF($C80="","",IFERROR(INDEX('Asset Register'!$H:$H,MATCH($C80,'Asset Register'!$A:$A,0)),""))</f>
        <v/>
      </c>
      <c r="U80" s="18" t="str">
        <f t="shared" si="16"/>
        <v/>
      </c>
      <c r="V80" s="17" t="str">
        <f t="shared" si="17"/>
        <v/>
      </c>
    </row>
    <row r="81" spans="1:22" x14ac:dyDescent="0.25">
      <c r="A81" t="str">
        <f t="shared" si="11"/>
        <v/>
      </c>
      <c r="B81" s="16"/>
      <c r="D81" t="str">
        <f>IF($C81="","",IFERROR(INDEX('Asset Register'!$B:$B,MATCH($C81,'Asset Register'!$A:$A,0)),""))</f>
        <v/>
      </c>
      <c r="E81" t="str">
        <f>IF($C81="","",IFERROR(INDEX('Asset Register'!$C:$C,MATCH($C81,'Asset Register'!$A:$A,0)),""))</f>
        <v/>
      </c>
      <c r="F81" t="str">
        <f>IF($C81="","",IFERROR(INDEX('Asset Register'!$D:$D,MATCH($C81,'Asset Register'!$A:$A,0)),""))</f>
        <v/>
      </c>
      <c r="J81" s="17" t="str">
        <f t="shared" ref="J81:J144" si="18">IF(OR($G81="",$G81+$I81=0),"",$G81/($G81+$I81))</f>
        <v/>
      </c>
      <c r="K81" s="17" t="str">
        <f t="shared" ref="K81:K144" si="19">IF(OR($G81="",$G81+$H81+$I81=0),"",$G81/($G81+$H81+$I81))</f>
        <v/>
      </c>
      <c r="L81" s="17" t="str">
        <f t="shared" si="12"/>
        <v/>
      </c>
      <c r="O81" t="str">
        <f>IF($C81="","",IFERROR(INDEX('Asset Register'!$G:$G,MATCH($C81,'Asset Register'!$A:$A,0)),""))</f>
        <v/>
      </c>
      <c r="Q81" t="str">
        <f t="shared" si="13"/>
        <v/>
      </c>
      <c r="R81" t="str">
        <f t="shared" si="14"/>
        <v/>
      </c>
      <c r="S81" s="17" t="str">
        <f t="shared" si="15"/>
        <v/>
      </c>
      <c r="T81" s="18" t="str">
        <f>IF($C81="","",IFERROR(INDEX('Asset Register'!$H:$H,MATCH($C81,'Asset Register'!$A:$A,0)),""))</f>
        <v/>
      </c>
      <c r="U81" s="18" t="str">
        <f t="shared" si="16"/>
        <v/>
      </c>
      <c r="V81" s="17" t="str">
        <f t="shared" si="17"/>
        <v/>
      </c>
    </row>
    <row r="82" spans="1:22" x14ac:dyDescent="0.25">
      <c r="A82" t="str">
        <f t="shared" si="11"/>
        <v/>
      </c>
      <c r="B82" s="16"/>
      <c r="D82" t="str">
        <f>IF($C82="","",IFERROR(INDEX('Asset Register'!$B:$B,MATCH($C82,'Asset Register'!$A:$A,0)),""))</f>
        <v/>
      </c>
      <c r="E82" t="str">
        <f>IF($C82="","",IFERROR(INDEX('Asset Register'!$C:$C,MATCH($C82,'Asset Register'!$A:$A,0)),""))</f>
        <v/>
      </c>
      <c r="F82" t="str">
        <f>IF($C82="","",IFERROR(INDEX('Asset Register'!$D:$D,MATCH($C82,'Asset Register'!$A:$A,0)),""))</f>
        <v/>
      </c>
      <c r="J82" s="17" t="str">
        <f t="shared" si="18"/>
        <v/>
      </c>
      <c r="K82" s="17" t="str">
        <f t="shared" si="19"/>
        <v/>
      </c>
      <c r="L82" s="17" t="str">
        <f t="shared" si="12"/>
        <v/>
      </c>
      <c r="O82" t="str">
        <f>IF($C82="","",IFERROR(INDEX('Asset Register'!$G:$G,MATCH($C82,'Asset Register'!$A:$A,0)),""))</f>
        <v/>
      </c>
      <c r="Q82" t="str">
        <f t="shared" si="13"/>
        <v/>
      </c>
      <c r="R82" t="str">
        <f t="shared" si="14"/>
        <v/>
      </c>
      <c r="S82" s="17" t="str">
        <f t="shared" si="15"/>
        <v/>
      </c>
      <c r="T82" s="18" t="str">
        <f>IF($C82="","",IFERROR(INDEX('Asset Register'!$H:$H,MATCH($C82,'Asset Register'!$A:$A,0)),""))</f>
        <v/>
      </c>
      <c r="U82" s="18" t="str">
        <f t="shared" si="16"/>
        <v/>
      </c>
      <c r="V82" s="17" t="str">
        <f t="shared" si="17"/>
        <v/>
      </c>
    </row>
    <row r="83" spans="1:22" x14ac:dyDescent="0.25">
      <c r="A83" t="str">
        <f t="shared" si="11"/>
        <v/>
      </c>
      <c r="B83" s="16"/>
      <c r="D83" t="str">
        <f>IF($C83="","",IFERROR(INDEX('Asset Register'!$B:$B,MATCH($C83,'Asset Register'!$A:$A,0)),""))</f>
        <v/>
      </c>
      <c r="E83" t="str">
        <f>IF($C83="","",IFERROR(INDEX('Asset Register'!$C:$C,MATCH($C83,'Asset Register'!$A:$A,0)),""))</f>
        <v/>
      </c>
      <c r="F83" t="str">
        <f>IF($C83="","",IFERROR(INDEX('Asset Register'!$D:$D,MATCH($C83,'Asset Register'!$A:$A,0)),""))</f>
        <v/>
      </c>
      <c r="J83" s="17" t="str">
        <f t="shared" si="18"/>
        <v/>
      </c>
      <c r="K83" s="17" t="str">
        <f t="shared" si="19"/>
        <v/>
      </c>
      <c r="L83" s="17" t="str">
        <f t="shared" si="12"/>
        <v/>
      </c>
      <c r="O83" t="str">
        <f>IF($C83="","",IFERROR(INDEX('Asset Register'!$G:$G,MATCH($C83,'Asset Register'!$A:$A,0)),""))</f>
        <v/>
      </c>
      <c r="Q83" t="str">
        <f t="shared" si="13"/>
        <v/>
      </c>
      <c r="R83" t="str">
        <f t="shared" si="14"/>
        <v/>
      </c>
      <c r="S83" s="17" t="str">
        <f t="shared" si="15"/>
        <v/>
      </c>
      <c r="T83" s="18" t="str">
        <f>IF($C83="","",IFERROR(INDEX('Asset Register'!$H:$H,MATCH($C83,'Asset Register'!$A:$A,0)),""))</f>
        <v/>
      </c>
      <c r="U83" s="18" t="str">
        <f t="shared" si="16"/>
        <v/>
      </c>
      <c r="V83" s="17" t="str">
        <f t="shared" si="17"/>
        <v/>
      </c>
    </row>
    <row r="84" spans="1:22" x14ac:dyDescent="0.25">
      <c r="A84" t="str">
        <f t="shared" si="11"/>
        <v/>
      </c>
      <c r="B84" s="16"/>
      <c r="D84" t="str">
        <f>IF($C84="","",IFERROR(INDEX('Asset Register'!$B:$B,MATCH($C84,'Asset Register'!$A:$A,0)),""))</f>
        <v/>
      </c>
      <c r="E84" t="str">
        <f>IF($C84="","",IFERROR(INDEX('Asset Register'!$C:$C,MATCH($C84,'Asset Register'!$A:$A,0)),""))</f>
        <v/>
      </c>
      <c r="F84" t="str">
        <f>IF($C84="","",IFERROR(INDEX('Asset Register'!$D:$D,MATCH($C84,'Asset Register'!$A:$A,0)),""))</f>
        <v/>
      </c>
      <c r="J84" s="17" t="str">
        <f t="shared" si="18"/>
        <v/>
      </c>
      <c r="K84" s="17" t="str">
        <f t="shared" si="19"/>
        <v/>
      </c>
      <c r="L84" s="17" t="str">
        <f t="shared" si="12"/>
        <v/>
      </c>
      <c r="O84" t="str">
        <f>IF($C84="","",IFERROR(INDEX('Asset Register'!$G:$G,MATCH($C84,'Asset Register'!$A:$A,0)),""))</f>
        <v/>
      </c>
      <c r="Q84" t="str">
        <f t="shared" si="13"/>
        <v/>
      </c>
      <c r="R84" t="str">
        <f t="shared" si="14"/>
        <v/>
      </c>
      <c r="S84" s="17" t="str">
        <f t="shared" si="15"/>
        <v/>
      </c>
      <c r="T84" s="18" t="str">
        <f>IF($C84="","",IFERROR(INDEX('Asset Register'!$H:$H,MATCH($C84,'Asset Register'!$A:$A,0)),""))</f>
        <v/>
      </c>
      <c r="U84" s="18" t="str">
        <f t="shared" si="16"/>
        <v/>
      </c>
      <c r="V84" s="17" t="str">
        <f t="shared" si="17"/>
        <v/>
      </c>
    </row>
    <row r="85" spans="1:22" x14ac:dyDescent="0.25">
      <c r="A85" t="str">
        <f t="shared" si="11"/>
        <v/>
      </c>
      <c r="B85" s="16"/>
      <c r="D85" t="str">
        <f>IF($C85="","",IFERROR(INDEX('Asset Register'!$B:$B,MATCH($C85,'Asset Register'!$A:$A,0)),""))</f>
        <v/>
      </c>
      <c r="E85" t="str">
        <f>IF($C85="","",IFERROR(INDEX('Asset Register'!$C:$C,MATCH($C85,'Asset Register'!$A:$A,0)),""))</f>
        <v/>
      </c>
      <c r="F85" t="str">
        <f>IF($C85="","",IFERROR(INDEX('Asset Register'!$D:$D,MATCH($C85,'Asset Register'!$A:$A,0)),""))</f>
        <v/>
      </c>
      <c r="J85" s="17" t="str">
        <f t="shared" si="18"/>
        <v/>
      </c>
      <c r="K85" s="17" t="str">
        <f t="shared" si="19"/>
        <v/>
      </c>
      <c r="L85" s="17" t="str">
        <f t="shared" si="12"/>
        <v/>
      </c>
      <c r="O85" t="str">
        <f>IF($C85="","",IFERROR(INDEX('Asset Register'!$G:$G,MATCH($C85,'Asset Register'!$A:$A,0)),""))</f>
        <v/>
      </c>
      <c r="Q85" t="str">
        <f t="shared" si="13"/>
        <v/>
      </c>
      <c r="R85" t="str">
        <f t="shared" si="14"/>
        <v/>
      </c>
      <c r="S85" s="17" t="str">
        <f t="shared" si="15"/>
        <v/>
      </c>
      <c r="T85" s="18" t="str">
        <f>IF($C85="","",IFERROR(INDEX('Asset Register'!$H:$H,MATCH($C85,'Asset Register'!$A:$A,0)),""))</f>
        <v/>
      </c>
      <c r="U85" s="18" t="str">
        <f t="shared" si="16"/>
        <v/>
      </c>
      <c r="V85" s="17" t="str">
        <f t="shared" si="17"/>
        <v/>
      </c>
    </row>
    <row r="86" spans="1:22" x14ac:dyDescent="0.25">
      <c r="A86" t="str">
        <f t="shared" si="11"/>
        <v/>
      </c>
      <c r="B86" s="16"/>
      <c r="D86" t="str">
        <f>IF($C86="","",IFERROR(INDEX('Asset Register'!$B:$B,MATCH($C86,'Asset Register'!$A:$A,0)),""))</f>
        <v/>
      </c>
      <c r="E86" t="str">
        <f>IF($C86="","",IFERROR(INDEX('Asset Register'!$C:$C,MATCH($C86,'Asset Register'!$A:$A,0)),""))</f>
        <v/>
      </c>
      <c r="F86" t="str">
        <f>IF($C86="","",IFERROR(INDEX('Asset Register'!$D:$D,MATCH($C86,'Asset Register'!$A:$A,0)),""))</f>
        <v/>
      </c>
      <c r="J86" s="17" t="str">
        <f t="shared" si="18"/>
        <v/>
      </c>
      <c r="K86" s="17" t="str">
        <f t="shared" si="19"/>
        <v/>
      </c>
      <c r="L86" s="17" t="str">
        <f t="shared" si="12"/>
        <v/>
      </c>
      <c r="O86" t="str">
        <f>IF($C86="","",IFERROR(INDEX('Asset Register'!$G:$G,MATCH($C86,'Asset Register'!$A:$A,0)),""))</f>
        <v/>
      </c>
      <c r="Q86" t="str">
        <f t="shared" si="13"/>
        <v/>
      </c>
      <c r="R86" t="str">
        <f t="shared" si="14"/>
        <v/>
      </c>
      <c r="S86" s="17" t="str">
        <f t="shared" si="15"/>
        <v/>
      </c>
      <c r="T86" s="18" t="str">
        <f>IF($C86="","",IFERROR(INDEX('Asset Register'!$H:$H,MATCH($C86,'Asset Register'!$A:$A,0)),""))</f>
        <v/>
      </c>
      <c r="U86" s="18" t="str">
        <f t="shared" si="16"/>
        <v/>
      </c>
      <c r="V86" s="17" t="str">
        <f t="shared" si="17"/>
        <v/>
      </c>
    </row>
    <row r="87" spans="1:22" x14ac:dyDescent="0.25">
      <c r="A87" t="str">
        <f t="shared" si="11"/>
        <v/>
      </c>
      <c r="B87" s="16"/>
      <c r="D87" t="str">
        <f>IF($C87="","",IFERROR(INDEX('Asset Register'!$B:$B,MATCH($C87,'Asset Register'!$A:$A,0)),""))</f>
        <v/>
      </c>
      <c r="E87" t="str">
        <f>IF($C87="","",IFERROR(INDEX('Asset Register'!$C:$C,MATCH($C87,'Asset Register'!$A:$A,0)),""))</f>
        <v/>
      </c>
      <c r="F87" t="str">
        <f>IF($C87="","",IFERROR(INDEX('Asset Register'!$D:$D,MATCH($C87,'Asset Register'!$A:$A,0)),""))</f>
        <v/>
      </c>
      <c r="J87" s="17" t="str">
        <f t="shared" si="18"/>
        <v/>
      </c>
      <c r="K87" s="17" t="str">
        <f t="shared" si="19"/>
        <v/>
      </c>
      <c r="L87" s="17" t="str">
        <f t="shared" si="12"/>
        <v/>
      </c>
      <c r="O87" t="str">
        <f>IF($C87="","",IFERROR(INDEX('Asset Register'!$G:$G,MATCH($C87,'Asset Register'!$A:$A,0)),""))</f>
        <v/>
      </c>
      <c r="Q87" t="str">
        <f t="shared" si="13"/>
        <v/>
      </c>
      <c r="R87" t="str">
        <f t="shared" si="14"/>
        <v/>
      </c>
      <c r="S87" s="17" t="str">
        <f t="shared" si="15"/>
        <v/>
      </c>
      <c r="T87" s="18" t="str">
        <f>IF($C87="","",IFERROR(INDEX('Asset Register'!$H:$H,MATCH($C87,'Asset Register'!$A:$A,0)),""))</f>
        <v/>
      </c>
      <c r="U87" s="18" t="str">
        <f t="shared" si="16"/>
        <v/>
      </c>
      <c r="V87" s="17" t="str">
        <f t="shared" si="17"/>
        <v/>
      </c>
    </row>
    <row r="88" spans="1:22" x14ac:dyDescent="0.25">
      <c r="A88" t="str">
        <f t="shared" si="11"/>
        <v/>
      </c>
      <c r="B88" s="16"/>
      <c r="D88" t="str">
        <f>IF($C88="","",IFERROR(INDEX('Asset Register'!$B:$B,MATCH($C88,'Asset Register'!$A:$A,0)),""))</f>
        <v/>
      </c>
      <c r="E88" t="str">
        <f>IF($C88="","",IFERROR(INDEX('Asset Register'!$C:$C,MATCH($C88,'Asset Register'!$A:$A,0)),""))</f>
        <v/>
      </c>
      <c r="F88" t="str">
        <f>IF($C88="","",IFERROR(INDEX('Asset Register'!$D:$D,MATCH($C88,'Asset Register'!$A:$A,0)),""))</f>
        <v/>
      </c>
      <c r="J88" s="17" t="str">
        <f t="shared" si="18"/>
        <v/>
      </c>
      <c r="K88" s="17" t="str">
        <f t="shared" si="19"/>
        <v/>
      </c>
      <c r="L88" s="17" t="str">
        <f t="shared" si="12"/>
        <v/>
      </c>
      <c r="O88" t="str">
        <f>IF($C88="","",IFERROR(INDEX('Asset Register'!$G:$G,MATCH($C88,'Asset Register'!$A:$A,0)),""))</f>
        <v/>
      </c>
      <c r="Q88" t="str">
        <f t="shared" si="13"/>
        <v/>
      </c>
      <c r="R88" t="str">
        <f t="shared" si="14"/>
        <v/>
      </c>
      <c r="S88" s="17" t="str">
        <f t="shared" si="15"/>
        <v/>
      </c>
      <c r="T88" s="18" t="str">
        <f>IF($C88="","",IFERROR(INDEX('Asset Register'!$H:$H,MATCH($C88,'Asset Register'!$A:$A,0)),""))</f>
        <v/>
      </c>
      <c r="U88" s="18" t="str">
        <f t="shared" si="16"/>
        <v/>
      </c>
      <c r="V88" s="17" t="str">
        <f t="shared" si="17"/>
        <v/>
      </c>
    </row>
    <row r="89" spans="1:22" x14ac:dyDescent="0.25">
      <c r="A89" t="str">
        <f t="shared" si="11"/>
        <v/>
      </c>
      <c r="B89" s="16"/>
      <c r="D89" t="str">
        <f>IF($C89="","",IFERROR(INDEX('Asset Register'!$B:$B,MATCH($C89,'Asset Register'!$A:$A,0)),""))</f>
        <v/>
      </c>
      <c r="E89" t="str">
        <f>IF($C89="","",IFERROR(INDEX('Asset Register'!$C:$C,MATCH($C89,'Asset Register'!$A:$A,0)),""))</f>
        <v/>
      </c>
      <c r="F89" t="str">
        <f>IF($C89="","",IFERROR(INDEX('Asset Register'!$D:$D,MATCH($C89,'Asset Register'!$A:$A,0)),""))</f>
        <v/>
      </c>
      <c r="J89" s="17" t="str">
        <f t="shared" si="18"/>
        <v/>
      </c>
      <c r="K89" s="17" t="str">
        <f t="shared" si="19"/>
        <v/>
      </c>
      <c r="L89" s="17" t="str">
        <f t="shared" si="12"/>
        <v/>
      </c>
      <c r="O89" t="str">
        <f>IF($C89="","",IFERROR(INDEX('Asset Register'!$G:$G,MATCH($C89,'Asset Register'!$A:$A,0)),""))</f>
        <v/>
      </c>
      <c r="Q89" t="str">
        <f t="shared" si="13"/>
        <v/>
      </c>
      <c r="R89" t="str">
        <f t="shared" si="14"/>
        <v/>
      </c>
      <c r="S89" s="17" t="str">
        <f t="shared" si="15"/>
        <v/>
      </c>
      <c r="T89" s="18" t="str">
        <f>IF($C89="","",IFERROR(INDEX('Asset Register'!$H:$H,MATCH($C89,'Asset Register'!$A:$A,0)),""))</f>
        <v/>
      </c>
      <c r="U89" s="18" t="str">
        <f t="shared" si="16"/>
        <v/>
      </c>
      <c r="V89" s="17" t="str">
        <f t="shared" si="17"/>
        <v/>
      </c>
    </row>
    <row r="90" spans="1:22" x14ac:dyDescent="0.25">
      <c r="A90" t="str">
        <f t="shared" si="11"/>
        <v/>
      </c>
      <c r="B90" s="16"/>
      <c r="D90" t="str">
        <f>IF($C90="","",IFERROR(INDEX('Asset Register'!$B:$B,MATCH($C90,'Asset Register'!$A:$A,0)),""))</f>
        <v/>
      </c>
      <c r="E90" t="str">
        <f>IF($C90="","",IFERROR(INDEX('Asset Register'!$C:$C,MATCH($C90,'Asset Register'!$A:$A,0)),""))</f>
        <v/>
      </c>
      <c r="F90" t="str">
        <f>IF($C90="","",IFERROR(INDEX('Asset Register'!$D:$D,MATCH($C90,'Asset Register'!$A:$A,0)),""))</f>
        <v/>
      </c>
      <c r="J90" s="17" t="str">
        <f t="shared" si="18"/>
        <v/>
      </c>
      <c r="K90" s="17" t="str">
        <f t="shared" si="19"/>
        <v/>
      </c>
      <c r="L90" s="17" t="str">
        <f t="shared" si="12"/>
        <v/>
      </c>
      <c r="O90" t="str">
        <f>IF($C90="","",IFERROR(INDEX('Asset Register'!$G:$G,MATCH($C90,'Asset Register'!$A:$A,0)),""))</f>
        <v/>
      </c>
      <c r="Q90" t="str">
        <f t="shared" si="13"/>
        <v/>
      </c>
      <c r="R90" t="str">
        <f t="shared" si="14"/>
        <v/>
      </c>
      <c r="S90" s="17" t="str">
        <f t="shared" si="15"/>
        <v/>
      </c>
      <c r="T90" s="18" t="str">
        <f>IF($C90="","",IFERROR(INDEX('Asset Register'!$H:$H,MATCH($C90,'Asset Register'!$A:$A,0)),""))</f>
        <v/>
      </c>
      <c r="U90" s="18" t="str">
        <f t="shared" si="16"/>
        <v/>
      </c>
      <c r="V90" s="17" t="str">
        <f t="shared" si="17"/>
        <v/>
      </c>
    </row>
    <row r="91" spans="1:22" x14ac:dyDescent="0.25">
      <c r="A91" t="str">
        <f t="shared" si="11"/>
        <v/>
      </c>
      <c r="B91" s="16"/>
      <c r="D91" t="str">
        <f>IF($C91="","",IFERROR(INDEX('Asset Register'!$B:$B,MATCH($C91,'Asset Register'!$A:$A,0)),""))</f>
        <v/>
      </c>
      <c r="E91" t="str">
        <f>IF($C91="","",IFERROR(INDEX('Asset Register'!$C:$C,MATCH($C91,'Asset Register'!$A:$A,0)),""))</f>
        <v/>
      </c>
      <c r="F91" t="str">
        <f>IF($C91="","",IFERROR(INDEX('Asset Register'!$D:$D,MATCH($C91,'Asset Register'!$A:$A,0)),""))</f>
        <v/>
      </c>
      <c r="J91" s="17" t="str">
        <f t="shared" si="18"/>
        <v/>
      </c>
      <c r="K91" s="17" t="str">
        <f t="shared" si="19"/>
        <v/>
      </c>
      <c r="L91" s="17" t="str">
        <f t="shared" si="12"/>
        <v/>
      </c>
      <c r="O91" t="str">
        <f>IF($C91="","",IFERROR(INDEX('Asset Register'!$G:$G,MATCH($C91,'Asset Register'!$A:$A,0)),""))</f>
        <v/>
      </c>
      <c r="Q91" t="str">
        <f t="shared" si="13"/>
        <v/>
      </c>
      <c r="R91" t="str">
        <f t="shared" si="14"/>
        <v/>
      </c>
      <c r="S91" s="17" t="str">
        <f t="shared" si="15"/>
        <v/>
      </c>
      <c r="T91" s="18" t="str">
        <f>IF($C91="","",IFERROR(INDEX('Asset Register'!$H:$H,MATCH($C91,'Asset Register'!$A:$A,0)),""))</f>
        <v/>
      </c>
      <c r="U91" s="18" t="str">
        <f t="shared" si="16"/>
        <v/>
      </c>
      <c r="V91" s="17" t="str">
        <f t="shared" si="17"/>
        <v/>
      </c>
    </row>
    <row r="92" spans="1:22" x14ac:dyDescent="0.25">
      <c r="A92" t="str">
        <f t="shared" si="11"/>
        <v/>
      </c>
      <c r="B92" s="16"/>
      <c r="D92" t="str">
        <f>IF($C92="","",IFERROR(INDEX('Asset Register'!$B:$B,MATCH($C92,'Asset Register'!$A:$A,0)),""))</f>
        <v/>
      </c>
      <c r="E92" t="str">
        <f>IF($C92="","",IFERROR(INDEX('Asset Register'!$C:$C,MATCH($C92,'Asset Register'!$A:$A,0)),""))</f>
        <v/>
      </c>
      <c r="F92" t="str">
        <f>IF($C92="","",IFERROR(INDEX('Asset Register'!$D:$D,MATCH($C92,'Asset Register'!$A:$A,0)),""))</f>
        <v/>
      </c>
      <c r="J92" s="17" t="str">
        <f t="shared" si="18"/>
        <v/>
      </c>
      <c r="K92" s="17" t="str">
        <f t="shared" si="19"/>
        <v/>
      </c>
      <c r="L92" s="17" t="str">
        <f t="shared" si="12"/>
        <v/>
      </c>
      <c r="O92" t="str">
        <f>IF($C92="","",IFERROR(INDEX('Asset Register'!$G:$G,MATCH($C92,'Asset Register'!$A:$A,0)),""))</f>
        <v/>
      </c>
      <c r="Q92" t="str">
        <f t="shared" si="13"/>
        <v/>
      </c>
      <c r="R92" t="str">
        <f t="shared" si="14"/>
        <v/>
      </c>
      <c r="S92" s="17" t="str">
        <f t="shared" si="15"/>
        <v/>
      </c>
      <c r="T92" s="18" t="str">
        <f>IF($C92="","",IFERROR(INDEX('Asset Register'!$H:$H,MATCH($C92,'Asset Register'!$A:$A,0)),""))</f>
        <v/>
      </c>
      <c r="U92" s="18" t="str">
        <f t="shared" si="16"/>
        <v/>
      </c>
      <c r="V92" s="17" t="str">
        <f t="shared" si="17"/>
        <v/>
      </c>
    </row>
    <row r="93" spans="1:22" x14ac:dyDescent="0.25">
      <c r="A93" t="str">
        <f t="shared" si="11"/>
        <v/>
      </c>
      <c r="B93" s="16"/>
      <c r="D93" t="str">
        <f>IF($C93="","",IFERROR(INDEX('Asset Register'!$B:$B,MATCH($C93,'Asset Register'!$A:$A,0)),""))</f>
        <v/>
      </c>
      <c r="E93" t="str">
        <f>IF($C93="","",IFERROR(INDEX('Asset Register'!$C:$C,MATCH($C93,'Asset Register'!$A:$A,0)),""))</f>
        <v/>
      </c>
      <c r="F93" t="str">
        <f>IF($C93="","",IFERROR(INDEX('Asset Register'!$D:$D,MATCH($C93,'Asset Register'!$A:$A,0)),""))</f>
        <v/>
      </c>
      <c r="J93" s="17" t="str">
        <f t="shared" si="18"/>
        <v/>
      </c>
      <c r="K93" s="17" t="str">
        <f t="shared" si="19"/>
        <v/>
      </c>
      <c r="L93" s="17" t="str">
        <f t="shared" si="12"/>
        <v/>
      </c>
      <c r="O93" t="str">
        <f>IF($C93="","",IFERROR(INDEX('Asset Register'!$G:$G,MATCH($C93,'Asset Register'!$A:$A,0)),""))</f>
        <v/>
      </c>
      <c r="Q93" t="str">
        <f t="shared" si="13"/>
        <v/>
      </c>
      <c r="R93" t="str">
        <f t="shared" si="14"/>
        <v/>
      </c>
      <c r="S93" s="17" t="str">
        <f t="shared" si="15"/>
        <v/>
      </c>
      <c r="T93" s="18" t="str">
        <f>IF($C93="","",IFERROR(INDEX('Asset Register'!$H:$H,MATCH($C93,'Asset Register'!$A:$A,0)),""))</f>
        <v/>
      </c>
      <c r="U93" s="18" t="str">
        <f t="shared" si="16"/>
        <v/>
      </c>
      <c r="V93" s="17" t="str">
        <f t="shared" si="17"/>
        <v/>
      </c>
    </row>
    <row r="94" spans="1:22" x14ac:dyDescent="0.25">
      <c r="A94" t="str">
        <f t="shared" si="11"/>
        <v/>
      </c>
      <c r="B94" s="16"/>
      <c r="D94" t="str">
        <f>IF($C94="","",IFERROR(INDEX('Asset Register'!$B:$B,MATCH($C94,'Asset Register'!$A:$A,0)),""))</f>
        <v/>
      </c>
      <c r="E94" t="str">
        <f>IF($C94="","",IFERROR(INDEX('Asset Register'!$C:$C,MATCH($C94,'Asset Register'!$A:$A,0)),""))</f>
        <v/>
      </c>
      <c r="F94" t="str">
        <f>IF($C94="","",IFERROR(INDEX('Asset Register'!$D:$D,MATCH($C94,'Asset Register'!$A:$A,0)),""))</f>
        <v/>
      </c>
      <c r="J94" s="17" t="str">
        <f t="shared" si="18"/>
        <v/>
      </c>
      <c r="K94" s="17" t="str">
        <f t="shared" si="19"/>
        <v/>
      </c>
      <c r="L94" s="17" t="str">
        <f t="shared" si="12"/>
        <v/>
      </c>
      <c r="O94" t="str">
        <f>IF($C94="","",IFERROR(INDEX('Asset Register'!$G:$G,MATCH($C94,'Asset Register'!$A:$A,0)),""))</f>
        <v/>
      </c>
      <c r="Q94" t="str">
        <f t="shared" si="13"/>
        <v/>
      </c>
      <c r="R94" t="str">
        <f t="shared" si="14"/>
        <v/>
      </c>
      <c r="S94" s="17" t="str">
        <f t="shared" si="15"/>
        <v/>
      </c>
      <c r="T94" s="18" t="str">
        <f>IF($C94="","",IFERROR(INDEX('Asset Register'!$H:$H,MATCH($C94,'Asset Register'!$A:$A,0)),""))</f>
        <v/>
      </c>
      <c r="U94" s="18" t="str">
        <f t="shared" si="16"/>
        <v/>
      </c>
      <c r="V94" s="17" t="str">
        <f t="shared" si="17"/>
        <v/>
      </c>
    </row>
    <row r="95" spans="1:22" x14ac:dyDescent="0.25">
      <c r="A95" t="str">
        <f t="shared" si="11"/>
        <v/>
      </c>
      <c r="B95" s="16"/>
      <c r="D95" t="str">
        <f>IF($C95="","",IFERROR(INDEX('Asset Register'!$B:$B,MATCH($C95,'Asset Register'!$A:$A,0)),""))</f>
        <v/>
      </c>
      <c r="E95" t="str">
        <f>IF($C95="","",IFERROR(INDEX('Asset Register'!$C:$C,MATCH($C95,'Asset Register'!$A:$A,0)),""))</f>
        <v/>
      </c>
      <c r="F95" t="str">
        <f>IF($C95="","",IFERROR(INDEX('Asset Register'!$D:$D,MATCH($C95,'Asset Register'!$A:$A,0)),""))</f>
        <v/>
      </c>
      <c r="J95" s="17" t="str">
        <f t="shared" si="18"/>
        <v/>
      </c>
      <c r="K95" s="17" t="str">
        <f t="shared" si="19"/>
        <v/>
      </c>
      <c r="L95" s="17" t="str">
        <f t="shared" si="12"/>
        <v/>
      </c>
      <c r="O95" t="str">
        <f>IF($C95="","",IFERROR(INDEX('Asset Register'!$G:$G,MATCH($C95,'Asset Register'!$A:$A,0)),""))</f>
        <v/>
      </c>
      <c r="Q95" t="str">
        <f t="shared" si="13"/>
        <v/>
      </c>
      <c r="R95" t="str">
        <f t="shared" si="14"/>
        <v/>
      </c>
      <c r="S95" s="17" t="str">
        <f t="shared" si="15"/>
        <v/>
      </c>
      <c r="T95" s="18" t="str">
        <f>IF($C95="","",IFERROR(INDEX('Asset Register'!$H:$H,MATCH($C95,'Asset Register'!$A:$A,0)),""))</f>
        <v/>
      </c>
      <c r="U95" s="18" t="str">
        <f t="shared" si="16"/>
        <v/>
      </c>
      <c r="V95" s="17" t="str">
        <f t="shared" si="17"/>
        <v/>
      </c>
    </row>
    <row r="96" spans="1:22" x14ac:dyDescent="0.25">
      <c r="A96" t="str">
        <f t="shared" si="11"/>
        <v/>
      </c>
      <c r="B96" s="16"/>
      <c r="D96" t="str">
        <f>IF($C96="","",IFERROR(INDEX('Asset Register'!$B:$B,MATCH($C96,'Asset Register'!$A:$A,0)),""))</f>
        <v/>
      </c>
      <c r="E96" t="str">
        <f>IF($C96="","",IFERROR(INDEX('Asset Register'!$C:$C,MATCH($C96,'Asset Register'!$A:$A,0)),""))</f>
        <v/>
      </c>
      <c r="F96" t="str">
        <f>IF($C96="","",IFERROR(INDEX('Asset Register'!$D:$D,MATCH($C96,'Asset Register'!$A:$A,0)),""))</f>
        <v/>
      </c>
      <c r="J96" s="17" t="str">
        <f t="shared" si="18"/>
        <v/>
      </c>
      <c r="K96" s="17" t="str">
        <f t="shared" si="19"/>
        <v/>
      </c>
      <c r="L96" s="17" t="str">
        <f t="shared" si="12"/>
        <v/>
      </c>
      <c r="O96" t="str">
        <f>IF($C96="","",IFERROR(INDEX('Asset Register'!$G:$G,MATCH($C96,'Asset Register'!$A:$A,0)),""))</f>
        <v/>
      </c>
      <c r="Q96" t="str">
        <f t="shared" si="13"/>
        <v/>
      </c>
      <c r="R96" t="str">
        <f t="shared" si="14"/>
        <v/>
      </c>
      <c r="S96" s="17" t="str">
        <f t="shared" si="15"/>
        <v/>
      </c>
      <c r="T96" s="18" t="str">
        <f>IF($C96="","",IFERROR(INDEX('Asset Register'!$H:$H,MATCH($C96,'Asset Register'!$A:$A,0)),""))</f>
        <v/>
      </c>
      <c r="U96" s="18" t="str">
        <f t="shared" si="16"/>
        <v/>
      </c>
      <c r="V96" s="17" t="str">
        <f t="shared" si="17"/>
        <v/>
      </c>
    </row>
    <row r="97" spans="1:22" x14ac:dyDescent="0.25">
      <c r="A97" t="str">
        <f t="shared" si="11"/>
        <v/>
      </c>
      <c r="B97" s="16"/>
      <c r="D97" t="str">
        <f>IF($C97="","",IFERROR(INDEX('Asset Register'!$B:$B,MATCH($C97,'Asset Register'!$A:$A,0)),""))</f>
        <v/>
      </c>
      <c r="E97" t="str">
        <f>IF($C97="","",IFERROR(INDEX('Asset Register'!$C:$C,MATCH($C97,'Asset Register'!$A:$A,0)),""))</f>
        <v/>
      </c>
      <c r="F97" t="str">
        <f>IF($C97="","",IFERROR(INDEX('Asset Register'!$D:$D,MATCH($C97,'Asset Register'!$A:$A,0)),""))</f>
        <v/>
      </c>
      <c r="J97" s="17" t="str">
        <f t="shared" si="18"/>
        <v/>
      </c>
      <c r="K97" s="17" t="str">
        <f t="shared" si="19"/>
        <v/>
      </c>
      <c r="L97" s="17" t="str">
        <f t="shared" si="12"/>
        <v/>
      </c>
      <c r="O97" t="str">
        <f>IF($C97="","",IFERROR(INDEX('Asset Register'!$G:$G,MATCH($C97,'Asset Register'!$A:$A,0)),""))</f>
        <v/>
      </c>
      <c r="Q97" t="str">
        <f t="shared" si="13"/>
        <v/>
      </c>
      <c r="R97" t="str">
        <f t="shared" si="14"/>
        <v/>
      </c>
      <c r="S97" s="17" t="str">
        <f t="shared" si="15"/>
        <v/>
      </c>
      <c r="T97" s="18" t="str">
        <f>IF($C97="","",IFERROR(INDEX('Asset Register'!$H:$H,MATCH($C97,'Asset Register'!$A:$A,0)),""))</f>
        <v/>
      </c>
      <c r="U97" s="18" t="str">
        <f t="shared" si="16"/>
        <v/>
      </c>
      <c r="V97" s="17" t="str">
        <f t="shared" si="17"/>
        <v/>
      </c>
    </row>
    <row r="98" spans="1:22" x14ac:dyDescent="0.25">
      <c r="A98" t="str">
        <f t="shared" si="11"/>
        <v/>
      </c>
      <c r="B98" s="16"/>
      <c r="D98" t="str">
        <f>IF($C98="","",IFERROR(INDEX('Asset Register'!$B:$B,MATCH($C98,'Asset Register'!$A:$A,0)),""))</f>
        <v/>
      </c>
      <c r="E98" t="str">
        <f>IF($C98="","",IFERROR(INDEX('Asset Register'!$C:$C,MATCH($C98,'Asset Register'!$A:$A,0)),""))</f>
        <v/>
      </c>
      <c r="F98" t="str">
        <f>IF($C98="","",IFERROR(INDEX('Asset Register'!$D:$D,MATCH($C98,'Asset Register'!$A:$A,0)),""))</f>
        <v/>
      </c>
      <c r="J98" s="17" t="str">
        <f t="shared" si="18"/>
        <v/>
      </c>
      <c r="K98" s="17" t="str">
        <f t="shared" si="19"/>
        <v/>
      </c>
      <c r="L98" s="17" t="str">
        <f t="shared" si="12"/>
        <v/>
      </c>
      <c r="O98" t="str">
        <f>IF($C98="","",IFERROR(INDEX('Asset Register'!$G:$G,MATCH($C98,'Asset Register'!$A:$A,0)),""))</f>
        <v/>
      </c>
      <c r="Q98" t="str">
        <f t="shared" si="13"/>
        <v/>
      </c>
      <c r="R98" t="str">
        <f t="shared" si="14"/>
        <v/>
      </c>
      <c r="S98" s="17" t="str">
        <f t="shared" si="15"/>
        <v/>
      </c>
      <c r="T98" s="18" t="str">
        <f>IF($C98="","",IFERROR(INDEX('Asset Register'!$H:$H,MATCH($C98,'Asset Register'!$A:$A,0)),""))</f>
        <v/>
      </c>
      <c r="U98" s="18" t="str">
        <f t="shared" si="16"/>
        <v/>
      </c>
      <c r="V98" s="17" t="str">
        <f t="shared" si="17"/>
        <v/>
      </c>
    </row>
    <row r="99" spans="1:22" x14ac:dyDescent="0.25">
      <c r="A99" t="str">
        <f t="shared" si="11"/>
        <v/>
      </c>
      <c r="B99" s="16"/>
      <c r="D99" t="str">
        <f>IF($C99="","",IFERROR(INDEX('Asset Register'!$B:$B,MATCH($C99,'Asset Register'!$A:$A,0)),""))</f>
        <v/>
      </c>
      <c r="E99" t="str">
        <f>IF($C99="","",IFERROR(INDEX('Asset Register'!$C:$C,MATCH($C99,'Asset Register'!$A:$A,0)),""))</f>
        <v/>
      </c>
      <c r="F99" t="str">
        <f>IF($C99="","",IFERROR(INDEX('Asset Register'!$D:$D,MATCH($C99,'Asset Register'!$A:$A,0)),""))</f>
        <v/>
      </c>
      <c r="J99" s="17" t="str">
        <f t="shared" si="18"/>
        <v/>
      </c>
      <c r="K99" s="17" t="str">
        <f t="shared" si="19"/>
        <v/>
      </c>
      <c r="L99" s="17" t="str">
        <f t="shared" si="12"/>
        <v/>
      </c>
      <c r="O99" t="str">
        <f>IF($C99="","",IFERROR(INDEX('Asset Register'!$G:$G,MATCH($C99,'Asset Register'!$A:$A,0)),""))</f>
        <v/>
      </c>
      <c r="Q99" t="str">
        <f t="shared" si="13"/>
        <v/>
      </c>
      <c r="R99" t="str">
        <f t="shared" si="14"/>
        <v/>
      </c>
      <c r="S99" s="17" t="str">
        <f t="shared" si="15"/>
        <v/>
      </c>
      <c r="T99" s="18" t="str">
        <f>IF($C99="","",IFERROR(INDEX('Asset Register'!$H:$H,MATCH($C99,'Asset Register'!$A:$A,0)),""))</f>
        <v/>
      </c>
      <c r="U99" s="18" t="str">
        <f t="shared" si="16"/>
        <v/>
      </c>
      <c r="V99" s="17" t="str">
        <f t="shared" si="17"/>
        <v/>
      </c>
    </row>
    <row r="100" spans="1:22" x14ac:dyDescent="0.25">
      <c r="A100" t="str">
        <f t="shared" si="11"/>
        <v/>
      </c>
      <c r="B100" s="16"/>
      <c r="D100" t="str">
        <f>IF($C100="","",IFERROR(INDEX('Asset Register'!$B:$B,MATCH($C100,'Asset Register'!$A:$A,0)),""))</f>
        <v/>
      </c>
      <c r="E100" t="str">
        <f>IF($C100="","",IFERROR(INDEX('Asset Register'!$C:$C,MATCH($C100,'Asset Register'!$A:$A,0)),""))</f>
        <v/>
      </c>
      <c r="F100" t="str">
        <f>IF($C100="","",IFERROR(INDEX('Asset Register'!$D:$D,MATCH($C100,'Asset Register'!$A:$A,0)),""))</f>
        <v/>
      </c>
      <c r="J100" s="17" t="str">
        <f t="shared" si="18"/>
        <v/>
      </c>
      <c r="K100" s="17" t="str">
        <f t="shared" si="19"/>
        <v/>
      </c>
      <c r="L100" s="17" t="str">
        <f t="shared" si="12"/>
        <v/>
      </c>
      <c r="O100" t="str">
        <f>IF($C100="","",IFERROR(INDEX('Asset Register'!$G:$G,MATCH($C100,'Asset Register'!$A:$A,0)),""))</f>
        <v/>
      </c>
      <c r="Q100" t="str">
        <f t="shared" si="13"/>
        <v/>
      </c>
      <c r="R100" t="str">
        <f t="shared" si="14"/>
        <v/>
      </c>
      <c r="S100" s="17" t="str">
        <f t="shared" si="15"/>
        <v/>
      </c>
      <c r="T100" s="18" t="str">
        <f>IF($C100="","",IFERROR(INDEX('Asset Register'!$H:$H,MATCH($C100,'Asset Register'!$A:$A,0)),""))</f>
        <v/>
      </c>
      <c r="U100" s="18" t="str">
        <f t="shared" si="16"/>
        <v/>
      </c>
      <c r="V100" s="17" t="str">
        <f t="shared" si="17"/>
        <v/>
      </c>
    </row>
    <row r="101" spans="1:22" x14ac:dyDescent="0.25">
      <c r="A101" t="str">
        <f t="shared" si="11"/>
        <v/>
      </c>
      <c r="B101" s="16"/>
      <c r="D101" t="str">
        <f>IF($C101="","",IFERROR(INDEX('Asset Register'!$B:$B,MATCH($C101,'Asset Register'!$A:$A,0)),""))</f>
        <v/>
      </c>
      <c r="E101" t="str">
        <f>IF($C101="","",IFERROR(INDEX('Asset Register'!$C:$C,MATCH($C101,'Asset Register'!$A:$A,0)),""))</f>
        <v/>
      </c>
      <c r="F101" t="str">
        <f>IF($C101="","",IFERROR(INDEX('Asset Register'!$D:$D,MATCH($C101,'Asset Register'!$A:$A,0)),""))</f>
        <v/>
      </c>
      <c r="J101" s="17" t="str">
        <f t="shared" si="18"/>
        <v/>
      </c>
      <c r="K101" s="17" t="str">
        <f t="shared" si="19"/>
        <v/>
      </c>
      <c r="L101" s="17" t="str">
        <f t="shared" si="12"/>
        <v/>
      </c>
      <c r="O101" t="str">
        <f>IF($C101="","",IFERROR(INDEX('Asset Register'!$G:$G,MATCH($C101,'Asset Register'!$A:$A,0)),""))</f>
        <v/>
      </c>
      <c r="Q101" t="str">
        <f t="shared" si="13"/>
        <v/>
      </c>
      <c r="R101" t="str">
        <f t="shared" si="14"/>
        <v/>
      </c>
      <c r="S101" s="17" t="str">
        <f t="shared" si="15"/>
        <v/>
      </c>
      <c r="T101" s="18" t="str">
        <f>IF($C101="","",IFERROR(INDEX('Asset Register'!$H:$H,MATCH($C101,'Asset Register'!$A:$A,0)),""))</f>
        <v/>
      </c>
      <c r="U101" s="18" t="str">
        <f t="shared" si="16"/>
        <v/>
      </c>
      <c r="V101" s="17" t="str">
        <f t="shared" si="17"/>
        <v/>
      </c>
    </row>
    <row r="102" spans="1:22" x14ac:dyDescent="0.25">
      <c r="A102" t="str">
        <f t="shared" si="11"/>
        <v/>
      </c>
      <c r="B102" s="16"/>
      <c r="D102" t="str">
        <f>IF($C102="","",IFERROR(INDEX('Asset Register'!$B:$B,MATCH($C102,'Asset Register'!$A:$A,0)),""))</f>
        <v/>
      </c>
      <c r="E102" t="str">
        <f>IF($C102="","",IFERROR(INDEX('Asset Register'!$C:$C,MATCH($C102,'Asset Register'!$A:$A,0)),""))</f>
        <v/>
      </c>
      <c r="F102" t="str">
        <f>IF($C102="","",IFERROR(INDEX('Asset Register'!$D:$D,MATCH($C102,'Asset Register'!$A:$A,0)),""))</f>
        <v/>
      </c>
      <c r="J102" s="17" t="str">
        <f t="shared" si="18"/>
        <v/>
      </c>
      <c r="K102" s="17" t="str">
        <f t="shared" si="19"/>
        <v/>
      </c>
      <c r="L102" s="17" t="str">
        <f t="shared" si="12"/>
        <v/>
      </c>
      <c r="O102" t="str">
        <f>IF($C102="","",IFERROR(INDEX('Asset Register'!$G:$G,MATCH($C102,'Asset Register'!$A:$A,0)),""))</f>
        <v/>
      </c>
      <c r="Q102" t="str">
        <f t="shared" si="13"/>
        <v/>
      </c>
      <c r="R102" t="str">
        <f t="shared" si="14"/>
        <v/>
      </c>
      <c r="S102" s="17" t="str">
        <f t="shared" si="15"/>
        <v/>
      </c>
      <c r="T102" s="18" t="str">
        <f>IF($C102="","",IFERROR(INDEX('Asset Register'!$H:$H,MATCH($C102,'Asset Register'!$A:$A,0)),""))</f>
        <v/>
      </c>
      <c r="U102" s="18" t="str">
        <f t="shared" si="16"/>
        <v/>
      </c>
      <c r="V102" s="17" t="str">
        <f t="shared" si="17"/>
        <v/>
      </c>
    </row>
    <row r="103" spans="1:22" x14ac:dyDescent="0.25">
      <c r="A103" t="str">
        <f t="shared" si="11"/>
        <v/>
      </c>
      <c r="B103" s="16"/>
      <c r="D103" t="str">
        <f>IF($C103="","",IFERROR(INDEX('Asset Register'!$B:$B,MATCH($C103,'Asset Register'!$A:$A,0)),""))</f>
        <v/>
      </c>
      <c r="E103" t="str">
        <f>IF($C103="","",IFERROR(INDEX('Asset Register'!$C:$C,MATCH($C103,'Asset Register'!$A:$A,0)),""))</f>
        <v/>
      </c>
      <c r="F103" t="str">
        <f>IF($C103="","",IFERROR(INDEX('Asset Register'!$D:$D,MATCH($C103,'Asset Register'!$A:$A,0)),""))</f>
        <v/>
      </c>
      <c r="J103" s="17" t="str">
        <f t="shared" si="18"/>
        <v/>
      </c>
      <c r="K103" s="17" t="str">
        <f t="shared" si="19"/>
        <v/>
      </c>
      <c r="L103" s="17" t="str">
        <f t="shared" si="12"/>
        <v/>
      </c>
      <c r="O103" t="str">
        <f>IF($C103="","",IFERROR(INDEX('Asset Register'!$G:$G,MATCH($C103,'Asset Register'!$A:$A,0)),""))</f>
        <v/>
      </c>
      <c r="Q103" t="str">
        <f t="shared" si="13"/>
        <v/>
      </c>
      <c r="R103" t="str">
        <f t="shared" si="14"/>
        <v/>
      </c>
      <c r="S103" s="17" t="str">
        <f t="shared" si="15"/>
        <v/>
      </c>
      <c r="T103" s="18" t="str">
        <f>IF($C103="","",IFERROR(INDEX('Asset Register'!$H:$H,MATCH($C103,'Asset Register'!$A:$A,0)),""))</f>
        <v/>
      </c>
      <c r="U103" s="18" t="str">
        <f t="shared" si="16"/>
        <v/>
      </c>
      <c r="V103" s="17" t="str">
        <f t="shared" si="17"/>
        <v/>
      </c>
    </row>
    <row r="104" spans="1:22" x14ac:dyDescent="0.25">
      <c r="A104" t="str">
        <f t="shared" si="11"/>
        <v/>
      </c>
      <c r="B104" s="16"/>
      <c r="D104" t="str">
        <f>IF($C104="","",IFERROR(INDEX('Asset Register'!$B:$B,MATCH($C104,'Asset Register'!$A:$A,0)),""))</f>
        <v/>
      </c>
      <c r="E104" t="str">
        <f>IF($C104="","",IFERROR(INDEX('Asset Register'!$C:$C,MATCH($C104,'Asset Register'!$A:$A,0)),""))</f>
        <v/>
      </c>
      <c r="F104" t="str">
        <f>IF($C104="","",IFERROR(INDEX('Asset Register'!$D:$D,MATCH($C104,'Asset Register'!$A:$A,0)),""))</f>
        <v/>
      </c>
      <c r="J104" s="17" t="str">
        <f t="shared" si="18"/>
        <v/>
      </c>
      <c r="K104" s="17" t="str">
        <f t="shared" si="19"/>
        <v/>
      </c>
      <c r="L104" s="17" t="str">
        <f t="shared" si="12"/>
        <v/>
      </c>
      <c r="O104" t="str">
        <f>IF($C104="","",IFERROR(INDEX('Asset Register'!$G:$G,MATCH($C104,'Asset Register'!$A:$A,0)),""))</f>
        <v/>
      </c>
      <c r="Q104" t="str">
        <f t="shared" si="13"/>
        <v/>
      </c>
      <c r="R104" t="str">
        <f t="shared" si="14"/>
        <v/>
      </c>
      <c r="S104" s="17" t="str">
        <f t="shared" si="15"/>
        <v/>
      </c>
      <c r="T104" s="18" t="str">
        <f>IF($C104="","",IFERROR(INDEX('Asset Register'!$H:$H,MATCH($C104,'Asset Register'!$A:$A,0)),""))</f>
        <v/>
      </c>
      <c r="U104" s="18" t="str">
        <f t="shared" si="16"/>
        <v/>
      </c>
      <c r="V104" s="17" t="str">
        <f t="shared" si="17"/>
        <v/>
      </c>
    </row>
    <row r="105" spans="1:22" x14ac:dyDescent="0.25">
      <c r="A105" t="str">
        <f t="shared" si="11"/>
        <v/>
      </c>
      <c r="B105" s="16"/>
      <c r="D105" t="str">
        <f>IF($C105="","",IFERROR(INDEX('Asset Register'!$B:$B,MATCH($C105,'Asset Register'!$A:$A,0)),""))</f>
        <v/>
      </c>
      <c r="E105" t="str">
        <f>IF($C105="","",IFERROR(INDEX('Asset Register'!$C:$C,MATCH($C105,'Asset Register'!$A:$A,0)),""))</f>
        <v/>
      </c>
      <c r="F105" t="str">
        <f>IF($C105="","",IFERROR(INDEX('Asset Register'!$D:$D,MATCH($C105,'Asset Register'!$A:$A,0)),""))</f>
        <v/>
      </c>
      <c r="J105" s="17" t="str">
        <f t="shared" si="18"/>
        <v/>
      </c>
      <c r="K105" s="17" t="str">
        <f t="shared" si="19"/>
        <v/>
      </c>
      <c r="L105" s="17" t="str">
        <f t="shared" si="12"/>
        <v/>
      </c>
      <c r="O105" t="str">
        <f>IF($C105="","",IFERROR(INDEX('Asset Register'!$G:$G,MATCH($C105,'Asset Register'!$A:$A,0)),""))</f>
        <v/>
      </c>
      <c r="Q105" t="str">
        <f t="shared" si="13"/>
        <v/>
      </c>
      <c r="R105" t="str">
        <f t="shared" si="14"/>
        <v/>
      </c>
      <c r="S105" s="17" t="str">
        <f t="shared" si="15"/>
        <v/>
      </c>
      <c r="T105" s="18" t="str">
        <f>IF($C105="","",IFERROR(INDEX('Asset Register'!$H:$H,MATCH($C105,'Asset Register'!$A:$A,0)),""))</f>
        <v/>
      </c>
      <c r="U105" s="18" t="str">
        <f t="shared" si="16"/>
        <v/>
      </c>
      <c r="V105" s="17" t="str">
        <f t="shared" si="17"/>
        <v/>
      </c>
    </row>
    <row r="106" spans="1:22" x14ac:dyDescent="0.25">
      <c r="A106" t="str">
        <f t="shared" si="11"/>
        <v/>
      </c>
      <c r="B106" s="16"/>
      <c r="D106" t="str">
        <f>IF($C106="","",IFERROR(INDEX('Asset Register'!$B:$B,MATCH($C106,'Asset Register'!$A:$A,0)),""))</f>
        <v/>
      </c>
      <c r="E106" t="str">
        <f>IF($C106="","",IFERROR(INDEX('Asset Register'!$C:$C,MATCH($C106,'Asset Register'!$A:$A,0)),""))</f>
        <v/>
      </c>
      <c r="F106" t="str">
        <f>IF($C106="","",IFERROR(INDEX('Asset Register'!$D:$D,MATCH($C106,'Asset Register'!$A:$A,0)),""))</f>
        <v/>
      </c>
      <c r="J106" s="17" t="str">
        <f t="shared" si="18"/>
        <v/>
      </c>
      <c r="K106" s="17" t="str">
        <f t="shared" si="19"/>
        <v/>
      </c>
      <c r="L106" s="17" t="str">
        <f t="shared" si="12"/>
        <v/>
      </c>
      <c r="O106" t="str">
        <f>IF($C106="","",IFERROR(INDEX('Asset Register'!$G:$G,MATCH($C106,'Asset Register'!$A:$A,0)),""))</f>
        <v/>
      </c>
      <c r="Q106" t="str">
        <f t="shared" si="13"/>
        <v/>
      </c>
      <c r="R106" t="str">
        <f t="shared" si="14"/>
        <v/>
      </c>
      <c r="S106" s="17" t="str">
        <f t="shared" si="15"/>
        <v/>
      </c>
      <c r="T106" s="18" t="str">
        <f>IF($C106="","",IFERROR(INDEX('Asset Register'!$H:$H,MATCH($C106,'Asset Register'!$A:$A,0)),""))</f>
        <v/>
      </c>
      <c r="U106" s="18" t="str">
        <f t="shared" si="16"/>
        <v/>
      </c>
      <c r="V106" s="17" t="str">
        <f t="shared" si="17"/>
        <v/>
      </c>
    </row>
    <row r="107" spans="1:22" x14ac:dyDescent="0.25">
      <c r="A107" t="str">
        <f t="shared" si="11"/>
        <v/>
      </c>
      <c r="B107" s="16"/>
      <c r="D107" t="str">
        <f>IF($C107="","",IFERROR(INDEX('Asset Register'!$B:$B,MATCH($C107,'Asset Register'!$A:$A,0)),""))</f>
        <v/>
      </c>
      <c r="E107" t="str">
        <f>IF($C107="","",IFERROR(INDEX('Asset Register'!$C:$C,MATCH($C107,'Asset Register'!$A:$A,0)),""))</f>
        <v/>
      </c>
      <c r="F107" t="str">
        <f>IF($C107="","",IFERROR(INDEX('Asset Register'!$D:$D,MATCH($C107,'Asset Register'!$A:$A,0)),""))</f>
        <v/>
      </c>
      <c r="J107" s="17" t="str">
        <f t="shared" si="18"/>
        <v/>
      </c>
      <c r="K107" s="17" t="str">
        <f t="shared" si="19"/>
        <v/>
      </c>
      <c r="L107" s="17" t="str">
        <f t="shared" si="12"/>
        <v/>
      </c>
      <c r="O107" t="str">
        <f>IF($C107="","",IFERROR(INDEX('Asset Register'!$G:$G,MATCH($C107,'Asset Register'!$A:$A,0)),""))</f>
        <v/>
      </c>
      <c r="Q107" t="str">
        <f t="shared" si="13"/>
        <v/>
      </c>
      <c r="R107" t="str">
        <f t="shared" si="14"/>
        <v/>
      </c>
      <c r="S107" s="17" t="str">
        <f t="shared" si="15"/>
        <v/>
      </c>
      <c r="T107" s="18" t="str">
        <f>IF($C107="","",IFERROR(INDEX('Asset Register'!$H:$H,MATCH($C107,'Asset Register'!$A:$A,0)),""))</f>
        <v/>
      </c>
      <c r="U107" s="18" t="str">
        <f t="shared" si="16"/>
        <v/>
      </c>
      <c r="V107" s="17" t="str">
        <f t="shared" si="17"/>
        <v/>
      </c>
    </row>
    <row r="108" spans="1:22" x14ac:dyDescent="0.25">
      <c r="A108" t="str">
        <f t="shared" si="11"/>
        <v/>
      </c>
      <c r="B108" s="16"/>
      <c r="D108" t="str">
        <f>IF($C108="","",IFERROR(INDEX('Asset Register'!$B:$B,MATCH($C108,'Asset Register'!$A:$A,0)),""))</f>
        <v/>
      </c>
      <c r="E108" t="str">
        <f>IF($C108="","",IFERROR(INDEX('Asset Register'!$C:$C,MATCH($C108,'Asset Register'!$A:$A,0)),""))</f>
        <v/>
      </c>
      <c r="F108" t="str">
        <f>IF($C108="","",IFERROR(INDEX('Asset Register'!$D:$D,MATCH($C108,'Asset Register'!$A:$A,0)),""))</f>
        <v/>
      </c>
      <c r="J108" s="17" t="str">
        <f t="shared" si="18"/>
        <v/>
      </c>
      <c r="K108" s="17" t="str">
        <f t="shared" si="19"/>
        <v/>
      </c>
      <c r="L108" s="17" t="str">
        <f t="shared" si="12"/>
        <v/>
      </c>
      <c r="O108" t="str">
        <f>IF($C108="","",IFERROR(INDEX('Asset Register'!$G:$G,MATCH($C108,'Asset Register'!$A:$A,0)),""))</f>
        <v/>
      </c>
      <c r="Q108" t="str">
        <f t="shared" si="13"/>
        <v/>
      </c>
      <c r="R108" t="str">
        <f t="shared" si="14"/>
        <v/>
      </c>
      <c r="S108" s="17" t="str">
        <f t="shared" si="15"/>
        <v/>
      </c>
      <c r="T108" s="18" t="str">
        <f>IF($C108="","",IFERROR(INDEX('Asset Register'!$H:$H,MATCH($C108,'Asset Register'!$A:$A,0)),""))</f>
        <v/>
      </c>
      <c r="U108" s="18" t="str">
        <f t="shared" si="16"/>
        <v/>
      </c>
      <c r="V108" s="17" t="str">
        <f t="shared" si="17"/>
        <v/>
      </c>
    </row>
    <row r="109" spans="1:22" x14ac:dyDescent="0.25">
      <c r="A109" t="str">
        <f t="shared" si="11"/>
        <v/>
      </c>
      <c r="B109" s="16"/>
      <c r="D109" t="str">
        <f>IF($C109="","",IFERROR(INDEX('Asset Register'!$B:$B,MATCH($C109,'Asset Register'!$A:$A,0)),""))</f>
        <v/>
      </c>
      <c r="E109" t="str">
        <f>IF($C109="","",IFERROR(INDEX('Asset Register'!$C:$C,MATCH($C109,'Asset Register'!$A:$A,0)),""))</f>
        <v/>
      </c>
      <c r="F109" t="str">
        <f>IF($C109="","",IFERROR(INDEX('Asset Register'!$D:$D,MATCH($C109,'Asset Register'!$A:$A,0)),""))</f>
        <v/>
      </c>
      <c r="J109" s="17" t="str">
        <f t="shared" si="18"/>
        <v/>
      </c>
      <c r="K109" s="17" t="str">
        <f t="shared" si="19"/>
        <v/>
      </c>
      <c r="L109" s="17" t="str">
        <f t="shared" si="12"/>
        <v/>
      </c>
      <c r="O109" t="str">
        <f>IF($C109="","",IFERROR(INDEX('Asset Register'!$G:$G,MATCH($C109,'Asset Register'!$A:$A,0)),""))</f>
        <v/>
      </c>
      <c r="Q109" t="str">
        <f t="shared" si="13"/>
        <v/>
      </c>
      <c r="R109" t="str">
        <f t="shared" si="14"/>
        <v/>
      </c>
      <c r="S109" s="17" t="str">
        <f t="shared" si="15"/>
        <v/>
      </c>
      <c r="T109" s="18" t="str">
        <f>IF($C109="","",IFERROR(INDEX('Asset Register'!$H:$H,MATCH($C109,'Asset Register'!$A:$A,0)),""))</f>
        <v/>
      </c>
      <c r="U109" s="18" t="str">
        <f t="shared" si="16"/>
        <v/>
      </c>
      <c r="V109" s="17" t="str">
        <f t="shared" si="17"/>
        <v/>
      </c>
    </row>
    <row r="110" spans="1:22" x14ac:dyDescent="0.25">
      <c r="A110" t="str">
        <f t="shared" si="11"/>
        <v/>
      </c>
      <c r="B110" s="16"/>
      <c r="D110" t="str">
        <f>IF($C110="","",IFERROR(INDEX('Asset Register'!$B:$B,MATCH($C110,'Asset Register'!$A:$A,0)),""))</f>
        <v/>
      </c>
      <c r="E110" t="str">
        <f>IF($C110="","",IFERROR(INDEX('Asset Register'!$C:$C,MATCH($C110,'Asset Register'!$A:$A,0)),""))</f>
        <v/>
      </c>
      <c r="F110" t="str">
        <f>IF($C110="","",IFERROR(INDEX('Asset Register'!$D:$D,MATCH($C110,'Asset Register'!$A:$A,0)),""))</f>
        <v/>
      </c>
      <c r="J110" s="17" t="str">
        <f t="shared" si="18"/>
        <v/>
      </c>
      <c r="K110" s="17" t="str">
        <f t="shared" si="19"/>
        <v/>
      </c>
      <c r="L110" s="17" t="str">
        <f t="shared" si="12"/>
        <v/>
      </c>
      <c r="O110" t="str">
        <f>IF($C110="","",IFERROR(INDEX('Asset Register'!$G:$G,MATCH($C110,'Asset Register'!$A:$A,0)),""))</f>
        <v/>
      </c>
      <c r="Q110" t="str">
        <f t="shared" si="13"/>
        <v/>
      </c>
      <c r="R110" t="str">
        <f t="shared" si="14"/>
        <v/>
      </c>
      <c r="S110" s="17" t="str">
        <f t="shared" si="15"/>
        <v/>
      </c>
      <c r="T110" s="18" t="str">
        <f>IF($C110="","",IFERROR(INDEX('Asset Register'!$H:$H,MATCH($C110,'Asset Register'!$A:$A,0)),""))</f>
        <v/>
      </c>
      <c r="U110" s="18" t="str">
        <f t="shared" si="16"/>
        <v/>
      </c>
      <c r="V110" s="17" t="str">
        <f t="shared" si="17"/>
        <v/>
      </c>
    </row>
    <row r="111" spans="1:22" x14ac:dyDescent="0.25">
      <c r="A111" t="str">
        <f t="shared" si="11"/>
        <v/>
      </c>
      <c r="B111" s="16"/>
      <c r="D111" t="str">
        <f>IF($C111="","",IFERROR(INDEX('Asset Register'!$B:$B,MATCH($C111,'Asset Register'!$A:$A,0)),""))</f>
        <v/>
      </c>
      <c r="E111" t="str">
        <f>IF($C111="","",IFERROR(INDEX('Asset Register'!$C:$C,MATCH($C111,'Asset Register'!$A:$A,0)),""))</f>
        <v/>
      </c>
      <c r="F111" t="str">
        <f>IF($C111="","",IFERROR(INDEX('Asset Register'!$D:$D,MATCH($C111,'Asset Register'!$A:$A,0)),""))</f>
        <v/>
      </c>
      <c r="J111" s="17" t="str">
        <f t="shared" si="18"/>
        <v/>
      </c>
      <c r="K111" s="17" t="str">
        <f t="shared" si="19"/>
        <v/>
      </c>
      <c r="L111" s="17" t="str">
        <f t="shared" si="12"/>
        <v/>
      </c>
      <c r="O111" t="str">
        <f>IF($C111="","",IFERROR(INDEX('Asset Register'!$G:$G,MATCH($C111,'Asset Register'!$A:$A,0)),""))</f>
        <v/>
      </c>
      <c r="Q111" t="str">
        <f t="shared" si="13"/>
        <v/>
      </c>
      <c r="R111" t="str">
        <f t="shared" si="14"/>
        <v/>
      </c>
      <c r="S111" s="17" t="str">
        <f t="shared" si="15"/>
        <v/>
      </c>
      <c r="T111" s="18" t="str">
        <f>IF($C111="","",IFERROR(INDEX('Asset Register'!$H:$H,MATCH($C111,'Asset Register'!$A:$A,0)),""))</f>
        <v/>
      </c>
      <c r="U111" s="18" t="str">
        <f t="shared" si="16"/>
        <v/>
      </c>
      <c r="V111" s="17" t="str">
        <f t="shared" si="17"/>
        <v/>
      </c>
    </row>
    <row r="112" spans="1:22" x14ac:dyDescent="0.25">
      <c r="A112" t="str">
        <f t="shared" si="11"/>
        <v/>
      </c>
      <c r="B112" s="16"/>
      <c r="D112" t="str">
        <f>IF($C112="","",IFERROR(INDEX('Asset Register'!$B:$B,MATCH($C112,'Asset Register'!$A:$A,0)),""))</f>
        <v/>
      </c>
      <c r="E112" t="str">
        <f>IF($C112="","",IFERROR(INDEX('Asset Register'!$C:$C,MATCH($C112,'Asset Register'!$A:$A,0)),""))</f>
        <v/>
      </c>
      <c r="F112" t="str">
        <f>IF($C112="","",IFERROR(INDEX('Asset Register'!$D:$D,MATCH($C112,'Asset Register'!$A:$A,0)),""))</f>
        <v/>
      </c>
      <c r="J112" s="17" t="str">
        <f t="shared" si="18"/>
        <v/>
      </c>
      <c r="K112" s="17" t="str">
        <f t="shared" si="19"/>
        <v/>
      </c>
      <c r="L112" s="17" t="str">
        <f t="shared" si="12"/>
        <v/>
      </c>
      <c r="O112" t="str">
        <f>IF($C112="","",IFERROR(INDEX('Asset Register'!$G:$G,MATCH($C112,'Asset Register'!$A:$A,0)),""))</f>
        <v/>
      </c>
      <c r="Q112" t="str">
        <f t="shared" si="13"/>
        <v/>
      </c>
      <c r="R112" t="str">
        <f t="shared" si="14"/>
        <v/>
      </c>
      <c r="S112" s="17" t="str">
        <f t="shared" si="15"/>
        <v/>
      </c>
      <c r="T112" s="18" t="str">
        <f>IF($C112="","",IFERROR(INDEX('Asset Register'!$H:$H,MATCH($C112,'Asset Register'!$A:$A,0)),""))</f>
        <v/>
      </c>
      <c r="U112" s="18" t="str">
        <f t="shared" si="16"/>
        <v/>
      </c>
      <c r="V112" s="17" t="str">
        <f t="shared" si="17"/>
        <v/>
      </c>
    </row>
    <row r="113" spans="1:22" x14ac:dyDescent="0.25">
      <c r="A113" t="str">
        <f t="shared" si="11"/>
        <v/>
      </c>
      <c r="B113" s="16"/>
      <c r="D113" t="str">
        <f>IF($C113="","",IFERROR(INDEX('Asset Register'!$B:$B,MATCH($C113,'Asset Register'!$A:$A,0)),""))</f>
        <v/>
      </c>
      <c r="E113" t="str">
        <f>IF($C113="","",IFERROR(INDEX('Asset Register'!$C:$C,MATCH($C113,'Asset Register'!$A:$A,0)),""))</f>
        <v/>
      </c>
      <c r="F113" t="str">
        <f>IF($C113="","",IFERROR(INDEX('Asset Register'!$D:$D,MATCH($C113,'Asset Register'!$A:$A,0)),""))</f>
        <v/>
      </c>
      <c r="J113" s="17" t="str">
        <f t="shared" si="18"/>
        <v/>
      </c>
      <c r="K113" s="17" t="str">
        <f t="shared" si="19"/>
        <v/>
      </c>
      <c r="L113" s="17" t="str">
        <f t="shared" si="12"/>
        <v/>
      </c>
      <c r="O113" t="str">
        <f>IF($C113="","",IFERROR(INDEX('Asset Register'!$G:$G,MATCH($C113,'Asset Register'!$A:$A,0)),""))</f>
        <v/>
      </c>
      <c r="Q113" t="str">
        <f t="shared" si="13"/>
        <v/>
      </c>
      <c r="R113" t="str">
        <f t="shared" si="14"/>
        <v/>
      </c>
      <c r="S113" s="17" t="str">
        <f t="shared" si="15"/>
        <v/>
      </c>
      <c r="T113" s="18" t="str">
        <f>IF($C113="","",IFERROR(INDEX('Asset Register'!$H:$H,MATCH($C113,'Asset Register'!$A:$A,0)),""))</f>
        <v/>
      </c>
      <c r="U113" s="18" t="str">
        <f t="shared" si="16"/>
        <v/>
      </c>
      <c r="V113" s="17" t="str">
        <f t="shared" si="17"/>
        <v/>
      </c>
    </row>
    <row r="114" spans="1:22" x14ac:dyDescent="0.25">
      <c r="A114" t="str">
        <f t="shared" si="11"/>
        <v/>
      </c>
      <c r="B114" s="16"/>
      <c r="D114" t="str">
        <f>IF($C114="","",IFERROR(INDEX('Asset Register'!$B:$B,MATCH($C114,'Asset Register'!$A:$A,0)),""))</f>
        <v/>
      </c>
      <c r="E114" t="str">
        <f>IF($C114="","",IFERROR(INDEX('Asset Register'!$C:$C,MATCH($C114,'Asset Register'!$A:$A,0)),""))</f>
        <v/>
      </c>
      <c r="F114" t="str">
        <f>IF($C114="","",IFERROR(INDEX('Asset Register'!$D:$D,MATCH($C114,'Asset Register'!$A:$A,0)),""))</f>
        <v/>
      </c>
      <c r="J114" s="17" t="str">
        <f t="shared" si="18"/>
        <v/>
      </c>
      <c r="K114" s="17" t="str">
        <f t="shared" si="19"/>
        <v/>
      </c>
      <c r="L114" s="17" t="str">
        <f t="shared" si="12"/>
        <v/>
      </c>
      <c r="O114" t="str">
        <f>IF($C114="","",IFERROR(INDEX('Asset Register'!$G:$G,MATCH($C114,'Asset Register'!$A:$A,0)),""))</f>
        <v/>
      </c>
      <c r="Q114" t="str">
        <f t="shared" si="13"/>
        <v/>
      </c>
      <c r="R114" t="str">
        <f t="shared" si="14"/>
        <v/>
      </c>
      <c r="S114" s="17" t="str">
        <f t="shared" si="15"/>
        <v/>
      </c>
      <c r="T114" s="18" t="str">
        <f>IF($C114="","",IFERROR(INDEX('Asset Register'!$H:$H,MATCH($C114,'Asset Register'!$A:$A,0)),""))</f>
        <v/>
      </c>
      <c r="U114" s="18" t="str">
        <f t="shared" si="16"/>
        <v/>
      </c>
      <c r="V114" s="17" t="str">
        <f t="shared" si="17"/>
        <v/>
      </c>
    </row>
    <row r="115" spans="1:22" x14ac:dyDescent="0.25">
      <c r="A115" t="str">
        <f t="shared" si="11"/>
        <v/>
      </c>
      <c r="B115" s="16"/>
      <c r="D115" t="str">
        <f>IF($C115="","",IFERROR(INDEX('Asset Register'!$B:$B,MATCH($C115,'Asset Register'!$A:$A,0)),""))</f>
        <v/>
      </c>
      <c r="E115" t="str">
        <f>IF($C115="","",IFERROR(INDEX('Asset Register'!$C:$C,MATCH($C115,'Asset Register'!$A:$A,0)),""))</f>
        <v/>
      </c>
      <c r="F115" t="str">
        <f>IF($C115="","",IFERROR(INDEX('Asset Register'!$D:$D,MATCH($C115,'Asset Register'!$A:$A,0)),""))</f>
        <v/>
      </c>
      <c r="J115" s="17" t="str">
        <f t="shared" si="18"/>
        <v/>
      </c>
      <c r="K115" s="17" t="str">
        <f t="shared" si="19"/>
        <v/>
      </c>
      <c r="L115" s="17" t="str">
        <f t="shared" si="12"/>
        <v/>
      </c>
      <c r="O115" t="str">
        <f>IF($C115="","",IFERROR(INDEX('Asset Register'!$G:$G,MATCH($C115,'Asset Register'!$A:$A,0)),""))</f>
        <v/>
      </c>
      <c r="Q115" t="str">
        <f t="shared" si="13"/>
        <v/>
      </c>
      <c r="R115" t="str">
        <f t="shared" si="14"/>
        <v/>
      </c>
      <c r="S115" s="17" t="str">
        <f t="shared" si="15"/>
        <v/>
      </c>
      <c r="T115" s="18" t="str">
        <f>IF($C115="","",IFERROR(INDEX('Asset Register'!$H:$H,MATCH($C115,'Asset Register'!$A:$A,0)),""))</f>
        <v/>
      </c>
      <c r="U115" s="18" t="str">
        <f t="shared" si="16"/>
        <v/>
      </c>
      <c r="V115" s="17" t="str">
        <f t="shared" si="17"/>
        <v/>
      </c>
    </row>
    <row r="116" spans="1:22" x14ac:dyDescent="0.25">
      <c r="A116" t="str">
        <f t="shared" si="11"/>
        <v/>
      </c>
      <c r="B116" s="16"/>
      <c r="D116" t="str">
        <f>IF($C116="","",IFERROR(INDEX('Asset Register'!$B:$B,MATCH($C116,'Asset Register'!$A:$A,0)),""))</f>
        <v/>
      </c>
      <c r="E116" t="str">
        <f>IF($C116="","",IFERROR(INDEX('Asset Register'!$C:$C,MATCH($C116,'Asset Register'!$A:$A,0)),""))</f>
        <v/>
      </c>
      <c r="F116" t="str">
        <f>IF($C116="","",IFERROR(INDEX('Asset Register'!$D:$D,MATCH($C116,'Asset Register'!$A:$A,0)),""))</f>
        <v/>
      </c>
      <c r="J116" s="17" t="str">
        <f t="shared" si="18"/>
        <v/>
      </c>
      <c r="K116" s="17" t="str">
        <f t="shared" si="19"/>
        <v/>
      </c>
      <c r="L116" s="17" t="str">
        <f t="shared" si="12"/>
        <v/>
      </c>
      <c r="O116" t="str">
        <f>IF($C116="","",IFERROR(INDEX('Asset Register'!$G:$G,MATCH($C116,'Asset Register'!$A:$A,0)),""))</f>
        <v/>
      </c>
      <c r="Q116" t="str">
        <f t="shared" si="13"/>
        <v/>
      </c>
      <c r="R116" t="str">
        <f t="shared" si="14"/>
        <v/>
      </c>
      <c r="S116" s="17" t="str">
        <f t="shared" si="15"/>
        <v/>
      </c>
      <c r="T116" s="18" t="str">
        <f>IF($C116="","",IFERROR(INDEX('Asset Register'!$H:$H,MATCH($C116,'Asset Register'!$A:$A,0)),""))</f>
        <v/>
      </c>
      <c r="U116" s="18" t="str">
        <f t="shared" si="16"/>
        <v/>
      </c>
      <c r="V116" s="17" t="str">
        <f t="shared" si="17"/>
        <v/>
      </c>
    </row>
    <row r="117" spans="1:22" x14ac:dyDescent="0.25">
      <c r="A117" t="str">
        <f t="shared" si="11"/>
        <v/>
      </c>
      <c r="B117" s="16"/>
      <c r="D117" t="str">
        <f>IF($C117="","",IFERROR(INDEX('Asset Register'!$B:$B,MATCH($C117,'Asset Register'!$A:$A,0)),""))</f>
        <v/>
      </c>
      <c r="E117" t="str">
        <f>IF($C117="","",IFERROR(INDEX('Asset Register'!$C:$C,MATCH($C117,'Asset Register'!$A:$A,0)),""))</f>
        <v/>
      </c>
      <c r="F117" t="str">
        <f>IF($C117="","",IFERROR(INDEX('Asset Register'!$D:$D,MATCH($C117,'Asset Register'!$A:$A,0)),""))</f>
        <v/>
      </c>
      <c r="J117" s="17" t="str">
        <f t="shared" si="18"/>
        <v/>
      </c>
      <c r="K117" s="17" t="str">
        <f t="shared" si="19"/>
        <v/>
      </c>
      <c r="L117" s="17" t="str">
        <f t="shared" si="12"/>
        <v/>
      </c>
      <c r="O117" t="str">
        <f>IF($C117="","",IFERROR(INDEX('Asset Register'!$G:$G,MATCH($C117,'Asset Register'!$A:$A,0)),""))</f>
        <v/>
      </c>
      <c r="Q117" t="str">
        <f t="shared" si="13"/>
        <v/>
      </c>
      <c r="R117" t="str">
        <f t="shared" si="14"/>
        <v/>
      </c>
      <c r="S117" s="17" t="str">
        <f t="shared" si="15"/>
        <v/>
      </c>
      <c r="T117" s="18" t="str">
        <f>IF($C117="","",IFERROR(INDEX('Asset Register'!$H:$H,MATCH($C117,'Asset Register'!$A:$A,0)),""))</f>
        <v/>
      </c>
      <c r="U117" s="18" t="str">
        <f t="shared" si="16"/>
        <v/>
      </c>
      <c r="V117" s="17" t="str">
        <f t="shared" si="17"/>
        <v/>
      </c>
    </row>
    <row r="118" spans="1:22" x14ac:dyDescent="0.25">
      <c r="A118" t="str">
        <f t="shared" si="11"/>
        <v/>
      </c>
      <c r="B118" s="16"/>
      <c r="D118" t="str">
        <f>IF($C118="","",IFERROR(INDEX('Asset Register'!$B:$B,MATCH($C118,'Asset Register'!$A:$A,0)),""))</f>
        <v/>
      </c>
      <c r="E118" t="str">
        <f>IF($C118="","",IFERROR(INDEX('Asset Register'!$C:$C,MATCH($C118,'Asset Register'!$A:$A,0)),""))</f>
        <v/>
      </c>
      <c r="F118" t="str">
        <f>IF($C118="","",IFERROR(INDEX('Asset Register'!$D:$D,MATCH($C118,'Asset Register'!$A:$A,0)),""))</f>
        <v/>
      </c>
      <c r="J118" s="17" t="str">
        <f t="shared" si="18"/>
        <v/>
      </c>
      <c r="K118" s="17" t="str">
        <f t="shared" si="19"/>
        <v/>
      </c>
      <c r="L118" s="17" t="str">
        <f t="shared" si="12"/>
        <v/>
      </c>
      <c r="O118" t="str">
        <f>IF($C118="","",IFERROR(INDEX('Asset Register'!$G:$G,MATCH($C118,'Asset Register'!$A:$A,0)),""))</f>
        <v/>
      </c>
      <c r="Q118" t="str">
        <f t="shared" si="13"/>
        <v/>
      </c>
      <c r="R118" t="str">
        <f t="shared" si="14"/>
        <v/>
      </c>
      <c r="S118" s="17" t="str">
        <f t="shared" si="15"/>
        <v/>
      </c>
      <c r="T118" s="18" t="str">
        <f>IF($C118="","",IFERROR(INDEX('Asset Register'!$H:$H,MATCH($C118,'Asset Register'!$A:$A,0)),""))</f>
        <v/>
      </c>
      <c r="U118" s="18" t="str">
        <f t="shared" si="16"/>
        <v/>
      </c>
      <c r="V118" s="17" t="str">
        <f t="shared" si="17"/>
        <v/>
      </c>
    </row>
    <row r="119" spans="1:22" x14ac:dyDescent="0.25">
      <c r="A119" t="str">
        <f t="shared" si="11"/>
        <v/>
      </c>
      <c r="B119" s="16"/>
      <c r="D119" t="str">
        <f>IF($C119="","",IFERROR(INDEX('Asset Register'!$B:$B,MATCH($C119,'Asset Register'!$A:$A,0)),""))</f>
        <v/>
      </c>
      <c r="E119" t="str">
        <f>IF($C119="","",IFERROR(INDEX('Asset Register'!$C:$C,MATCH($C119,'Asset Register'!$A:$A,0)),""))</f>
        <v/>
      </c>
      <c r="F119" t="str">
        <f>IF($C119="","",IFERROR(INDEX('Asset Register'!$D:$D,MATCH($C119,'Asset Register'!$A:$A,0)),""))</f>
        <v/>
      </c>
      <c r="J119" s="17" t="str">
        <f t="shared" si="18"/>
        <v/>
      </c>
      <c r="K119" s="17" t="str">
        <f t="shared" si="19"/>
        <v/>
      </c>
      <c r="L119" s="17" t="str">
        <f t="shared" si="12"/>
        <v/>
      </c>
      <c r="O119" t="str">
        <f>IF($C119="","",IFERROR(INDEX('Asset Register'!$G:$G,MATCH($C119,'Asset Register'!$A:$A,0)),""))</f>
        <v/>
      </c>
      <c r="Q119" t="str">
        <f t="shared" si="13"/>
        <v/>
      </c>
      <c r="R119" t="str">
        <f t="shared" si="14"/>
        <v/>
      </c>
      <c r="S119" s="17" t="str">
        <f t="shared" si="15"/>
        <v/>
      </c>
      <c r="T119" s="18" t="str">
        <f>IF($C119="","",IFERROR(INDEX('Asset Register'!$H:$H,MATCH($C119,'Asset Register'!$A:$A,0)),""))</f>
        <v/>
      </c>
      <c r="U119" s="18" t="str">
        <f t="shared" si="16"/>
        <v/>
      </c>
      <c r="V119" s="17" t="str">
        <f t="shared" si="17"/>
        <v/>
      </c>
    </row>
    <row r="120" spans="1:22" x14ac:dyDescent="0.25">
      <c r="A120" t="str">
        <f t="shared" si="11"/>
        <v/>
      </c>
      <c r="B120" s="16"/>
      <c r="D120" t="str">
        <f>IF($C120="","",IFERROR(INDEX('Asset Register'!$B:$B,MATCH($C120,'Asset Register'!$A:$A,0)),""))</f>
        <v/>
      </c>
      <c r="E120" t="str">
        <f>IF($C120="","",IFERROR(INDEX('Asset Register'!$C:$C,MATCH($C120,'Asset Register'!$A:$A,0)),""))</f>
        <v/>
      </c>
      <c r="F120" t="str">
        <f>IF($C120="","",IFERROR(INDEX('Asset Register'!$D:$D,MATCH($C120,'Asset Register'!$A:$A,0)),""))</f>
        <v/>
      </c>
      <c r="J120" s="17" t="str">
        <f t="shared" si="18"/>
        <v/>
      </c>
      <c r="K120" s="17" t="str">
        <f t="shared" si="19"/>
        <v/>
      </c>
      <c r="L120" s="17" t="str">
        <f t="shared" si="12"/>
        <v/>
      </c>
      <c r="O120" t="str">
        <f>IF($C120="","",IFERROR(INDEX('Asset Register'!$G:$G,MATCH($C120,'Asset Register'!$A:$A,0)),""))</f>
        <v/>
      </c>
      <c r="Q120" t="str">
        <f t="shared" si="13"/>
        <v/>
      </c>
      <c r="R120" t="str">
        <f t="shared" si="14"/>
        <v/>
      </c>
      <c r="S120" s="17" t="str">
        <f t="shared" si="15"/>
        <v/>
      </c>
      <c r="T120" s="18" t="str">
        <f>IF($C120="","",IFERROR(INDEX('Asset Register'!$H:$H,MATCH($C120,'Asset Register'!$A:$A,0)),""))</f>
        <v/>
      </c>
      <c r="U120" s="18" t="str">
        <f t="shared" si="16"/>
        <v/>
      </c>
      <c r="V120" s="17" t="str">
        <f t="shared" si="17"/>
        <v/>
      </c>
    </row>
    <row r="121" spans="1:22" x14ac:dyDescent="0.25">
      <c r="A121" t="str">
        <f t="shared" si="11"/>
        <v/>
      </c>
      <c r="B121" s="16"/>
      <c r="D121" t="str">
        <f>IF($C121="","",IFERROR(INDEX('Asset Register'!$B:$B,MATCH($C121,'Asset Register'!$A:$A,0)),""))</f>
        <v/>
      </c>
      <c r="E121" t="str">
        <f>IF($C121="","",IFERROR(INDEX('Asset Register'!$C:$C,MATCH($C121,'Asset Register'!$A:$A,0)),""))</f>
        <v/>
      </c>
      <c r="F121" t="str">
        <f>IF($C121="","",IFERROR(INDEX('Asset Register'!$D:$D,MATCH($C121,'Asset Register'!$A:$A,0)),""))</f>
        <v/>
      </c>
      <c r="J121" s="17" t="str">
        <f t="shared" si="18"/>
        <v/>
      </c>
      <c r="K121" s="17" t="str">
        <f t="shared" si="19"/>
        <v/>
      </c>
      <c r="L121" s="17" t="str">
        <f t="shared" si="12"/>
        <v/>
      </c>
      <c r="O121" t="str">
        <f>IF($C121="","",IFERROR(INDEX('Asset Register'!$G:$G,MATCH($C121,'Asset Register'!$A:$A,0)),""))</f>
        <v/>
      </c>
      <c r="Q121" t="str">
        <f t="shared" si="13"/>
        <v/>
      </c>
      <c r="R121" t="str">
        <f t="shared" si="14"/>
        <v/>
      </c>
      <c r="S121" s="17" t="str">
        <f t="shared" si="15"/>
        <v/>
      </c>
      <c r="T121" s="18" t="str">
        <f>IF($C121="","",IFERROR(INDEX('Asset Register'!$H:$H,MATCH($C121,'Asset Register'!$A:$A,0)),""))</f>
        <v/>
      </c>
      <c r="U121" s="18" t="str">
        <f t="shared" si="16"/>
        <v/>
      </c>
      <c r="V121" s="17" t="str">
        <f t="shared" si="17"/>
        <v/>
      </c>
    </row>
    <row r="122" spans="1:22" x14ac:dyDescent="0.25">
      <c r="A122" t="str">
        <f t="shared" si="11"/>
        <v/>
      </c>
      <c r="B122" s="16"/>
      <c r="D122" t="str">
        <f>IF($C122="","",IFERROR(INDEX('Asset Register'!$B:$B,MATCH($C122,'Asset Register'!$A:$A,0)),""))</f>
        <v/>
      </c>
      <c r="E122" t="str">
        <f>IF($C122="","",IFERROR(INDEX('Asset Register'!$C:$C,MATCH($C122,'Asset Register'!$A:$A,0)),""))</f>
        <v/>
      </c>
      <c r="F122" t="str">
        <f>IF($C122="","",IFERROR(INDEX('Asset Register'!$D:$D,MATCH($C122,'Asset Register'!$A:$A,0)),""))</f>
        <v/>
      </c>
      <c r="J122" s="17" t="str">
        <f t="shared" si="18"/>
        <v/>
      </c>
      <c r="K122" s="17" t="str">
        <f t="shared" si="19"/>
        <v/>
      </c>
      <c r="L122" s="17" t="str">
        <f t="shared" si="12"/>
        <v/>
      </c>
      <c r="O122" t="str">
        <f>IF($C122="","",IFERROR(INDEX('Asset Register'!$G:$G,MATCH($C122,'Asset Register'!$A:$A,0)),""))</f>
        <v/>
      </c>
      <c r="Q122" t="str">
        <f t="shared" si="13"/>
        <v/>
      </c>
      <c r="R122" t="str">
        <f t="shared" si="14"/>
        <v/>
      </c>
      <c r="S122" s="17" t="str">
        <f t="shared" si="15"/>
        <v/>
      </c>
      <c r="T122" s="18" t="str">
        <f>IF($C122="","",IFERROR(INDEX('Asset Register'!$H:$H,MATCH($C122,'Asset Register'!$A:$A,0)),""))</f>
        <v/>
      </c>
      <c r="U122" s="18" t="str">
        <f t="shared" si="16"/>
        <v/>
      </c>
      <c r="V122" s="17" t="str">
        <f t="shared" si="17"/>
        <v/>
      </c>
    </row>
    <row r="123" spans="1:22" x14ac:dyDescent="0.25">
      <c r="A123" t="str">
        <f t="shared" si="11"/>
        <v/>
      </c>
      <c r="B123" s="16"/>
      <c r="D123" t="str">
        <f>IF($C123="","",IFERROR(INDEX('Asset Register'!$B:$B,MATCH($C123,'Asset Register'!$A:$A,0)),""))</f>
        <v/>
      </c>
      <c r="E123" t="str">
        <f>IF($C123="","",IFERROR(INDEX('Asset Register'!$C:$C,MATCH($C123,'Asset Register'!$A:$A,0)),""))</f>
        <v/>
      </c>
      <c r="F123" t="str">
        <f>IF($C123="","",IFERROR(INDEX('Asset Register'!$D:$D,MATCH($C123,'Asset Register'!$A:$A,0)),""))</f>
        <v/>
      </c>
      <c r="J123" s="17" t="str">
        <f t="shared" si="18"/>
        <v/>
      </c>
      <c r="K123" s="17" t="str">
        <f t="shared" si="19"/>
        <v/>
      </c>
      <c r="L123" s="17" t="str">
        <f t="shared" si="12"/>
        <v/>
      </c>
      <c r="O123" t="str">
        <f>IF($C123="","",IFERROR(INDEX('Asset Register'!$G:$G,MATCH($C123,'Asset Register'!$A:$A,0)),""))</f>
        <v/>
      </c>
      <c r="Q123" t="str">
        <f t="shared" si="13"/>
        <v/>
      </c>
      <c r="R123" t="str">
        <f t="shared" si="14"/>
        <v/>
      </c>
      <c r="S123" s="17" t="str">
        <f t="shared" si="15"/>
        <v/>
      </c>
      <c r="T123" s="18" t="str">
        <f>IF($C123="","",IFERROR(INDEX('Asset Register'!$H:$H,MATCH($C123,'Asset Register'!$A:$A,0)),""))</f>
        <v/>
      </c>
      <c r="U123" s="18" t="str">
        <f t="shared" si="16"/>
        <v/>
      </c>
      <c r="V123" s="17" t="str">
        <f t="shared" si="17"/>
        <v/>
      </c>
    </row>
    <row r="124" spans="1:22" x14ac:dyDescent="0.25">
      <c r="A124" t="str">
        <f t="shared" si="11"/>
        <v/>
      </c>
      <c r="B124" s="16"/>
      <c r="D124" t="str">
        <f>IF($C124="","",IFERROR(INDEX('Asset Register'!$B:$B,MATCH($C124,'Asset Register'!$A:$A,0)),""))</f>
        <v/>
      </c>
      <c r="E124" t="str">
        <f>IF($C124="","",IFERROR(INDEX('Asset Register'!$C:$C,MATCH($C124,'Asset Register'!$A:$A,0)),""))</f>
        <v/>
      </c>
      <c r="F124" t="str">
        <f>IF($C124="","",IFERROR(INDEX('Asset Register'!$D:$D,MATCH($C124,'Asset Register'!$A:$A,0)),""))</f>
        <v/>
      </c>
      <c r="J124" s="17" t="str">
        <f t="shared" si="18"/>
        <v/>
      </c>
      <c r="K124" s="17" t="str">
        <f t="shared" si="19"/>
        <v/>
      </c>
      <c r="L124" s="17" t="str">
        <f t="shared" si="12"/>
        <v/>
      </c>
      <c r="O124" t="str">
        <f>IF($C124="","",IFERROR(INDEX('Asset Register'!$G:$G,MATCH($C124,'Asset Register'!$A:$A,0)),""))</f>
        <v/>
      </c>
      <c r="Q124" t="str">
        <f t="shared" si="13"/>
        <v/>
      </c>
      <c r="R124" t="str">
        <f t="shared" si="14"/>
        <v/>
      </c>
      <c r="S124" s="17" t="str">
        <f t="shared" si="15"/>
        <v/>
      </c>
      <c r="T124" s="18" t="str">
        <f>IF($C124="","",IFERROR(INDEX('Asset Register'!$H:$H,MATCH($C124,'Asset Register'!$A:$A,0)),""))</f>
        <v/>
      </c>
      <c r="U124" s="18" t="str">
        <f t="shared" si="16"/>
        <v/>
      </c>
      <c r="V124" s="17" t="str">
        <f t="shared" si="17"/>
        <v/>
      </c>
    </row>
    <row r="125" spans="1:22" x14ac:dyDescent="0.25">
      <c r="A125" t="str">
        <f t="shared" si="11"/>
        <v/>
      </c>
      <c r="B125" s="16"/>
      <c r="D125" t="str">
        <f>IF($C125="","",IFERROR(INDEX('Asset Register'!$B:$B,MATCH($C125,'Asset Register'!$A:$A,0)),""))</f>
        <v/>
      </c>
      <c r="E125" t="str">
        <f>IF($C125="","",IFERROR(INDEX('Asset Register'!$C:$C,MATCH($C125,'Asset Register'!$A:$A,0)),""))</f>
        <v/>
      </c>
      <c r="F125" t="str">
        <f>IF($C125="","",IFERROR(INDEX('Asset Register'!$D:$D,MATCH($C125,'Asset Register'!$A:$A,0)),""))</f>
        <v/>
      </c>
      <c r="J125" s="17" t="str">
        <f t="shared" si="18"/>
        <v/>
      </c>
      <c r="K125" s="17" t="str">
        <f t="shared" si="19"/>
        <v/>
      </c>
      <c r="L125" s="17" t="str">
        <f t="shared" si="12"/>
        <v/>
      </c>
      <c r="O125" t="str">
        <f>IF($C125="","",IFERROR(INDEX('Asset Register'!$G:$G,MATCH($C125,'Asset Register'!$A:$A,0)),""))</f>
        <v/>
      </c>
      <c r="Q125" t="str">
        <f t="shared" si="13"/>
        <v/>
      </c>
      <c r="R125" t="str">
        <f t="shared" si="14"/>
        <v/>
      </c>
      <c r="S125" s="17" t="str">
        <f t="shared" si="15"/>
        <v/>
      </c>
      <c r="T125" s="18" t="str">
        <f>IF($C125="","",IFERROR(INDEX('Asset Register'!$H:$H,MATCH($C125,'Asset Register'!$A:$A,0)),""))</f>
        <v/>
      </c>
      <c r="U125" s="18" t="str">
        <f t="shared" si="16"/>
        <v/>
      </c>
      <c r="V125" s="17" t="str">
        <f t="shared" si="17"/>
        <v/>
      </c>
    </row>
    <row r="126" spans="1:22" x14ac:dyDescent="0.25">
      <c r="A126" t="str">
        <f t="shared" si="11"/>
        <v/>
      </c>
      <c r="B126" s="16"/>
      <c r="D126" t="str">
        <f>IF($C126="","",IFERROR(INDEX('Asset Register'!$B:$B,MATCH($C126,'Asset Register'!$A:$A,0)),""))</f>
        <v/>
      </c>
      <c r="E126" t="str">
        <f>IF($C126="","",IFERROR(INDEX('Asset Register'!$C:$C,MATCH($C126,'Asset Register'!$A:$A,0)),""))</f>
        <v/>
      </c>
      <c r="F126" t="str">
        <f>IF($C126="","",IFERROR(INDEX('Asset Register'!$D:$D,MATCH($C126,'Asset Register'!$A:$A,0)),""))</f>
        <v/>
      </c>
      <c r="J126" s="17" t="str">
        <f t="shared" si="18"/>
        <v/>
      </c>
      <c r="K126" s="17" t="str">
        <f t="shared" si="19"/>
        <v/>
      </c>
      <c r="L126" s="17" t="str">
        <f t="shared" si="12"/>
        <v/>
      </c>
      <c r="O126" t="str">
        <f>IF($C126="","",IFERROR(INDEX('Asset Register'!$G:$G,MATCH($C126,'Asset Register'!$A:$A,0)),""))</f>
        <v/>
      </c>
      <c r="Q126" t="str">
        <f t="shared" si="13"/>
        <v/>
      </c>
      <c r="R126" t="str">
        <f t="shared" si="14"/>
        <v/>
      </c>
      <c r="S126" s="17" t="str">
        <f t="shared" si="15"/>
        <v/>
      </c>
      <c r="T126" s="18" t="str">
        <f>IF($C126="","",IFERROR(INDEX('Asset Register'!$H:$H,MATCH($C126,'Asset Register'!$A:$A,0)),""))</f>
        <v/>
      </c>
      <c r="U126" s="18" t="str">
        <f t="shared" si="16"/>
        <v/>
      </c>
      <c r="V126" s="17" t="str">
        <f t="shared" si="17"/>
        <v/>
      </c>
    </row>
    <row r="127" spans="1:22" x14ac:dyDescent="0.25">
      <c r="A127" t="str">
        <f t="shared" si="11"/>
        <v/>
      </c>
      <c r="B127" s="16"/>
      <c r="D127" t="str">
        <f>IF($C127="","",IFERROR(INDEX('Asset Register'!$B:$B,MATCH($C127,'Asset Register'!$A:$A,0)),""))</f>
        <v/>
      </c>
      <c r="E127" t="str">
        <f>IF($C127="","",IFERROR(INDEX('Asset Register'!$C:$C,MATCH($C127,'Asset Register'!$A:$A,0)),""))</f>
        <v/>
      </c>
      <c r="F127" t="str">
        <f>IF($C127="","",IFERROR(INDEX('Asset Register'!$D:$D,MATCH($C127,'Asset Register'!$A:$A,0)),""))</f>
        <v/>
      </c>
      <c r="J127" s="17" t="str">
        <f t="shared" si="18"/>
        <v/>
      </c>
      <c r="K127" s="17" t="str">
        <f t="shared" si="19"/>
        <v/>
      </c>
      <c r="L127" s="17" t="str">
        <f t="shared" si="12"/>
        <v/>
      </c>
      <c r="O127" t="str">
        <f>IF($C127="","",IFERROR(INDEX('Asset Register'!$G:$G,MATCH($C127,'Asset Register'!$A:$A,0)),""))</f>
        <v/>
      </c>
      <c r="Q127" t="str">
        <f t="shared" si="13"/>
        <v/>
      </c>
      <c r="R127" t="str">
        <f t="shared" si="14"/>
        <v/>
      </c>
      <c r="S127" s="17" t="str">
        <f t="shared" si="15"/>
        <v/>
      </c>
      <c r="T127" s="18" t="str">
        <f>IF($C127="","",IFERROR(INDEX('Asset Register'!$H:$H,MATCH($C127,'Asset Register'!$A:$A,0)),""))</f>
        <v/>
      </c>
      <c r="U127" s="18" t="str">
        <f t="shared" si="16"/>
        <v/>
      </c>
      <c r="V127" s="17" t="str">
        <f t="shared" si="17"/>
        <v/>
      </c>
    </row>
    <row r="128" spans="1:22" x14ac:dyDescent="0.25">
      <c r="A128" t="str">
        <f t="shared" si="11"/>
        <v/>
      </c>
      <c r="B128" s="16"/>
      <c r="D128" t="str">
        <f>IF($C128="","",IFERROR(INDEX('Asset Register'!$B:$B,MATCH($C128,'Asset Register'!$A:$A,0)),""))</f>
        <v/>
      </c>
      <c r="E128" t="str">
        <f>IF($C128="","",IFERROR(INDEX('Asset Register'!$C:$C,MATCH($C128,'Asset Register'!$A:$A,0)),""))</f>
        <v/>
      </c>
      <c r="F128" t="str">
        <f>IF($C128="","",IFERROR(INDEX('Asset Register'!$D:$D,MATCH($C128,'Asset Register'!$A:$A,0)),""))</f>
        <v/>
      </c>
      <c r="J128" s="17" t="str">
        <f t="shared" si="18"/>
        <v/>
      </c>
      <c r="K128" s="17" t="str">
        <f t="shared" si="19"/>
        <v/>
      </c>
      <c r="L128" s="17" t="str">
        <f t="shared" si="12"/>
        <v/>
      </c>
      <c r="O128" t="str">
        <f>IF($C128="","",IFERROR(INDEX('Asset Register'!$G:$G,MATCH($C128,'Asset Register'!$A:$A,0)),""))</f>
        <v/>
      </c>
      <c r="Q128" t="str">
        <f t="shared" si="13"/>
        <v/>
      </c>
      <c r="R128" t="str">
        <f t="shared" si="14"/>
        <v/>
      </c>
      <c r="S128" s="17" t="str">
        <f t="shared" si="15"/>
        <v/>
      </c>
      <c r="T128" s="18" t="str">
        <f>IF($C128="","",IFERROR(INDEX('Asset Register'!$H:$H,MATCH($C128,'Asset Register'!$A:$A,0)),""))</f>
        <v/>
      </c>
      <c r="U128" s="18" t="str">
        <f t="shared" si="16"/>
        <v/>
      </c>
      <c r="V128" s="17" t="str">
        <f t="shared" si="17"/>
        <v/>
      </c>
    </row>
    <row r="129" spans="1:22" x14ac:dyDescent="0.25">
      <c r="A129" t="str">
        <f t="shared" si="11"/>
        <v/>
      </c>
      <c r="B129" s="16"/>
      <c r="D129" t="str">
        <f>IF($C129="","",IFERROR(INDEX('Asset Register'!$B:$B,MATCH($C129,'Asset Register'!$A:$A,0)),""))</f>
        <v/>
      </c>
      <c r="E129" t="str">
        <f>IF($C129="","",IFERROR(INDEX('Asset Register'!$C:$C,MATCH($C129,'Asset Register'!$A:$A,0)),""))</f>
        <v/>
      </c>
      <c r="F129" t="str">
        <f>IF($C129="","",IFERROR(INDEX('Asset Register'!$D:$D,MATCH($C129,'Asset Register'!$A:$A,0)),""))</f>
        <v/>
      </c>
      <c r="J129" s="17" t="str">
        <f t="shared" si="18"/>
        <v/>
      </c>
      <c r="K129" s="17" t="str">
        <f t="shared" si="19"/>
        <v/>
      </c>
      <c r="L129" s="17" t="str">
        <f t="shared" si="12"/>
        <v/>
      </c>
      <c r="O129" t="str">
        <f>IF($C129="","",IFERROR(INDEX('Asset Register'!$G:$G,MATCH($C129,'Asset Register'!$A:$A,0)),""))</f>
        <v/>
      </c>
      <c r="Q129" t="str">
        <f t="shared" si="13"/>
        <v/>
      </c>
      <c r="R129" t="str">
        <f t="shared" si="14"/>
        <v/>
      </c>
      <c r="S129" s="17" t="str">
        <f t="shared" si="15"/>
        <v/>
      </c>
      <c r="T129" s="18" t="str">
        <f>IF($C129="","",IFERROR(INDEX('Asset Register'!$H:$H,MATCH($C129,'Asset Register'!$A:$A,0)),""))</f>
        <v/>
      </c>
      <c r="U129" s="18" t="str">
        <f t="shared" si="16"/>
        <v/>
      </c>
      <c r="V129" s="17" t="str">
        <f t="shared" si="17"/>
        <v/>
      </c>
    </row>
    <row r="130" spans="1:22" x14ac:dyDescent="0.25">
      <c r="A130" t="str">
        <f t="shared" ref="A130:A193" si="20">IF(B130="","",ROW()-1)</f>
        <v/>
      </c>
      <c r="B130" s="16"/>
      <c r="D130" t="str">
        <f>IF($C130="","",IFERROR(INDEX('Asset Register'!$B:$B,MATCH($C130,'Asset Register'!$A:$A,0)),""))</f>
        <v/>
      </c>
      <c r="E130" t="str">
        <f>IF($C130="","",IFERROR(INDEX('Asset Register'!$C:$C,MATCH($C130,'Asset Register'!$A:$A,0)),""))</f>
        <v/>
      </c>
      <c r="F130" t="str">
        <f>IF($C130="","",IFERROR(INDEX('Asset Register'!$D:$D,MATCH($C130,'Asset Register'!$A:$A,0)),""))</f>
        <v/>
      </c>
      <c r="J130" s="17" t="str">
        <f t="shared" si="18"/>
        <v/>
      </c>
      <c r="K130" s="17" t="str">
        <f t="shared" si="19"/>
        <v/>
      </c>
      <c r="L130" s="17" t="str">
        <f t="shared" ref="L130:L193" si="21">IF($J130="","",1-$J130)</f>
        <v/>
      </c>
      <c r="O130" t="str">
        <f>IF($C130="","",IFERROR(INDEX('Asset Register'!$G:$G,MATCH($C130,'Asset Register'!$A:$A,0)),""))</f>
        <v/>
      </c>
      <c r="Q130" t="str">
        <f t="shared" ref="Q130:Q193" si="22">IF($O130="","",$O130*$G130)</f>
        <v/>
      </c>
      <c r="R130" t="str">
        <f t="shared" ref="R130:R193" si="23">IF(OR($P130="",$Q130=""),"",$P130-$Q130)</f>
        <v/>
      </c>
      <c r="S130" s="17" t="str">
        <f t="shared" ref="S130:S193" si="24">IF(OR($R130="",$Q130="",$Q130=0),"",$R130/$Q130)</f>
        <v/>
      </c>
      <c r="T130" s="18" t="str">
        <f>IF($C130="","",IFERROR(INDEX('Asset Register'!$H:$H,MATCH($C130,'Asset Register'!$A:$A,0)),""))</f>
        <v/>
      </c>
      <c r="U130" s="18" t="str">
        <f t="shared" ref="U130:U193" si="25">IF($T130="","",$G130*$T130)</f>
        <v/>
      </c>
      <c r="V130" s="17" t="str">
        <f t="shared" ref="V130:V193" si="26">IFERROR($H130/$G130,"")</f>
        <v/>
      </c>
    </row>
    <row r="131" spans="1:22" x14ac:dyDescent="0.25">
      <c r="A131" t="str">
        <f t="shared" si="20"/>
        <v/>
      </c>
      <c r="B131" s="16"/>
      <c r="D131" t="str">
        <f>IF($C131="","",IFERROR(INDEX('Asset Register'!$B:$B,MATCH($C131,'Asset Register'!$A:$A,0)),""))</f>
        <v/>
      </c>
      <c r="E131" t="str">
        <f>IF($C131="","",IFERROR(INDEX('Asset Register'!$C:$C,MATCH($C131,'Asset Register'!$A:$A,0)),""))</f>
        <v/>
      </c>
      <c r="F131" t="str">
        <f>IF($C131="","",IFERROR(INDEX('Asset Register'!$D:$D,MATCH($C131,'Asset Register'!$A:$A,0)),""))</f>
        <v/>
      </c>
      <c r="J131" s="17" t="str">
        <f t="shared" si="18"/>
        <v/>
      </c>
      <c r="K131" s="17" t="str">
        <f t="shared" si="19"/>
        <v/>
      </c>
      <c r="L131" s="17" t="str">
        <f t="shared" si="21"/>
        <v/>
      </c>
      <c r="O131" t="str">
        <f>IF($C131="","",IFERROR(INDEX('Asset Register'!$G:$G,MATCH($C131,'Asset Register'!$A:$A,0)),""))</f>
        <v/>
      </c>
      <c r="Q131" t="str">
        <f t="shared" si="22"/>
        <v/>
      </c>
      <c r="R131" t="str">
        <f t="shared" si="23"/>
        <v/>
      </c>
      <c r="S131" s="17" t="str">
        <f t="shared" si="24"/>
        <v/>
      </c>
      <c r="T131" s="18" t="str">
        <f>IF($C131="","",IFERROR(INDEX('Asset Register'!$H:$H,MATCH($C131,'Asset Register'!$A:$A,0)),""))</f>
        <v/>
      </c>
      <c r="U131" s="18" t="str">
        <f t="shared" si="25"/>
        <v/>
      </c>
      <c r="V131" s="17" t="str">
        <f t="shared" si="26"/>
        <v/>
      </c>
    </row>
    <row r="132" spans="1:22" x14ac:dyDescent="0.25">
      <c r="A132" t="str">
        <f t="shared" si="20"/>
        <v/>
      </c>
      <c r="B132" s="16"/>
      <c r="D132" t="str">
        <f>IF($C132="","",IFERROR(INDEX('Asset Register'!$B:$B,MATCH($C132,'Asset Register'!$A:$A,0)),""))</f>
        <v/>
      </c>
      <c r="E132" t="str">
        <f>IF($C132="","",IFERROR(INDEX('Asset Register'!$C:$C,MATCH($C132,'Asset Register'!$A:$A,0)),""))</f>
        <v/>
      </c>
      <c r="F132" t="str">
        <f>IF($C132="","",IFERROR(INDEX('Asset Register'!$D:$D,MATCH($C132,'Asset Register'!$A:$A,0)),""))</f>
        <v/>
      </c>
      <c r="J132" s="17" t="str">
        <f t="shared" si="18"/>
        <v/>
      </c>
      <c r="K132" s="17" t="str">
        <f t="shared" si="19"/>
        <v/>
      </c>
      <c r="L132" s="17" t="str">
        <f t="shared" si="21"/>
        <v/>
      </c>
      <c r="O132" t="str">
        <f>IF($C132="","",IFERROR(INDEX('Asset Register'!$G:$G,MATCH($C132,'Asset Register'!$A:$A,0)),""))</f>
        <v/>
      </c>
      <c r="Q132" t="str">
        <f t="shared" si="22"/>
        <v/>
      </c>
      <c r="R132" t="str">
        <f t="shared" si="23"/>
        <v/>
      </c>
      <c r="S132" s="17" t="str">
        <f t="shared" si="24"/>
        <v/>
      </c>
      <c r="T132" s="18" t="str">
        <f>IF($C132="","",IFERROR(INDEX('Asset Register'!$H:$H,MATCH($C132,'Asset Register'!$A:$A,0)),""))</f>
        <v/>
      </c>
      <c r="U132" s="18" t="str">
        <f t="shared" si="25"/>
        <v/>
      </c>
      <c r="V132" s="17" t="str">
        <f t="shared" si="26"/>
        <v/>
      </c>
    </row>
    <row r="133" spans="1:22" x14ac:dyDescent="0.25">
      <c r="A133" t="str">
        <f t="shared" si="20"/>
        <v/>
      </c>
      <c r="B133" s="16"/>
      <c r="D133" t="str">
        <f>IF($C133="","",IFERROR(INDEX('Asset Register'!$B:$B,MATCH($C133,'Asset Register'!$A:$A,0)),""))</f>
        <v/>
      </c>
      <c r="E133" t="str">
        <f>IF($C133="","",IFERROR(INDEX('Asset Register'!$C:$C,MATCH($C133,'Asset Register'!$A:$A,0)),""))</f>
        <v/>
      </c>
      <c r="F133" t="str">
        <f>IF($C133="","",IFERROR(INDEX('Asset Register'!$D:$D,MATCH($C133,'Asset Register'!$A:$A,0)),""))</f>
        <v/>
      </c>
      <c r="J133" s="17" t="str">
        <f t="shared" si="18"/>
        <v/>
      </c>
      <c r="K133" s="17" t="str">
        <f t="shared" si="19"/>
        <v/>
      </c>
      <c r="L133" s="17" t="str">
        <f t="shared" si="21"/>
        <v/>
      </c>
      <c r="O133" t="str">
        <f>IF($C133="","",IFERROR(INDEX('Asset Register'!$G:$G,MATCH($C133,'Asset Register'!$A:$A,0)),""))</f>
        <v/>
      </c>
      <c r="Q133" t="str">
        <f t="shared" si="22"/>
        <v/>
      </c>
      <c r="R133" t="str">
        <f t="shared" si="23"/>
        <v/>
      </c>
      <c r="S133" s="17" t="str">
        <f t="shared" si="24"/>
        <v/>
      </c>
      <c r="T133" s="18" t="str">
        <f>IF($C133="","",IFERROR(INDEX('Asset Register'!$H:$H,MATCH($C133,'Asset Register'!$A:$A,0)),""))</f>
        <v/>
      </c>
      <c r="U133" s="18" t="str">
        <f t="shared" si="25"/>
        <v/>
      </c>
      <c r="V133" s="17" t="str">
        <f t="shared" si="26"/>
        <v/>
      </c>
    </row>
    <row r="134" spans="1:22" x14ac:dyDescent="0.25">
      <c r="A134" t="str">
        <f t="shared" si="20"/>
        <v/>
      </c>
      <c r="B134" s="16"/>
      <c r="D134" t="str">
        <f>IF($C134="","",IFERROR(INDEX('Asset Register'!$B:$B,MATCH($C134,'Asset Register'!$A:$A,0)),""))</f>
        <v/>
      </c>
      <c r="E134" t="str">
        <f>IF($C134="","",IFERROR(INDEX('Asset Register'!$C:$C,MATCH($C134,'Asset Register'!$A:$A,0)),""))</f>
        <v/>
      </c>
      <c r="F134" t="str">
        <f>IF($C134="","",IFERROR(INDEX('Asset Register'!$D:$D,MATCH($C134,'Asset Register'!$A:$A,0)),""))</f>
        <v/>
      </c>
      <c r="J134" s="17" t="str">
        <f t="shared" si="18"/>
        <v/>
      </c>
      <c r="K134" s="17" t="str">
        <f t="shared" si="19"/>
        <v/>
      </c>
      <c r="L134" s="17" t="str">
        <f t="shared" si="21"/>
        <v/>
      </c>
      <c r="O134" t="str">
        <f>IF($C134="","",IFERROR(INDEX('Asset Register'!$G:$G,MATCH($C134,'Asset Register'!$A:$A,0)),""))</f>
        <v/>
      </c>
      <c r="Q134" t="str">
        <f t="shared" si="22"/>
        <v/>
      </c>
      <c r="R134" t="str">
        <f t="shared" si="23"/>
        <v/>
      </c>
      <c r="S134" s="17" t="str">
        <f t="shared" si="24"/>
        <v/>
      </c>
      <c r="T134" s="18" t="str">
        <f>IF($C134="","",IFERROR(INDEX('Asset Register'!$H:$H,MATCH($C134,'Asset Register'!$A:$A,0)),""))</f>
        <v/>
      </c>
      <c r="U134" s="18" t="str">
        <f t="shared" si="25"/>
        <v/>
      </c>
      <c r="V134" s="17" t="str">
        <f t="shared" si="26"/>
        <v/>
      </c>
    </row>
    <row r="135" spans="1:22" x14ac:dyDescent="0.25">
      <c r="A135" t="str">
        <f t="shared" si="20"/>
        <v/>
      </c>
      <c r="B135" s="16"/>
      <c r="D135" t="str">
        <f>IF($C135="","",IFERROR(INDEX('Asset Register'!$B:$B,MATCH($C135,'Asset Register'!$A:$A,0)),""))</f>
        <v/>
      </c>
      <c r="E135" t="str">
        <f>IF($C135="","",IFERROR(INDEX('Asset Register'!$C:$C,MATCH($C135,'Asset Register'!$A:$A,0)),""))</f>
        <v/>
      </c>
      <c r="F135" t="str">
        <f>IF($C135="","",IFERROR(INDEX('Asset Register'!$D:$D,MATCH($C135,'Asset Register'!$A:$A,0)),""))</f>
        <v/>
      </c>
      <c r="J135" s="17" t="str">
        <f t="shared" si="18"/>
        <v/>
      </c>
      <c r="K135" s="17" t="str">
        <f t="shared" si="19"/>
        <v/>
      </c>
      <c r="L135" s="17" t="str">
        <f t="shared" si="21"/>
        <v/>
      </c>
      <c r="O135" t="str">
        <f>IF($C135="","",IFERROR(INDEX('Asset Register'!$G:$G,MATCH($C135,'Asset Register'!$A:$A,0)),""))</f>
        <v/>
      </c>
      <c r="Q135" t="str">
        <f t="shared" si="22"/>
        <v/>
      </c>
      <c r="R135" t="str">
        <f t="shared" si="23"/>
        <v/>
      </c>
      <c r="S135" s="17" t="str">
        <f t="shared" si="24"/>
        <v/>
      </c>
      <c r="T135" s="18" t="str">
        <f>IF($C135="","",IFERROR(INDEX('Asset Register'!$H:$H,MATCH($C135,'Asset Register'!$A:$A,0)),""))</f>
        <v/>
      </c>
      <c r="U135" s="18" t="str">
        <f t="shared" si="25"/>
        <v/>
      </c>
      <c r="V135" s="17" t="str">
        <f t="shared" si="26"/>
        <v/>
      </c>
    </row>
    <row r="136" spans="1:22" x14ac:dyDescent="0.25">
      <c r="A136" t="str">
        <f t="shared" si="20"/>
        <v/>
      </c>
      <c r="B136" s="16"/>
      <c r="D136" t="str">
        <f>IF($C136="","",IFERROR(INDEX('Asset Register'!$B:$B,MATCH($C136,'Asset Register'!$A:$A,0)),""))</f>
        <v/>
      </c>
      <c r="E136" t="str">
        <f>IF($C136="","",IFERROR(INDEX('Asset Register'!$C:$C,MATCH($C136,'Asset Register'!$A:$A,0)),""))</f>
        <v/>
      </c>
      <c r="F136" t="str">
        <f>IF($C136="","",IFERROR(INDEX('Asset Register'!$D:$D,MATCH($C136,'Asset Register'!$A:$A,0)),""))</f>
        <v/>
      </c>
      <c r="J136" s="17" t="str">
        <f t="shared" si="18"/>
        <v/>
      </c>
      <c r="K136" s="17" t="str">
        <f t="shared" si="19"/>
        <v/>
      </c>
      <c r="L136" s="17" t="str">
        <f t="shared" si="21"/>
        <v/>
      </c>
      <c r="O136" t="str">
        <f>IF($C136="","",IFERROR(INDEX('Asset Register'!$G:$G,MATCH($C136,'Asset Register'!$A:$A,0)),""))</f>
        <v/>
      </c>
      <c r="Q136" t="str">
        <f t="shared" si="22"/>
        <v/>
      </c>
      <c r="R136" t="str">
        <f t="shared" si="23"/>
        <v/>
      </c>
      <c r="S136" s="17" t="str">
        <f t="shared" si="24"/>
        <v/>
      </c>
      <c r="T136" s="18" t="str">
        <f>IF($C136="","",IFERROR(INDEX('Asset Register'!$H:$H,MATCH($C136,'Asset Register'!$A:$A,0)),""))</f>
        <v/>
      </c>
      <c r="U136" s="18" t="str">
        <f t="shared" si="25"/>
        <v/>
      </c>
      <c r="V136" s="17" t="str">
        <f t="shared" si="26"/>
        <v/>
      </c>
    </row>
    <row r="137" spans="1:22" x14ac:dyDescent="0.25">
      <c r="A137" t="str">
        <f t="shared" si="20"/>
        <v/>
      </c>
      <c r="B137" s="16"/>
      <c r="D137" t="str">
        <f>IF($C137="","",IFERROR(INDEX('Asset Register'!$B:$B,MATCH($C137,'Asset Register'!$A:$A,0)),""))</f>
        <v/>
      </c>
      <c r="E137" t="str">
        <f>IF($C137="","",IFERROR(INDEX('Asset Register'!$C:$C,MATCH($C137,'Asset Register'!$A:$A,0)),""))</f>
        <v/>
      </c>
      <c r="F137" t="str">
        <f>IF($C137="","",IFERROR(INDEX('Asset Register'!$D:$D,MATCH($C137,'Asset Register'!$A:$A,0)),""))</f>
        <v/>
      </c>
      <c r="J137" s="17" t="str">
        <f t="shared" si="18"/>
        <v/>
      </c>
      <c r="K137" s="17" t="str">
        <f t="shared" si="19"/>
        <v/>
      </c>
      <c r="L137" s="17" t="str">
        <f t="shared" si="21"/>
        <v/>
      </c>
      <c r="O137" t="str">
        <f>IF($C137="","",IFERROR(INDEX('Asset Register'!$G:$G,MATCH($C137,'Asset Register'!$A:$A,0)),""))</f>
        <v/>
      </c>
      <c r="Q137" t="str">
        <f t="shared" si="22"/>
        <v/>
      </c>
      <c r="R137" t="str">
        <f t="shared" si="23"/>
        <v/>
      </c>
      <c r="S137" s="17" t="str">
        <f t="shared" si="24"/>
        <v/>
      </c>
      <c r="T137" s="18" t="str">
        <f>IF($C137="","",IFERROR(INDEX('Asset Register'!$H:$H,MATCH($C137,'Asset Register'!$A:$A,0)),""))</f>
        <v/>
      </c>
      <c r="U137" s="18" t="str">
        <f t="shared" si="25"/>
        <v/>
      </c>
      <c r="V137" s="17" t="str">
        <f t="shared" si="26"/>
        <v/>
      </c>
    </row>
    <row r="138" spans="1:22" x14ac:dyDescent="0.25">
      <c r="A138" t="str">
        <f t="shared" si="20"/>
        <v/>
      </c>
      <c r="B138" s="16"/>
      <c r="D138" t="str">
        <f>IF($C138="","",IFERROR(INDEX('Asset Register'!$B:$B,MATCH($C138,'Asset Register'!$A:$A,0)),""))</f>
        <v/>
      </c>
      <c r="E138" t="str">
        <f>IF($C138="","",IFERROR(INDEX('Asset Register'!$C:$C,MATCH($C138,'Asset Register'!$A:$A,0)),""))</f>
        <v/>
      </c>
      <c r="F138" t="str">
        <f>IF($C138="","",IFERROR(INDEX('Asset Register'!$D:$D,MATCH($C138,'Asset Register'!$A:$A,0)),""))</f>
        <v/>
      </c>
      <c r="J138" s="17" t="str">
        <f t="shared" si="18"/>
        <v/>
      </c>
      <c r="K138" s="17" t="str">
        <f t="shared" si="19"/>
        <v/>
      </c>
      <c r="L138" s="17" t="str">
        <f t="shared" si="21"/>
        <v/>
      </c>
      <c r="O138" t="str">
        <f>IF($C138="","",IFERROR(INDEX('Asset Register'!$G:$G,MATCH($C138,'Asset Register'!$A:$A,0)),""))</f>
        <v/>
      </c>
      <c r="Q138" t="str">
        <f t="shared" si="22"/>
        <v/>
      </c>
      <c r="R138" t="str">
        <f t="shared" si="23"/>
        <v/>
      </c>
      <c r="S138" s="17" t="str">
        <f t="shared" si="24"/>
        <v/>
      </c>
      <c r="T138" s="18" t="str">
        <f>IF($C138="","",IFERROR(INDEX('Asset Register'!$H:$H,MATCH($C138,'Asset Register'!$A:$A,0)),""))</f>
        <v/>
      </c>
      <c r="U138" s="18" t="str">
        <f t="shared" si="25"/>
        <v/>
      </c>
      <c r="V138" s="17" t="str">
        <f t="shared" si="26"/>
        <v/>
      </c>
    </row>
    <row r="139" spans="1:22" x14ac:dyDescent="0.25">
      <c r="A139" t="str">
        <f t="shared" si="20"/>
        <v/>
      </c>
      <c r="B139" s="16"/>
      <c r="D139" t="str">
        <f>IF($C139="","",IFERROR(INDEX('Asset Register'!$B:$B,MATCH($C139,'Asset Register'!$A:$A,0)),""))</f>
        <v/>
      </c>
      <c r="E139" t="str">
        <f>IF($C139="","",IFERROR(INDEX('Asset Register'!$C:$C,MATCH($C139,'Asset Register'!$A:$A,0)),""))</f>
        <v/>
      </c>
      <c r="F139" t="str">
        <f>IF($C139="","",IFERROR(INDEX('Asset Register'!$D:$D,MATCH($C139,'Asset Register'!$A:$A,0)),""))</f>
        <v/>
      </c>
      <c r="J139" s="17" t="str">
        <f t="shared" si="18"/>
        <v/>
      </c>
      <c r="K139" s="17" t="str">
        <f t="shared" si="19"/>
        <v/>
      </c>
      <c r="L139" s="17" t="str">
        <f t="shared" si="21"/>
        <v/>
      </c>
      <c r="O139" t="str">
        <f>IF($C139="","",IFERROR(INDEX('Asset Register'!$G:$G,MATCH($C139,'Asset Register'!$A:$A,0)),""))</f>
        <v/>
      </c>
      <c r="Q139" t="str">
        <f t="shared" si="22"/>
        <v/>
      </c>
      <c r="R139" t="str">
        <f t="shared" si="23"/>
        <v/>
      </c>
      <c r="S139" s="17" t="str">
        <f t="shared" si="24"/>
        <v/>
      </c>
      <c r="T139" s="18" t="str">
        <f>IF($C139="","",IFERROR(INDEX('Asset Register'!$H:$H,MATCH($C139,'Asset Register'!$A:$A,0)),""))</f>
        <v/>
      </c>
      <c r="U139" s="18" t="str">
        <f t="shared" si="25"/>
        <v/>
      </c>
      <c r="V139" s="17" t="str">
        <f t="shared" si="26"/>
        <v/>
      </c>
    </row>
    <row r="140" spans="1:22" x14ac:dyDescent="0.25">
      <c r="A140" t="str">
        <f t="shared" si="20"/>
        <v/>
      </c>
      <c r="B140" s="16"/>
      <c r="D140" t="str">
        <f>IF($C140="","",IFERROR(INDEX('Asset Register'!$B:$B,MATCH($C140,'Asset Register'!$A:$A,0)),""))</f>
        <v/>
      </c>
      <c r="E140" t="str">
        <f>IF($C140="","",IFERROR(INDEX('Asset Register'!$C:$C,MATCH($C140,'Asset Register'!$A:$A,0)),""))</f>
        <v/>
      </c>
      <c r="F140" t="str">
        <f>IF($C140="","",IFERROR(INDEX('Asset Register'!$D:$D,MATCH($C140,'Asset Register'!$A:$A,0)),""))</f>
        <v/>
      </c>
      <c r="J140" s="17" t="str">
        <f t="shared" si="18"/>
        <v/>
      </c>
      <c r="K140" s="17" t="str">
        <f t="shared" si="19"/>
        <v/>
      </c>
      <c r="L140" s="17" t="str">
        <f t="shared" si="21"/>
        <v/>
      </c>
      <c r="O140" t="str">
        <f>IF($C140="","",IFERROR(INDEX('Asset Register'!$G:$G,MATCH($C140,'Asset Register'!$A:$A,0)),""))</f>
        <v/>
      </c>
      <c r="Q140" t="str">
        <f t="shared" si="22"/>
        <v/>
      </c>
      <c r="R140" t="str">
        <f t="shared" si="23"/>
        <v/>
      </c>
      <c r="S140" s="17" t="str">
        <f t="shared" si="24"/>
        <v/>
      </c>
      <c r="T140" s="18" t="str">
        <f>IF($C140="","",IFERROR(INDEX('Asset Register'!$H:$H,MATCH($C140,'Asset Register'!$A:$A,0)),""))</f>
        <v/>
      </c>
      <c r="U140" s="18" t="str">
        <f t="shared" si="25"/>
        <v/>
      </c>
      <c r="V140" s="17" t="str">
        <f t="shared" si="26"/>
        <v/>
      </c>
    </row>
    <row r="141" spans="1:22" x14ac:dyDescent="0.25">
      <c r="A141" t="str">
        <f t="shared" si="20"/>
        <v/>
      </c>
      <c r="B141" s="16"/>
      <c r="D141" t="str">
        <f>IF($C141="","",IFERROR(INDEX('Asset Register'!$B:$B,MATCH($C141,'Asset Register'!$A:$A,0)),""))</f>
        <v/>
      </c>
      <c r="E141" t="str">
        <f>IF($C141="","",IFERROR(INDEX('Asset Register'!$C:$C,MATCH($C141,'Asset Register'!$A:$A,0)),""))</f>
        <v/>
      </c>
      <c r="F141" t="str">
        <f>IF($C141="","",IFERROR(INDEX('Asset Register'!$D:$D,MATCH($C141,'Asset Register'!$A:$A,0)),""))</f>
        <v/>
      </c>
      <c r="J141" s="17" t="str">
        <f t="shared" si="18"/>
        <v/>
      </c>
      <c r="K141" s="17" t="str">
        <f t="shared" si="19"/>
        <v/>
      </c>
      <c r="L141" s="17" t="str">
        <f t="shared" si="21"/>
        <v/>
      </c>
      <c r="O141" t="str">
        <f>IF($C141="","",IFERROR(INDEX('Asset Register'!$G:$G,MATCH($C141,'Asset Register'!$A:$A,0)),""))</f>
        <v/>
      </c>
      <c r="Q141" t="str">
        <f t="shared" si="22"/>
        <v/>
      </c>
      <c r="R141" t="str">
        <f t="shared" si="23"/>
        <v/>
      </c>
      <c r="S141" s="17" t="str">
        <f t="shared" si="24"/>
        <v/>
      </c>
      <c r="T141" s="18" t="str">
        <f>IF($C141="","",IFERROR(INDEX('Asset Register'!$H:$H,MATCH($C141,'Asset Register'!$A:$A,0)),""))</f>
        <v/>
      </c>
      <c r="U141" s="18" t="str">
        <f t="shared" si="25"/>
        <v/>
      </c>
      <c r="V141" s="17" t="str">
        <f t="shared" si="26"/>
        <v/>
      </c>
    </row>
    <row r="142" spans="1:22" x14ac:dyDescent="0.25">
      <c r="A142" t="str">
        <f t="shared" si="20"/>
        <v/>
      </c>
      <c r="B142" s="16"/>
      <c r="D142" t="str">
        <f>IF($C142="","",IFERROR(INDEX('Asset Register'!$B:$B,MATCH($C142,'Asset Register'!$A:$A,0)),""))</f>
        <v/>
      </c>
      <c r="E142" t="str">
        <f>IF($C142="","",IFERROR(INDEX('Asset Register'!$C:$C,MATCH($C142,'Asset Register'!$A:$A,0)),""))</f>
        <v/>
      </c>
      <c r="F142" t="str">
        <f>IF($C142="","",IFERROR(INDEX('Asset Register'!$D:$D,MATCH($C142,'Asset Register'!$A:$A,0)),""))</f>
        <v/>
      </c>
      <c r="J142" s="17" t="str">
        <f t="shared" si="18"/>
        <v/>
      </c>
      <c r="K142" s="17" t="str">
        <f t="shared" si="19"/>
        <v/>
      </c>
      <c r="L142" s="17" t="str">
        <f t="shared" si="21"/>
        <v/>
      </c>
      <c r="O142" t="str">
        <f>IF($C142="","",IFERROR(INDEX('Asset Register'!$G:$G,MATCH($C142,'Asset Register'!$A:$A,0)),""))</f>
        <v/>
      </c>
      <c r="Q142" t="str">
        <f t="shared" si="22"/>
        <v/>
      </c>
      <c r="R142" t="str">
        <f t="shared" si="23"/>
        <v/>
      </c>
      <c r="S142" s="17" t="str">
        <f t="shared" si="24"/>
        <v/>
      </c>
      <c r="T142" s="18" t="str">
        <f>IF($C142="","",IFERROR(INDEX('Asset Register'!$H:$H,MATCH($C142,'Asset Register'!$A:$A,0)),""))</f>
        <v/>
      </c>
      <c r="U142" s="18" t="str">
        <f t="shared" si="25"/>
        <v/>
      </c>
      <c r="V142" s="17" t="str">
        <f t="shared" si="26"/>
        <v/>
      </c>
    </row>
    <row r="143" spans="1:22" x14ac:dyDescent="0.25">
      <c r="A143" t="str">
        <f t="shared" si="20"/>
        <v/>
      </c>
      <c r="B143" s="16"/>
      <c r="D143" t="str">
        <f>IF($C143="","",IFERROR(INDEX('Asset Register'!$B:$B,MATCH($C143,'Asset Register'!$A:$A,0)),""))</f>
        <v/>
      </c>
      <c r="E143" t="str">
        <f>IF($C143="","",IFERROR(INDEX('Asset Register'!$C:$C,MATCH($C143,'Asset Register'!$A:$A,0)),""))</f>
        <v/>
      </c>
      <c r="F143" t="str">
        <f>IF($C143="","",IFERROR(INDEX('Asset Register'!$D:$D,MATCH($C143,'Asset Register'!$A:$A,0)),""))</f>
        <v/>
      </c>
      <c r="J143" s="17" t="str">
        <f t="shared" si="18"/>
        <v/>
      </c>
      <c r="K143" s="17" t="str">
        <f t="shared" si="19"/>
        <v/>
      </c>
      <c r="L143" s="17" t="str">
        <f t="shared" si="21"/>
        <v/>
      </c>
      <c r="O143" t="str">
        <f>IF($C143="","",IFERROR(INDEX('Asset Register'!$G:$G,MATCH($C143,'Asset Register'!$A:$A,0)),""))</f>
        <v/>
      </c>
      <c r="Q143" t="str">
        <f t="shared" si="22"/>
        <v/>
      </c>
      <c r="R143" t="str">
        <f t="shared" si="23"/>
        <v/>
      </c>
      <c r="S143" s="17" t="str">
        <f t="shared" si="24"/>
        <v/>
      </c>
      <c r="T143" s="18" t="str">
        <f>IF($C143="","",IFERROR(INDEX('Asset Register'!$H:$H,MATCH($C143,'Asset Register'!$A:$A,0)),""))</f>
        <v/>
      </c>
      <c r="U143" s="18" t="str">
        <f t="shared" si="25"/>
        <v/>
      </c>
      <c r="V143" s="17" t="str">
        <f t="shared" si="26"/>
        <v/>
      </c>
    </row>
    <row r="144" spans="1:22" x14ac:dyDescent="0.25">
      <c r="A144" t="str">
        <f t="shared" si="20"/>
        <v/>
      </c>
      <c r="B144" s="16"/>
      <c r="D144" t="str">
        <f>IF($C144="","",IFERROR(INDEX('Asset Register'!$B:$B,MATCH($C144,'Asset Register'!$A:$A,0)),""))</f>
        <v/>
      </c>
      <c r="E144" t="str">
        <f>IF($C144="","",IFERROR(INDEX('Asset Register'!$C:$C,MATCH($C144,'Asset Register'!$A:$A,0)),""))</f>
        <v/>
      </c>
      <c r="F144" t="str">
        <f>IF($C144="","",IFERROR(INDEX('Asset Register'!$D:$D,MATCH($C144,'Asset Register'!$A:$A,0)),""))</f>
        <v/>
      </c>
      <c r="J144" s="17" t="str">
        <f t="shared" si="18"/>
        <v/>
      </c>
      <c r="K144" s="17" t="str">
        <f t="shared" si="19"/>
        <v/>
      </c>
      <c r="L144" s="17" t="str">
        <f t="shared" si="21"/>
        <v/>
      </c>
      <c r="O144" t="str">
        <f>IF($C144="","",IFERROR(INDEX('Asset Register'!$G:$G,MATCH($C144,'Asset Register'!$A:$A,0)),""))</f>
        <v/>
      </c>
      <c r="Q144" t="str">
        <f t="shared" si="22"/>
        <v/>
      </c>
      <c r="R144" t="str">
        <f t="shared" si="23"/>
        <v/>
      </c>
      <c r="S144" s="17" t="str">
        <f t="shared" si="24"/>
        <v/>
      </c>
      <c r="T144" s="18" t="str">
        <f>IF($C144="","",IFERROR(INDEX('Asset Register'!$H:$H,MATCH($C144,'Asset Register'!$A:$A,0)),""))</f>
        <v/>
      </c>
      <c r="U144" s="18" t="str">
        <f t="shared" si="25"/>
        <v/>
      </c>
      <c r="V144" s="17" t="str">
        <f t="shared" si="26"/>
        <v/>
      </c>
    </row>
    <row r="145" spans="1:22" x14ac:dyDescent="0.25">
      <c r="A145" t="str">
        <f t="shared" si="20"/>
        <v/>
      </c>
      <c r="B145" s="16"/>
      <c r="D145" t="str">
        <f>IF($C145="","",IFERROR(INDEX('Asset Register'!$B:$B,MATCH($C145,'Asset Register'!$A:$A,0)),""))</f>
        <v/>
      </c>
      <c r="E145" t="str">
        <f>IF($C145="","",IFERROR(INDEX('Asset Register'!$C:$C,MATCH($C145,'Asset Register'!$A:$A,0)),""))</f>
        <v/>
      </c>
      <c r="F145" t="str">
        <f>IF($C145="","",IFERROR(INDEX('Asset Register'!$D:$D,MATCH($C145,'Asset Register'!$A:$A,0)),""))</f>
        <v/>
      </c>
      <c r="J145" s="17" t="str">
        <f t="shared" ref="J145:J208" si="27">IF(OR($G145="",$G145+$I145=0),"",$G145/($G145+$I145))</f>
        <v/>
      </c>
      <c r="K145" s="17" t="str">
        <f t="shared" ref="K145:K208" si="28">IF(OR($G145="",$G145+$H145+$I145=0),"",$G145/($G145+$H145+$I145))</f>
        <v/>
      </c>
      <c r="L145" s="17" t="str">
        <f t="shared" si="21"/>
        <v/>
      </c>
      <c r="O145" t="str">
        <f>IF($C145="","",IFERROR(INDEX('Asset Register'!$G:$G,MATCH($C145,'Asset Register'!$A:$A,0)),""))</f>
        <v/>
      </c>
      <c r="Q145" t="str">
        <f t="shared" si="22"/>
        <v/>
      </c>
      <c r="R145" t="str">
        <f t="shared" si="23"/>
        <v/>
      </c>
      <c r="S145" s="17" t="str">
        <f t="shared" si="24"/>
        <v/>
      </c>
      <c r="T145" s="18" t="str">
        <f>IF($C145="","",IFERROR(INDEX('Asset Register'!$H:$H,MATCH($C145,'Asset Register'!$A:$A,0)),""))</f>
        <v/>
      </c>
      <c r="U145" s="18" t="str">
        <f t="shared" si="25"/>
        <v/>
      </c>
      <c r="V145" s="17" t="str">
        <f t="shared" si="26"/>
        <v/>
      </c>
    </row>
    <row r="146" spans="1:22" x14ac:dyDescent="0.25">
      <c r="A146" t="str">
        <f t="shared" si="20"/>
        <v/>
      </c>
      <c r="B146" s="16"/>
      <c r="D146" t="str">
        <f>IF($C146="","",IFERROR(INDEX('Asset Register'!$B:$B,MATCH($C146,'Asset Register'!$A:$A,0)),""))</f>
        <v/>
      </c>
      <c r="E146" t="str">
        <f>IF($C146="","",IFERROR(INDEX('Asset Register'!$C:$C,MATCH($C146,'Asset Register'!$A:$A,0)),""))</f>
        <v/>
      </c>
      <c r="F146" t="str">
        <f>IF($C146="","",IFERROR(INDEX('Asset Register'!$D:$D,MATCH($C146,'Asset Register'!$A:$A,0)),""))</f>
        <v/>
      </c>
      <c r="J146" s="17" t="str">
        <f t="shared" si="27"/>
        <v/>
      </c>
      <c r="K146" s="17" t="str">
        <f t="shared" si="28"/>
        <v/>
      </c>
      <c r="L146" s="17" t="str">
        <f t="shared" si="21"/>
        <v/>
      </c>
      <c r="O146" t="str">
        <f>IF($C146="","",IFERROR(INDEX('Asset Register'!$G:$G,MATCH($C146,'Asset Register'!$A:$A,0)),""))</f>
        <v/>
      </c>
      <c r="Q146" t="str">
        <f t="shared" si="22"/>
        <v/>
      </c>
      <c r="R146" t="str">
        <f t="shared" si="23"/>
        <v/>
      </c>
      <c r="S146" s="17" t="str">
        <f t="shared" si="24"/>
        <v/>
      </c>
      <c r="T146" s="18" t="str">
        <f>IF($C146="","",IFERROR(INDEX('Asset Register'!$H:$H,MATCH($C146,'Asset Register'!$A:$A,0)),""))</f>
        <v/>
      </c>
      <c r="U146" s="18" t="str">
        <f t="shared" si="25"/>
        <v/>
      </c>
      <c r="V146" s="17" t="str">
        <f t="shared" si="26"/>
        <v/>
      </c>
    </row>
    <row r="147" spans="1:22" x14ac:dyDescent="0.25">
      <c r="A147" t="str">
        <f t="shared" si="20"/>
        <v/>
      </c>
      <c r="B147" s="16"/>
      <c r="D147" t="str">
        <f>IF($C147="","",IFERROR(INDEX('Asset Register'!$B:$B,MATCH($C147,'Asset Register'!$A:$A,0)),""))</f>
        <v/>
      </c>
      <c r="E147" t="str">
        <f>IF($C147="","",IFERROR(INDEX('Asset Register'!$C:$C,MATCH($C147,'Asset Register'!$A:$A,0)),""))</f>
        <v/>
      </c>
      <c r="F147" t="str">
        <f>IF($C147="","",IFERROR(INDEX('Asset Register'!$D:$D,MATCH($C147,'Asset Register'!$A:$A,0)),""))</f>
        <v/>
      </c>
      <c r="J147" s="17" t="str">
        <f t="shared" si="27"/>
        <v/>
      </c>
      <c r="K147" s="17" t="str">
        <f t="shared" si="28"/>
        <v/>
      </c>
      <c r="L147" s="17" t="str">
        <f t="shared" si="21"/>
        <v/>
      </c>
      <c r="O147" t="str">
        <f>IF($C147="","",IFERROR(INDEX('Asset Register'!$G:$G,MATCH($C147,'Asset Register'!$A:$A,0)),""))</f>
        <v/>
      </c>
      <c r="Q147" t="str">
        <f t="shared" si="22"/>
        <v/>
      </c>
      <c r="R147" t="str">
        <f t="shared" si="23"/>
        <v/>
      </c>
      <c r="S147" s="17" t="str">
        <f t="shared" si="24"/>
        <v/>
      </c>
      <c r="T147" s="18" t="str">
        <f>IF($C147="","",IFERROR(INDEX('Asset Register'!$H:$H,MATCH($C147,'Asset Register'!$A:$A,0)),""))</f>
        <v/>
      </c>
      <c r="U147" s="18" t="str">
        <f t="shared" si="25"/>
        <v/>
      </c>
      <c r="V147" s="17" t="str">
        <f t="shared" si="26"/>
        <v/>
      </c>
    </row>
    <row r="148" spans="1:22" x14ac:dyDescent="0.25">
      <c r="A148" t="str">
        <f t="shared" si="20"/>
        <v/>
      </c>
      <c r="B148" s="16"/>
      <c r="D148" t="str">
        <f>IF($C148="","",IFERROR(INDEX('Asset Register'!$B:$B,MATCH($C148,'Asset Register'!$A:$A,0)),""))</f>
        <v/>
      </c>
      <c r="E148" t="str">
        <f>IF($C148="","",IFERROR(INDEX('Asset Register'!$C:$C,MATCH($C148,'Asset Register'!$A:$A,0)),""))</f>
        <v/>
      </c>
      <c r="F148" t="str">
        <f>IF($C148="","",IFERROR(INDEX('Asset Register'!$D:$D,MATCH($C148,'Asset Register'!$A:$A,0)),""))</f>
        <v/>
      </c>
      <c r="J148" s="17" t="str">
        <f t="shared" si="27"/>
        <v/>
      </c>
      <c r="K148" s="17" t="str">
        <f t="shared" si="28"/>
        <v/>
      </c>
      <c r="L148" s="17" t="str">
        <f t="shared" si="21"/>
        <v/>
      </c>
      <c r="O148" t="str">
        <f>IF($C148="","",IFERROR(INDEX('Asset Register'!$G:$G,MATCH($C148,'Asset Register'!$A:$A,0)),""))</f>
        <v/>
      </c>
      <c r="Q148" t="str">
        <f t="shared" si="22"/>
        <v/>
      </c>
      <c r="R148" t="str">
        <f t="shared" si="23"/>
        <v/>
      </c>
      <c r="S148" s="17" t="str">
        <f t="shared" si="24"/>
        <v/>
      </c>
      <c r="T148" s="18" t="str">
        <f>IF($C148="","",IFERROR(INDEX('Asset Register'!$H:$H,MATCH($C148,'Asset Register'!$A:$A,0)),""))</f>
        <v/>
      </c>
      <c r="U148" s="18" t="str">
        <f t="shared" si="25"/>
        <v/>
      </c>
      <c r="V148" s="17" t="str">
        <f t="shared" si="26"/>
        <v/>
      </c>
    </row>
    <row r="149" spans="1:22" x14ac:dyDescent="0.25">
      <c r="A149" t="str">
        <f t="shared" si="20"/>
        <v/>
      </c>
      <c r="B149" s="16"/>
      <c r="D149" t="str">
        <f>IF($C149="","",IFERROR(INDEX('Asset Register'!$B:$B,MATCH($C149,'Asset Register'!$A:$A,0)),""))</f>
        <v/>
      </c>
      <c r="E149" t="str">
        <f>IF($C149="","",IFERROR(INDEX('Asset Register'!$C:$C,MATCH($C149,'Asset Register'!$A:$A,0)),""))</f>
        <v/>
      </c>
      <c r="F149" t="str">
        <f>IF($C149="","",IFERROR(INDEX('Asset Register'!$D:$D,MATCH($C149,'Asset Register'!$A:$A,0)),""))</f>
        <v/>
      </c>
      <c r="J149" s="17" t="str">
        <f t="shared" si="27"/>
        <v/>
      </c>
      <c r="K149" s="17" t="str">
        <f t="shared" si="28"/>
        <v/>
      </c>
      <c r="L149" s="17" t="str">
        <f t="shared" si="21"/>
        <v/>
      </c>
      <c r="O149" t="str">
        <f>IF($C149="","",IFERROR(INDEX('Asset Register'!$G:$G,MATCH($C149,'Asset Register'!$A:$A,0)),""))</f>
        <v/>
      </c>
      <c r="Q149" t="str">
        <f t="shared" si="22"/>
        <v/>
      </c>
      <c r="R149" t="str">
        <f t="shared" si="23"/>
        <v/>
      </c>
      <c r="S149" s="17" t="str">
        <f t="shared" si="24"/>
        <v/>
      </c>
      <c r="T149" s="18" t="str">
        <f>IF($C149="","",IFERROR(INDEX('Asset Register'!$H:$H,MATCH($C149,'Asset Register'!$A:$A,0)),""))</f>
        <v/>
      </c>
      <c r="U149" s="18" t="str">
        <f t="shared" si="25"/>
        <v/>
      </c>
      <c r="V149" s="17" t="str">
        <f t="shared" si="26"/>
        <v/>
      </c>
    </row>
    <row r="150" spans="1:22" x14ac:dyDescent="0.25">
      <c r="A150" t="str">
        <f t="shared" si="20"/>
        <v/>
      </c>
      <c r="B150" s="16"/>
      <c r="D150" t="str">
        <f>IF($C150="","",IFERROR(INDEX('Asset Register'!$B:$B,MATCH($C150,'Asset Register'!$A:$A,0)),""))</f>
        <v/>
      </c>
      <c r="E150" t="str">
        <f>IF($C150="","",IFERROR(INDEX('Asset Register'!$C:$C,MATCH($C150,'Asset Register'!$A:$A,0)),""))</f>
        <v/>
      </c>
      <c r="F150" t="str">
        <f>IF($C150="","",IFERROR(INDEX('Asset Register'!$D:$D,MATCH($C150,'Asset Register'!$A:$A,0)),""))</f>
        <v/>
      </c>
      <c r="J150" s="17" t="str">
        <f t="shared" si="27"/>
        <v/>
      </c>
      <c r="K150" s="17" t="str">
        <f t="shared" si="28"/>
        <v/>
      </c>
      <c r="L150" s="17" t="str">
        <f t="shared" si="21"/>
        <v/>
      </c>
      <c r="O150" t="str">
        <f>IF($C150="","",IFERROR(INDEX('Asset Register'!$G:$G,MATCH($C150,'Asset Register'!$A:$A,0)),""))</f>
        <v/>
      </c>
      <c r="Q150" t="str">
        <f t="shared" si="22"/>
        <v/>
      </c>
      <c r="R150" t="str">
        <f t="shared" si="23"/>
        <v/>
      </c>
      <c r="S150" s="17" t="str">
        <f t="shared" si="24"/>
        <v/>
      </c>
      <c r="T150" s="18" t="str">
        <f>IF($C150="","",IFERROR(INDEX('Asset Register'!$H:$H,MATCH($C150,'Asset Register'!$A:$A,0)),""))</f>
        <v/>
      </c>
      <c r="U150" s="18" t="str">
        <f t="shared" si="25"/>
        <v/>
      </c>
      <c r="V150" s="17" t="str">
        <f t="shared" si="26"/>
        <v/>
      </c>
    </row>
    <row r="151" spans="1:22" x14ac:dyDescent="0.25">
      <c r="A151" t="str">
        <f t="shared" si="20"/>
        <v/>
      </c>
      <c r="B151" s="16"/>
      <c r="D151" t="str">
        <f>IF($C151="","",IFERROR(INDEX('Asset Register'!$B:$B,MATCH($C151,'Asset Register'!$A:$A,0)),""))</f>
        <v/>
      </c>
      <c r="E151" t="str">
        <f>IF($C151="","",IFERROR(INDEX('Asset Register'!$C:$C,MATCH($C151,'Asset Register'!$A:$A,0)),""))</f>
        <v/>
      </c>
      <c r="F151" t="str">
        <f>IF($C151="","",IFERROR(INDEX('Asset Register'!$D:$D,MATCH($C151,'Asset Register'!$A:$A,0)),""))</f>
        <v/>
      </c>
      <c r="J151" s="17" t="str">
        <f t="shared" si="27"/>
        <v/>
      </c>
      <c r="K151" s="17" t="str">
        <f t="shared" si="28"/>
        <v/>
      </c>
      <c r="L151" s="17" t="str">
        <f t="shared" si="21"/>
        <v/>
      </c>
      <c r="O151" t="str">
        <f>IF($C151="","",IFERROR(INDEX('Asset Register'!$G:$G,MATCH($C151,'Asset Register'!$A:$A,0)),""))</f>
        <v/>
      </c>
      <c r="Q151" t="str">
        <f t="shared" si="22"/>
        <v/>
      </c>
      <c r="R151" t="str">
        <f t="shared" si="23"/>
        <v/>
      </c>
      <c r="S151" s="17" t="str">
        <f t="shared" si="24"/>
        <v/>
      </c>
      <c r="T151" s="18" t="str">
        <f>IF($C151="","",IFERROR(INDEX('Asset Register'!$H:$H,MATCH($C151,'Asset Register'!$A:$A,0)),""))</f>
        <v/>
      </c>
      <c r="U151" s="18" t="str">
        <f t="shared" si="25"/>
        <v/>
      </c>
      <c r="V151" s="17" t="str">
        <f t="shared" si="26"/>
        <v/>
      </c>
    </row>
    <row r="152" spans="1:22" x14ac:dyDescent="0.25">
      <c r="A152" t="str">
        <f t="shared" si="20"/>
        <v/>
      </c>
      <c r="B152" s="16"/>
      <c r="D152" t="str">
        <f>IF($C152="","",IFERROR(INDEX('Asset Register'!$B:$B,MATCH($C152,'Asset Register'!$A:$A,0)),""))</f>
        <v/>
      </c>
      <c r="E152" t="str">
        <f>IF($C152="","",IFERROR(INDEX('Asset Register'!$C:$C,MATCH($C152,'Asset Register'!$A:$A,0)),""))</f>
        <v/>
      </c>
      <c r="F152" t="str">
        <f>IF($C152="","",IFERROR(INDEX('Asset Register'!$D:$D,MATCH($C152,'Asset Register'!$A:$A,0)),""))</f>
        <v/>
      </c>
      <c r="J152" s="17" t="str">
        <f t="shared" si="27"/>
        <v/>
      </c>
      <c r="K152" s="17" t="str">
        <f t="shared" si="28"/>
        <v/>
      </c>
      <c r="L152" s="17" t="str">
        <f t="shared" si="21"/>
        <v/>
      </c>
      <c r="O152" t="str">
        <f>IF($C152="","",IFERROR(INDEX('Asset Register'!$G:$G,MATCH($C152,'Asset Register'!$A:$A,0)),""))</f>
        <v/>
      </c>
      <c r="Q152" t="str">
        <f t="shared" si="22"/>
        <v/>
      </c>
      <c r="R152" t="str">
        <f t="shared" si="23"/>
        <v/>
      </c>
      <c r="S152" s="17" t="str">
        <f t="shared" si="24"/>
        <v/>
      </c>
      <c r="T152" s="18" t="str">
        <f>IF($C152="","",IFERROR(INDEX('Asset Register'!$H:$H,MATCH($C152,'Asset Register'!$A:$A,0)),""))</f>
        <v/>
      </c>
      <c r="U152" s="18" t="str">
        <f t="shared" si="25"/>
        <v/>
      </c>
      <c r="V152" s="17" t="str">
        <f t="shared" si="26"/>
        <v/>
      </c>
    </row>
    <row r="153" spans="1:22" x14ac:dyDescent="0.25">
      <c r="A153" t="str">
        <f t="shared" si="20"/>
        <v/>
      </c>
      <c r="B153" s="16"/>
      <c r="D153" t="str">
        <f>IF($C153="","",IFERROR(INDEX('Asset Register'!$B:$B,MATCH($C153,'Asset Register'!$A:$A,0)),""))</f>
        <v/>
      </c>
      <c r="E153" t="str">
        <f>IF($C153="","",IFERROR(INDEX('Asset Register'!$C:$C,MATCH($C153,'Asset Register'!$A:$A,0)),""))</f>
        <v/>
      </c>
      <c r="F153" t="str">
        <f>IF($C153="","",IFERROR(INDEX('Asset Register'!$D:$D,MATCH($C153,'Asset Register'!$A:$A,0)),""))</f>
        <v/>
      </c>
      <c r="J153" s="17" t="str">
        <f t="shared" si="27"/>
        <v/>
      </c>
      <c r="K153" s="17" t="str">
        <f t="shared" si="28"/>
        <v/>
      </c>
      <c r="L153" s="17" t="str">
        <f t="shared" si="21"/>
        <v/>
      </c>
      <c r="O153" t="str">
        <f>IF($C153="","",IFERROR(INDEX('Asset Register'!$G:$G,MATCH($C153,'Asset Register'!$A:$A,0)),""))</f>
        <v/>
      </c>
      <c r="Q153" t="str">
        <f t="shared" si="22"/>
        <v/>
      </c>
      <c r="R153" t="str">
        <f t="shared" si="23"/>
        <v/>
      </c>
      <c r="S153" s="17" t="str">
        <f t="shared" si="24"/>
        <v/>
      </c>
      <c r="T153" s="18" t="str">
        <f>IF($C153="","",IFERROR(INDEX('Asset Register'!$H:$H,MATCH($C153,'Asset Register'!$A:$A,0)),""))</f>
        <v/>
      </c>
      <c r="U153" s="18" t="str">
        <f t="shared" si="25"/>
        <v/>
      </c>
      <c r="V153" s="17" t="str">
        <f t="shared" si="26"/>
        <v/>
      </c>
    </row>
    <row r="154" spans="1:22" x14ac:dyDescent="0.25">
      <c r="A154" t="str">
        <f t="shared" si="20"/>
        <v/>
      </c>
      <c r="B154" s="16"/>
      <c r="D154" t="str">
        <f>IF($C154="","",IFERROR(INDEX('Asset Register'!$B:$B,MATCH($C154,'Asset Register'!$A:$A,0)),""))</f>
        <v/>
      </c>
      <c r="E154" t="str">
        <f>IF($C154="","",IFERROR(INDEX('Asset Register'!$C:$C,MATCH($C154,'Asset Register'!$A:$A,0)),""))</f>
        <v/>
      </c>
      <c r="F154" t="str">
        <f>IF($C154="","",IFERROR(INDEX('Asset Register'!$D:$D,MATCH($C154,'Asset Register'!$A:$A,0)),""))</f>
        <v/>
      </c>
      <c r="J154" s="17" t="str">
        <f t="shared" si="27"/>
        <v/>
      </c>
      <c r="K154" s="17" t="str">
        <f t="shared" si="28"/>
        <v/>
      </c>
      <c r="L154" s="17" t="str">
        <f t="shared" si="21"/>
        <v/>
      </c>
      <c r="O154" t="str">
        <f>IF($C154="","",IFERROR(INDEX('Asset Register'!$G:$G,MATCH($C154,'Asset Register'!$A:$A,0)),""))</f>
        <v/>
      </c>
      <c r="Q154" t="str">
        <f t="shared" si="22"/>
        <v/>
      </c>
      <c r="R154" t="str">
        <f t="shared" si="23"/>
        <v/>
      </c>
      <c r="S154" s="17" t="str">
        <f t="shared" si="24"/>
        <v/>
      </c>
      <c r="T154" s="18" t="str">
        <f>IF($C154="","",IFERROR(INDEX('Asset Register'!$H:$H,MATCH($C154,'Asset Register'!$A:$A,0)),""))</f>
        <v/>
      </c>
      <c r="U154" s="18" t="str">
        <f t="shared" si="25"/>
        <v/>
      </c>
      <c r="V154" s="17" t="str">
        <f t="shared" si="26"/>
        <v/>
      </c>
    </row>
    <row r="155" spans="1:22" x14ac:dyDescent="0.25">
      <c r="A155" t="str">
        <f t="shared" si="20"/>
        <v/>
      </c>
      <c r="B155" s="16"/>
      <c r="D155" t="str">
        <f>IF($C155="","",IFERROR(INDEX('Asset Register'!$B:$B,MATCH($C155,'Asset Register'!$A:$A,0)),""))</f>
        <v/>
      </c>
      <c r="E155" t="str">
        <f>IF($C155="","",IFERROR(INDEX('Asset Register'!$C:$C,MATCH($C155,'Asset Register'!$A:$A,0)),""))</f>
        <v/>
      </c>
      <c r="F155" t="str">
        <f>IF($C155="","",IFERROR(INDEX('Asset Register'!$D:$D,MATCH($C155,'Asset Register'!$A:$A,0)),""))</f>
        <v/>
      </c>
      <c r="J155" s="17" t="str">
        <f t="shared" si="27"/>
        <v/>
      </c>
      <c r="K155" s="17" t="str">
        <f t="shared" si="28"/>
        <v/>
      </c>
      <c r="L155" s="17" t="str">
        <f t="shared" si="21"/>
        <v/>
      </c>
      <c r="O155" t="str">
        <f>IF($C155="","",IFERROR(INDEX('Asset Register'!$G:$G,MATCH($C155,'Asset Register'!$A:$A,0)),""))</f>
        <v/>
      </c>
      <c r="Q155" t="str">
        <f t="shared" si="22"/>
        <v/>
      </c>
      <c r="R155" t="str">
        <f t="shared" si="23"/>
        <v/>
      </c>
      <c r="S155" s="17" t="str">
        <f t="shared" si="24"/>
        <v/>
      </c>
      <c r="T155" s="18" t="str">
        <f>IF($C155="","",IFERROR(INDEX('Asset Register'!$H:$H,MATCH($C155,'Asset Register'!$A:$A,0)),""))</f>
        <v/>
      </c>
      <c r="U155" s="18" t="str">
        <f t="shared" si="25"/>
        <v/>
      </c>
      <c r="V155" s="17" t="str">
        <f t="shared" si="26"/>
        <v/>
      </c>
    </row>
    <row r="156" spans="1:22" x14ac:dyDescent="0.25">
      <c r="A156" t="str">
        <f t="shared" si="20"/>
        <v/>
      </c>
      <c r="B156" s="16"/>
      <c r="D156" t="str">
        <f>IF($C156="","",IFERROR(INDEX('Asset Register'!$B:$B,MATCH($C156,'Asset Register'!$A:$A,0)),""))</f>
        <v/>
      </c>
      <c r="E156" t="str">
        <f>IF($C156="","",IFERROR(INDEX('Asset Register'!$C:$C,MATCH($C156,'Asset Register'!$A:$A,0)),""))</f>
        <v/>
      </c>
      <c r="F156" t="str">
        <f>IF($C156="","",IFERROR(INDEX('Asset Register'!$D:$D,MATCH($C156,'Asset Register'!$A:$A,0)),""))</f>
        <v/>
      </c>
      <c r="J156" s="17" t="str">
        <f t="shared" si="27"/>
        <v/>
      </c>
      <c r="K156" s="17" t="str">
        <f t="shared" si="28"/>
        <v/>
      </c>
      <c r="L156" s="17" t="str">
        <f t="shared" si="21"/>
        <v/>
      </c>
      <c r="O156" t="str">
        <f>IF($C156="","",IFERROR(INDEX('Asset Register'!$G:$G,MATCH($C156,'Asset Register'!$A:$A,0)),""))</f>
        <v/>
      </c>
      <c r="Q156" t="str">
        <f t="shared" si="22"/>
        <v/>
      </c>
      <c r="R156" t="str">
        <f t="shared" si="23"/>
        <v/>
      </c>
      <c r="S156" s="17" t="str">
        <f t="shared" si="24"/>
        <v/>
      </c>
      <c r="T156" s="18" t="str">
        <f>IF($C156="","",IFERROR(INDEX('Asset Register'!$H:$H,MATCH($C156,'Asset Register'!$A:$A,0)),""))</f>
        <v/>
      </c>
      <c r="U156" s="18" t="str">
        <f t="shared" si="25"/>
        <v/>
      </c>
      <c r="V156" s="17" t="str">
        <f t="shared" si="26"/>
        <v/>
      </c>
    </row>
    <row r="157" spans="1:22" x14ac:dyDescent="0.25">
      <c r="A157" t="str">
        <f t="shared" si="20"/>
        <v/>
      </c>
      <c r="B157" s="16"/>
      <c r="D157" t="str">
        <f>IF($C157="","",IFERROR(INDEX('Asset Register'!$B:$B,MATCH($C157,'Asset Register'!$A:$A,0)),""))</f>
        <v/>
      </c>
      <c r="E157" t="str">
        <f>IF($C157="","",IFERROR(INDEX('Asset Register'!$C:$C,MATCH($C157,'Asset Register'!$A:$A,0)),""))</f>
        <v/>
      </c>
      <c r="F157" t="str">
        <f>IF($C157="","",IFERROR(INDEX('Asset Register'!$D:$D,MATCH($C157,'Asset Register'!$A:$A,0)),""))</f>
        <v/>
      </c>
      <c r="J157" s="17" t="str">
        <f t="shared" si="27"/>
        <v/>
      </c>
      <c r="K157" s="17" t="str">
        <f t="shared" si="28"/>
        <v/>
      </c>
      <c r="L157" s="17" t="str">
        <f t="shared" si="21"/>
        <v/>
      </c>
      <c r="O157" t="str">
        <f>IF($C157="","",IFERROR(INDEX('Asset Register'!$G:$G,MATCH($C157,'Asset Register'!$A:$A,0)),""))</f>
        <v/>
      </c>
      <c r="Q157" t="str">
        <f t="shared" si="22"/>
        <v/>
      </c>
      <c r="R157" t="str">
        <f t="shared" si="23"/>
        <v/>
      </c>
      <c r="S157" s="17" t="str">
        <f t="shared" si="24"/>
        <v/>
      </c>
      <c r="T157" s="18" t="str">
        <f>IF($C157="","",IFERROR(INDEX('Asset Register'!$H:$H,MATCH($C157,'Asset Register'!$A:$A,0)),""))</f>
        <v/>
      </c>
      <c r="U157" s="18" t="str">
        <f t="shared" si="25"/>
        <v/>
      </c>
      <c r="V157" s="17" t="str">
        <f t="shared" si="26"/>
        <v/>
      </c>
    </row>
    <row r="158" spans="1:22" x14ac:dyDescent="0.25">
      <c r="A158" t="str">
        <f t="shared" si="20"/>
        <v/>
      </c>
      <c r="B158" s="16"/>
      <c r="D158" t="str">
        <f>IF($C158="","",IFERROR(INDEX('Asset Register'!$B:$B,MATCH($C158,'Asset Register'!$A:$A,0)),""))</f>
        <v/>
      </c>
      <c r="E158" t="str">
        <f>IF($C158="","",IFERROR(INDEX('Asset Register'!$C:$C,MATCH($C158,'Asset Register'!$A:$A,0)),""))</f>
        <v/>
      </c>
      <c r="F158" t="str">
        <f>IF($C158="","",IFERROR(INDEX('Asset Register'!$D:$D,MATCH($C158,'Asset Register'!$A:$A,0)),""))</f>
        <v/>
      </c>
      <c r="J158" s="17" t="str">
        <f t="shared" si="27"/>
        <v/>
      </c>
      <c r="K158" s="17" t="str">
        <f t="shared" si="28"/>
        <v/>
      </c>
      <c r="L158" s="17" t="str">
        <f t="shared" si="21"/>
        <v/>
      </c>
      <c r="O158" t="str">
        <f>IF($C158="","",IFERROR(INDEX('Asset Register'!$G:$G,MATCH($C158,'Asset Register'!$A:$A,0)),""))</f>
        <v/>
      </c>
      <c r="Q158" t="str">
        <f t="shared" si="22"/>
        <v/>
      </c>
      <c r="R158" t="str">
        <f t="shared" si="23"/>
        <v/>
      </c>
      <c r="S158" s="17" t="str">
        <f t="shared" si="24"/>
        <v/>
      </c>
      <c r="T158" s="18" t="str">
        <f>IF($C158="","",IFERROR(INDEX('Asset Register'!$H:$H,MATCH($C158,'Asset Register'!$A:$A,0)),""))</f>
        <v/>
      </c>
      <c r="U158" s="18" t="str">
        <f t="shared" si="25"/>
        <v/>
      </c>
      <c r="V158" s="17" t="str">
        <f t="shared" si="26"/>
        <v/>
      </c>
    </row>
    <row r="159" spans="1:22" x14ac:dyDescent="0.25">
      <c r="A159" t="str">
        <f t="shared" si="20"/>
        <v/>
      </c>
      <c r="B159" s="16"/>
      <c r="D159" t="str">
        <f>IF($C159="","",IFERROR(INDEX('Asset Register'!$B:$B,MATCH($C159,'Asset Register'!$A:$A,0)),""))</f>
        <v/>
      </c>
      <c r="E159" t="str">
        <f>IF($C159="","",IFERROR(INDEX('Asset Register'!$C:$C,MATCH($C159,'Asset Register'!$A:$A,0)),""))</f>
        <v/>
      </c>
      <c r="F159" t="str">
        <f>IF($C159="","",IFERROR(INDEX('Asset Register'!$D:$D,MATCH($C159,'Asset Register'!$A:$A,0)),""))</f>
        <v/>
      </c>
      <c r="J159" s="17" t="str">
        <f t="shared" si="27"/>
        <v/>
      </c>
      <c r="K159" s="17" t="str">
        <f t="shared" si="28"/>
        <v/>
      </c>
      <c r="L159" s="17" t="str">
        <f t="shared" si="21"/>
        <v/>
      </c>
      <c r="O159" t="str">
        <f>IF($C159="","",IFERROR(INDEX('Asset Register'!$G:$G,MATCH($C159,'Asset Register'!$A:$A,0)),""))</f>
        <v/>
      </c>
      <c r="Q159" t="str">
        <f t="shared" si="22"/>
        <v/>
      </c>
      <c r="R159" t="str">
        <f t="shared" si="23"/>
        <v/>
      </c>
      <c r="S159" s="17" t="str">
        <f t="shared" si="24"/>
        <v/>
      </c>
      <c r="T159" s="18" t="str">
        <f>IF($C159="","",IFERROR(INDEX('Asset Register'!$H:$H,MATCH($C159,'Asset Register'!$A:$A,0)),""))</f>
        <v/>
      </c>
      <c r="U159" s="18" t="str">
        <f t="shared" si="25"/>
        <v/>
      </c>
      <c r="V159" s="17" t="str">
        <f t="shared" si="26"/>
        <v/>
      </c>
    </row>
    <row r="160" spans="1:22" x14ac:dyDescent="0.25">
      <c r="A160" t="str">
        <f t="shared" si="20"/>
        <v/>
      </c>
      <c r="B160" s="16"/>
      <c r="D160" t="str">
        <f>IF($C160="","",IFERROR(INDEX('Asset Register'!$B:$B,MATCH($C160,'Asset Register'!$A:$A,0)),""))</f>
        <v/>
      </c>
      <c r="E160" t="str">
        <f>IF($C160="","",IFERROR(INDEX('Asset Register'!$C:$C,MATCH($C160,'Asset Register'!$A:$A,0)),""))</f>
        <v/>
      </c>
      <c r="F160" t="str">
        <f>IF($C160="","",IFERROR(INDEX('Asset Register'!$D:$D,MATCH($C160,'Asset Register'!$A:$A,0)),""))</f>
        <v/>
      </c>
      <c r="J160" s="17" t="str">
        <f t="shared" si="27"/>
        <v/>
      </c>
      <c r="K160" s="17" t="str">
        <f t="shared" si="28"/>
        <v/>
      </c>
      <c r="L160" s="17" t="str">
        <f t="shared" si="21"/>
        <v/>
      </c>
      <c r="O160" t="str">
        <f>IF($C160="","",IFERROR(INDEX('Asset Register'!$G:$G,MATCH($C160,'Asset Register'!$A:$A,0)),""))</f>
        <v/>
      </c>
      <c r="Q160" t="str">
        <f t="shared" si="22"/>
        <v/>
      </c>
      <c r="R160" t="str">
        <f t="shared" si="23"/>
        <v/>
      </c>
      <c r="S160" s="17" t="str">
        <f t="shared" si="24"/>
        <v/>
      </c>
      <c r="T160" s="18" t="str">
        <f>IF($C160="","",IFERROR(INDEX('Asset Register'!$H:$H,MATCH($C160,'Asset Register'!$A:$A,0)),""))</f>
        <v/>
      </c>
      <c r="U160" s="18" t="str">
        <f t="shared" si="25"/>
        <v/>
      </c>
      <c r="V160" s="17" t="str">
        <f t="shared" si="26"/>
        <v/>
      </c>
    </row>
    <row r="161" spans="1:22" x14ac:dyDescent="0.25">
      <c r="A161" t="str">
        <f t="shared" si="20"/>
        <v/>
      </c>
      <c r="B161" s="16"/>
      <c r="D161" t="str">
        <f>IF($C161="","",IFERROR(INDEX('Asset Register'!$B:$B,MATCH($C161,'Asset Register'!$A:$A,0)),""))</f>
        <v/>
      </c>
      <c r="E161" t="str">
        <f>IF($C161="","",IFERROR(INDEX('Asset Register'!$C:$C,MATCH($C161,'Asset Register'!$A:$A,0)),""))</f>
        <v/>
      </c>
      <c r="F161" t="str">
        <f>IF($C161="","",IFERROR(INDEX('Asset Register'!$D:$D,MATCH($C161,'Asset Register'!$A:$A,0)),""))</f>
        <v/>
      </c>
      <c r="J161" s="17" t="str">
        <f t="shared" si="27"/>
        <v/>
      </c>
      <c r="K161" s="17" t="str">
        <f t="shared" si="28"/>
        <v/>
      </c>
      <c r="L161" s="17" t="str">
        <f t="shared" si="21"/>
        <v/>
      </c>
      <c r="O161" t="str">
        <f>IF($C161="","",IFERROR(INDEX('Asset Register'!$G:$G,MATCH($C161,'Asset Register'!$A:$A,0)),""))</f>
        <v/>
      </c>
      <c r="Q161" t="str">
        <f t="shared" si="22"/>
        <v/>
      </c>
      <c r="R161" t="str">
        <f t="shared" si="23"/>
        <v/>
      </c>
      <c r="S161" s="17" t="str">
        <f t="shared" si="24"/>
        <v/>
      </c>
      <c r="T161" s="18" t="str">
        <f>IF($C161="","",IFERROR(INDEX('Asset Register'!$H:$H,MATCH($C161,'Asset Register'!$A:$A,0)),""))</f>
        <v/>
      </c>
      <c r="U161" s="18" t="str">
        <f t="shared" si="25"/>
        <v/>
      </c>
      <c r="V161" s="17" t="str">
        <f t="shared" si="26"/>
        <v/>
      </c>
    </row>
    <row r="162" spans="1:22" x14ac:dyDescent="0.25">
      <c r="A162" t="str">
        <f t="shared" si="20"/>
        <v/>
      </c>
      <c r="B162" s="16"/>
      <c r="D162" t="str">
        <f>IF($C162="","",IFERROR(INDEX('Asset Register'!$B:$B,MATCH($C162,'Asset Register'!$A:$A,0)),""))</f>
        <v/>
      </c>
      <c r="E162" t="str">
        <f>IF($C162="","",IFERROR(INDEX('Asset Register'!$C:$C,MATCH($C162,'Asset Register'!$A:$A,0)),""))</f>
        <v/>
      </c>
      <c r="F162" t="str">
        <f>IF($C162="","",IFERROR(INDEX('Asset Register'!$D:$D,MATCH($C162,'Asset Register'!$A:$A,0)),""))</f>
        <v/>
      </c>
      <c r="J162" s="17" t="str">
        <f t="shared" si="27"/>
        <v/>
      </c>
      <c r="K162" s="17" t="str">
        <f t="shared" si="28"/>
        <v/>
      </c>
      <c r="L162" s="17" t="str">
        <f t="shared" si="21"/>
        <v/>
      </c>
      <c r="O162" t="str">
        <f>IF($C162="","",IFERROR(INDEX('Asset Register'!$G:$G,MATCH($C162,'Asset Register'!$A:$A,0)),""))</f>
        <v/>
      </c>
      <c r="Q162" t="str">
        <f t="shared" si="22"/>
        <v/>
      </c>
      <c r="R162" t="str">
        <f t="shared" si="23"/>
        <v/>
      </c>
      <c r="S162" s="17" t="str">
        <f t="shared" si="24"/>
        <v/>
      </c>
      <c r="T162" s="18" t="str">
        <f>IF($C162="","",IFERROR(INDEX('Asset Register'!$H:$H,MATCH($C162,'Asset Register'!$A:$A,0)),""))</f>
        <v/>
      </c>
      <c r="U162" s="18" t="str">
        <f t="shared" si="25"/>
        <v/>
      </c>
      <c r="V162" s="17" t="str">
        <f t="shared" si="26"/>
        <v/>
      </c>
    </row>
    <row r="163" spans="1:22" x14ac:dyDescent="0.25">
      <c r="A163" t="str">
        <f t="shared" si="20"/>
        <v/>
      </c>
      <c r="B163" s="16"/>
      <c r="D163" t="str">
        <f>IF($C163="","",IFERROR(INDEX('Asset Register'!$B:$B,MATCH($C163,'Asset Register'!$A:$A,0)),""))</f>
        <v/>
      </c>
      <c r="E163" t="str">
        <f>IF($C163="","",IFERROR(INDEX('Asset Register'!$C:$C,MATCH($C163,'Asset Register'!$A:$A,0)),""))</f>
        <v/>
      </c>
      <c r="F163" t="str">
        <f>IF($C163="","",IFERROR(INDEX('Asset Register'!$D:$D,MATCH($C163,'Asset Register'!$A:$A,0)),""))</f>
        <v/>
      </c>
      <c r="J163" s="17" t="str">
        <f t="shared" si="27"/>
        <v/>
      </c>
      <c r="K163" s="17" t="str">
        <f t="shared" si="28"/>
        <v/>
      </c>
      <c r="L163" s="17" t="str">
        <f t="shared" si="21"/>
        <v/>
      </c>
      <c r="O163" t="str">
        <f>IF($C163="","",IFERROR(INDEX('Asset Register'!$G:$G,MATCH($C163,'Asset Register'!$A:$A,0)),""))</f>
        <v/>
      </c>
      <c r="Q163" t="str">
        <f t="shared" si="22"/>
        <v/>
      </c>
      <c r="R163" t="str">
        <f t="shared" si="23"/>
        <v/>
      </c>
      <c r="S163" s="17" t="str">
        <f t="shared" si="24"/>
        <v/>
      </c>
      <c r="T163" s="18" t="str">
        <f>IF($C163="","",IFERROR(INDEX('Asset Register'!$H:$H,MATCH($C163,'Asset Register'!$A:$A,0)),""))</f>
        <v/>
      </c>
      <c r="U163" s="18" t="str">
        <f t="shared" si="25"/>
        <v/>
      </c>
      <c r="V163" s="17" t="str">
        <f t="shared" si="26"/>
        <v/>
      </c>
    </row>
    <row r="164" spans="1:22" x14ac:dyDescent="0.25">
      <c r="A164" t="str">
        <f t="shared" si="20"/>
        <v/>
      </c>
      <c r="B164" s="16"/>
      <c r="D164" t="str">
        <f>IF($C164="","",IFERROR(INDEX('Asset Register'!$B:$B,MATCH($C164,'Asset Register'!$A:$A,0)),""))</f>
        <v/>
      </c>
      <c r="E164" t="str">
        <f>IF($C164="","",IFERROR(INDEX('Asset Register'!$C:$C,MATCH($C164,'Asset Register'!$A:$A,0)),""))</f>
        <v/>
      </c>
      <c r="F164" t="str">
        <f>IF($C164="","",IFERROR(INDEX('Asset Register'!$D:$D,MATCH($C164,'Asset Register'!$A:$A,0)),""))</f>
        <v/>
      </c>
      <c r="J164" s="17" t="str">
        <f t="shared" si="27"/>
        <v/>
      </c>
      <c r="K164" s="17" t="str">
        <f t="shared" si="28"/>
        <v/>
      </c>
      <c r="L164" s="17" t="str">
        <f t="shared" si="21"/>
        <v/>
      </c>
      <c r="O164" t="str">
        <f>IF($C164="","",IFERROR(INDEX('Asset Register'!$G:$G,MATCH($C164,'Asset Register'!$A:$A,0)),""))</f>
        <v/>
      </c>
      <c r="Q164" t="str">
        <f t="shared" si="22"/>
        <v/>
      </c>
      <c r="R164" t="str">
        <f t="shared" si="23"/>
        <v/>
      </c>
      <c r="S164" s="17" t="str">
        <f t="shared" si="24"/>
        <v/>
      </c>
      <c r="T164" s="18" t="str">
        <f>IF($C164="","",IFERROR(INDEX('Asset Register'!$H:$H,MATCH($C164,'Asset Register'!$A:$A,0)),""))</f>
        <v/>
      </c>
      <c r="U164" s="18" t="str">
        <f t="shared" si="25"/>
        <v/>
      </c>
      <c r="V164" s="17" t="str">
        <f t="shared" si="26"/>
        <v/>
      </c>
    </row>
    <row r="165" spans="1:22" x14ac:dyDescent="0.25">
      <c r="A165" t="str">
        <f t="shared" si="20"/>
        <v/>
      </c>
      <c r="B165" s="16"/>
      <c r="D165" t="str">
        <f>IF($C165="","",IFERROR(INDEX('Asset Register'!$B:$B,MATCH($C165,'Asset Register'!$A:$A,0)),""))</f>
        <v/>
      </c>
      <c r="E165" t="str">
        <f>IF($C165="","",IFERROR(INDEX('Asset Register'!$C:$C,MATCH($C165,'Asset Register'!$A:$A,0)),""))</f>
        <v/>
      </c>
      <c r="F165" t="str">
        <f>IF($C165="","",IFERROR(INDEX('Asset Register'!$D:$D,MATCH($C165,'Asset Register'!$A:$A,0)),""))</f>
        <v/>
      </c>
      <c r="J165" s="17" t="str">
        <f t="shared" si="27"/>
        <v/>
      </c>
      <c r="K165" s="17" t="str">
        <f t="shared" si="28"/>
        <v/>
      </c>
      <c r="L165" s="17" t="str">
        <f t="shared" si="21"/>
        <v/>
      </c>
      <c r="O165" t="str">
        <f>IF($C165="","",IFERROR(INDEX('Asset Register'!$G:$G,MATCH($C165,'Asset Register'!$A:$A,0)),""))</f>
        <v/>
      </c>
      <c r="Q165" t="str">
        <f t="shared" si="22"/>
        <v/>
      </c>
      <c r="R165" t="str">
        <f t="shared" si="23"/>
        <v/>
      </c>
      <c r="S165" s="17" t="str">
        <f t="shared" si="24"/>
        <v/>
      </c>
      <c r="T165" s="18" t="str">
        <f>IF($C165="","",IFERROR(INDEX('Asset Register'!$H:$H,MATCH($C165,'Asset Register'!$A:$A,0)),""))</f>
        <v/>
      </c>
      <c r="U165" s="18" t="str">
        <f t="shared" si="25"/>
        <v/>
      </c>
      <c r="V165" s="17" t="str">
        <f t="shared" si="26"/>
        <v/>
      </c>
    </row>
    <row r="166" spans="1:22" x14ac:dyDescent="0.25">
      <c r="A166" t="str">
        <f t="shared" si="20"/>
        <v/>
      </c>
      <c r="B166" s="16"/>
      <c r="D166" t="str">
        <f>IF($C166="","",IFERROR(INDEX('Asset Register'!$B:$B,MATCH($C166,'Asset Register'!$A:$A,0)),""))</f>
        <v/>
      </c>
      <c r="E166" t="str">
        <f>IF($C166="","",IFERROR(INDEX('Asset Register'!$C:$C,MATCH($C166,'Asset Register'!$A:$A,0)),""))</f>
        <v/>
      </c>
      <c r="F166" t="str">
        <f>IF($C166="","",IFERROR(INDEX('Asset Register'!$D:$D,MATCH($C166,'Asset Register'!$A:$A,0)),""))</f>
        <v/>
      </c>
      <c r="J166" s="17" t="str">
        <f t="shared" si="27"/>
        <v/>
      </c>
      <c r="K166" s="17" t="str">
        <f t="shared" si="28"/>
        <v/>
      </c>
      <c r="L166" s="17" t="str">
        <f t="shared" si="21"/>
        <v/>
      </c>
      <c r="O166" t="str">
        <f>IF($C166="","",IFERROR(INDEX('Asset Register'!$G:$G,MATCH($C166,'Asset Register'!$A:$A,0)),""))</f>
        <v/>
      </c>
      <c r="Q166" t="str">
        <f t="shared" si="22"/>
        <v/>
      </c>
      <c r="R166" t="str">
        <f t="shared" si="23"/>
        <v/>
      </c>
      <c r="S166" s="17" t="str">
        <f t="shared" si="24"/>
        <v/>
      </c>
      <c r="T166" s="18" t="str">
        <f>IF($C166="","",IFERROR(INDEX('Asset Register'!$H:$H,MATCH($C166,'Asset Register'!$A:$A,0)),""))</f>
        <v/>
      </c>
      <c r="U166" s="18" t="str">
        <f t="shared" si="25"/>
        <v/>
      </c>
      <c r="V166" s="17" t="str">
        <f t="shared" si="26"/>
        <v/>
      </c>
    </row>
    <row r="167" spans="1:22" x14ac:dyDescent="0.25">
      <c r="A167" t="str">
        <f t="shared" si="20"/>
        <v/>
      </c>
      <c r="B167" s="16"/>
      <c r="D167" t="str">
        <f>IF($C167="","",IFERROR(INDEX('Asset Register'!$B:$B,MATCH($C167,'Asset Register'!$A:$A,0)),""))</f>
        <v/>
      </c>
      <c r="E167" t="str">
        <f>IF($C167="","",IFERROR(INDEX('Asset Register'!$C:$C,MATCH($C167,'Asset Register'!$A:$A,0)),""))</f>
        <v/>
      </c>
      <c r="F167" t="str">
        <f>IF($C167="","",IFERROR(INDEX('Asset Register'!$D:$D,MATCH($C167,'Asset Register'!$A:$A,0)),""))</f>
        <v/>
      </c>
      <c r="J167" s="17" t="str">
        <f t="shared" si="27"/>
        <v/>
      </c>
      <c r="K167" s="17" t="str">
        <f t="shared" si="28"/>
        <v/>
      </c>
      <c r="L167" s="17" t="str">
        <f t="shared" si="21"/>
        <v/>
      </c>
      <c r="O167" t="str">
        <f>IF($C167="","",IFERROR(INDEX('Asset Register'!$G:$G,MATCH($C167,'Asset Register'!$A:$A,0)),""))</f>
        <v/>
      </c>
      <c r="Q167" t="str">
        <f t="shared" si="22"/>
        <v/>
      </c>
      <c r="R167" t="str">
        <f t="shared" si="23"/>
        <v/>
      </c>
      <c r="S167" s="17" t="str">
        <f t="shared" si="24"/>
        <v/>
      </c>
      <c r="T167" s="18" t="str">
        <f>IF($C167="","",IFERROR(INDEX('Asset Register'!$H:$H,MATCH($C167,'Asset Register'!$A:$A,0)),""))</f>
        <v/>
      </c>
      <c r="U167" s="18" t="str">
        <f t="shared" si="25"/>
        <v/>
      </c>
      <c r="V167" s="17" t="str">
        <f t="shared" si="26"/>
        <v/>
      </c>
    </row>
    <row r="168" spans="1:22" x14ac:dyDescent="0.25">
      <c r="A168" t="str">
        <f t="shared" si="20"/>
        <v/>
      </c>
      <c r="B168" s="16"/>
      <c r="D168" t="str">
        <f>IF($C168="","",IFERROR(INDEX('Asset Register'!$B:$B,MATCH($C168,'Asset Register'!$A:$A,0)),""))</f>
        <v/>
      </c>
      <c r="E168" t="str">
        <f>IF($C168="","",IFERROR(INDEX('Asset Register'!$C:$C,MATCH($C168,'Asset Register'!$A:$A,0)),""))</f>
        <v/>
      </c>
      <c r="F168" t="str">
        <f>IF($C168="","",IFERROR(INDEX('Asset Register'!$D:$D,MATCH($C168,'Asset Register'!$A:$A,0)),""))</f>
        <v/>
      </c>
      <c r="J168" s="17" t="str">
        <f t="shared" si="27"/>
        <v/>
      </c>
      <c r="K168" s="17" t="str">
        <f t="shared" si="28"/>
        <v/>
      </c>
      <c r="L168" s="17" t="str">
        <f t="shared" si="21"/>
        <v/>
      </c>
      <c r="O168" t="str">
        <f>IF($C168="","",IFERROR(INDEX('Asset Register'!$G:$G,MATCH($C168,'Asset Register'!$A:$A,0)),""))</f>
        <v/>
      </c>
      <c r="Q168" t="str">
        <f t="shared" si="22"/>
        <v/>
      </c>
      <c r="R168" t="str">
        <f t="shared" si="23"/>
        <v/>
      </c>
      <c r="S168" s="17" t="str">
        <f t="shared" si="24"/>
        <v/>
      </c>
      <c r="T168" s="18" t="str">
        <f>IF($C168="","",IFERROR(INDEX('Asset Register'!$H:$H,MATCH($C168,'Asset Register'!$A:$A,0)),""))</f>
        <v/>
      </c>
      <c r="U168" s="18" t="str">
        <f t="shared" si="25"/>
        <v/>
      </c>
      <c r="V168" s="17" t="str">
        <f t="shared" si="26"/>
        <v/>
      </c>
    </row>
    <row r="169" spans="1:22" x14ac:dyDescent="0.25">
      <c r="A169" t="str">
        <f t="shared" si="20"/>
        <v/>
      </c>
      <c r="B169" s="16"/>
      <c r="D169" t="str">
        <f>IF($C169="","",IFERROR(INDEX('Asset Register'!$B:$B,MATCH($C169,'Asset Register'!$A:$A,0)),""))</f>
        <v/>
      </c>
      <c r="E169" t="str">
        <f>IF($C169="","",IFERROR(INDEX('Asset Register'!$C:$C,MATCH($C169,'Asset Register'!$A:$A,0)),""))</f>
        <v/>
      </c>
      <c r="F169" t="str">
        <f>IF($C169="","",IFERROR(INDEX('Asset Register'!$D:$D,MATCH($C169,'Asset Register'!$A:$A,0)),""))</f>
        <v/>
      </c>
      <c r="J169" s="17" t="str">
        <f t="shared" si="27"/>
        <v/>
      </c>
      <c r="K169" s="17" t="str">
        <f t="shared" si="28"/>
        <v/>
      </c>
      <c r="L169" s="17" t="str">
        <f t="shared" si="21"/>
        <v/>
      </c>
      <c r="O169" t="str">
        <f>IF($C169="","",IFERROR(INDEX('Asset Register'!$G:$G,MATCH($C169,'Asset Register'!$A:$A,0)),""))</f>
        <v/>
      </c>
      <c r="Q169" t="str">
        <f t="shared" si="22"/>
        <v/>
      </c>
      <c r="R169" t="str">
        <f t="shared" si="23"/>
        <v/>
      </c>
      <c r="S169" s="17" t="str">
        <f t="shared" si="24"/>
        <v/>
      </c>
      <c r="T169" s="18" t="str">
        <f>IF($C169="","",IFERROR(INDEX('Asset Register'!$H:$H,MATCH($C169,'Asset Register'!$A:$A,0)),""))</f>
        <v/>
      </c>
      <c r="U169" s="18" t="str">
        <f t="shared" si="25"/>
        <v/>
      </c>
      <c r="V169" s="17" t="str">
        <f t="shared" si="26"/>
        <v/>
      </c>
    </row>
    <row r="170" spans="1:22" x14ac:dyDescent="0.25">
      <c r="A170" t="str">
        <f t="shared" si="20"/>
        <v/>
      </c>
      <c r="B170" s="16"/>
      <c r="D170" t="str">
        <f>IF($C170="","",IFERROR(INDEX('Asset Register'!$B:$B,MATCH($C170,'Asset Register'!$A:$A,0)),""))</f>
        <v/>
      </c>
      <c r="E170" t="str">
        <f>IF($C170="","",IFERROR(INDEX('Asset Register'!$C:$C,MATCH($C170,'Asset Register'!$A:$A,0)),""))</f>
        <v/>
      </c>
      <c r="F170" t="str">
        <f>IF($C170="","",IFERROR(INDEX('Asset Register'!$D:$D,MATCH($C170,'Asset Register'!$A:$A,0)),""))</f>
        <v/>
      </c>
      <c r="J170" s="17" t="str">
        <f t="shared" si="27"/>
        <v/>
      </c>
      <c r="K170" s="17" t="str">
        <f t="shared" si="28"/>
        <v/>
      </c>
      <c r="L170" s="17" t="str">
        <f t="shared" si="21"/>
        <v/>
      </c>
      <c r="O170" t="str">
        <f>IF($C170="","",IFERROR(INDEX('Asset Register'!$G:$G,MATCH($C170,'Asset Register'!$A:$A,0)),""))</f>
        <v/>
      </c>
      <c r="Q170" t="str">
        <f t="shared" si="22"/>
        <v/>
      </c>
      <c r="R170" t="str">
        <f t="shared" si="23"/>
        <v/>
      </c>
      <c r="S170" s="17" t="str">
        <f t="shared" si="24"/>
        <v/>
      </c>
      <c r="T170" s="18" t="str">
        <f>IF($C170="","",IFERROR(INDEX('Asset Register'!$H:$H,MATCH($C170,'Asset Register'!$A:$A,0)),""))</f>
        <v/>
      </c>
      <c r="U170" s="18" t="str">
        <f t="shared" si="25"/>
        <v/>
      </c>
      <c r="V170" s="17" t="str">
        <f t="shared" si="26"/>
        <v/>
      </c>
    </row>
    <row r="171" spans="1:22" x14ac:dyDescent="0.25">
      <c r="A171" t="str">
        <f t="shared" si="20"/>
        <v/>
      </c>
      <c r="B171" s="16"/>
      <c r="D171" t="str">
        <f>IF($C171="","",IFERROR(INDEX('Asset Register'!$B:$B,MATCH($C171,'Asset Register'!$A:$A,0)),""))</f>
        <v/>
      </c>
      <c r="E171" t="str">
        <f>IF($C171="","",IFERROR(INDEX('Asset Register'!$C:$C,MATCH($C171,'Asset Register'!$A:$A,0)),""))</f>
        <v/>
      </c>
      <c r="F171" t="str">
        <f>IF($C171="","",IFERROR(INDEX('Asset Register'!$D:$D,MATCH($C171,'Asset Register'!$A:$A,0)),""))</f>
        <v/>
      </c>
      <c r="J171" s="17" t="str">
        <f t="shared" si="27"/>
        <v/>
      </c>
      <c r="K171" s="17" t="str">
        <f t="shared" si="28"/>
        <v/>
      </c>
      <c r="L171" s="17" t="str">
        <f t="shared" si="21"/>
        <v/>
      </c>
      <c r="O171" t="str">
        <f>IF($C171="","",IFERROR(INDEX('Asset Register'!$G:$G,MATCH($C171,'Asset Register'!$A:$A,0)),""))</f>
        <v/>
      </c>
      <c r="Q171" t="str">
        <f t="shared" si="22"/>
        <v/>
      </c>
      <c r="R171" t="str">
        <f t="shared" si="23"/>
        <v/>
      </c>
      <c r="S171" s="17" t="str">
        <f t="shared" si="24"/>
        <v/>
      </c>
      <c r="T171" s="18" t="str">
        <f>IF($C171="","",IFERROR(INDEX('Asset Register'!$H:$H,MATCH($C171,'Asset Register'!$A:$A,0)),""))</f>
        <v/>
      </c>
      <c r="U171" s="18" t="str">
        <f t="shared" si="25"/>
        <v/>
      </c>
      <c r="V171" s="17" t="str">
        <f t="shared" si="26"/>
        <v/>
      </c>
    </row>
    <row r="172" spans="1:22" x14ac:dyDescent="0.25">
      <c r="A172" t="str">
        <f t="shared" si="20"/>
        <v/>
      </c>
      <c r="B172" s="16"/>
      <c r="D172" t="str">
        <f>IF($C172="","",IFERROR(INDEX('Asset Register'!$B:$B,MATCH($C172,'Asset Register'!$A:$A,0)),""))</f>
        <v/>
      </c>
      <c r="E172" t="str">
        <f>IF($C172="","",IFERROR(INDEX('Asset Register'!$C:$C,MATCH($C172,'Asset Register'!$A:$A,0)),""))</f>
        <v/>
      </c>
      <c r="F172" t="str">
        <f>IF($C172="","",IFERROR(INDEX('Asset Register'!$D:$D,MATCH($C172,'Asset Register'!$A:$A,0)),""))</f>
        <v/>
      </c>
      <c r="J172" s="17" t="str">
        <f t="shared" si="27"/>
        <v/>
      </c>
      <c r="K172" s="17" t="str">
        <f t="shared" si="28"/>
        <v/>
      </c>
      <c r="L172" s="17" t="str">
        <f t="shared" si="21"/>
        <v/>
      </c>
      <c r="O172" t="str">
        <f>IF($C172="","",IFERROR(INDEX('Asset Register'!$G:$G,MATCH($C172,'Asset Register'!$A:$A,0)),""))</f>
        <v/>
      </c>
      <c r="Q172" t="str">
        <f t="shared" si="22"/>
        <v/>
      </c>
      <c r="R172" t="str">
        <f t="shared" si="23"/>
        <v/>
      </c>
      <c r="S172" s="17" t="str">
        <f t="shared" si="24"/>
        <v/>
      </c>
      <c r="T172" s="18" t="str">
        <f>IF($C172="","",IFERROR(INDEX('Asset Register'!$H:$H,MATCH($C172,'Asset Register'!$A:$A,0)),""))</f>
        <v/>
      </c>
      <c r="U172" s="18" t="str">
        <f t="shared" si="25"/>
        <v/>
      </c>
      <c r="V172" s="17" t="str">
        <f t="shared" si="26"/>
        <v/>
      </c>
    </row>
    <row r="173" spans="1:22" x14ac:dyDescent="0.25">
      <c r="A173" t="str">
        <f t="shared" si="20"/>
        <v/>
      </c>
      <c r="B173" s="16"/>
      <c r="D173" t="str">
        <f>IF($C173="","",IFERROR(INDEX('Asset Register'!$B:$B,MATCH($C173,'Asset Register'!$A:$A,0)),""))</f>
        <v/>
      </c>
      <c r="E173" t="str">
        <f>IF($C173="","",IFERROR(INDEX('Asset Register'!$C:$C,MATCH($C173,'Asset Register'!$A:$A,0)),""))</f>
        <v/>
      </c>
      <c r="F173" t="str">
        <f>IF($C173="","",IFERROR(INDEX('Asset Register'!$D:$D,MATCH($C173,'Asset Register'!$A:$A,0)),""))</f>
        <v/>
      </c>
      <c r="J173" s="17" t="str">
        <f t="shared" si="27"/>
        <v/>
      </c>
      <c r="K173" s="17" t="str">
        <f t="shared" si="28"/>
        <v/>
      </c>
      <c r="L173" s="17" t="str">
        <f t="shared" si="21"/>
        <v/>
      </c>
      <c r="O173" t="str">
        <f>IF($C173="","",IFERROR(INDEX('Asset Register'!$G:$G,MATCH($C173,'Asset Register'!$A:$A,0)),""))</f>
        <v/>
      </c>
      <c r="Q173" t="str">
        <f t="shared" si="22"/>
        <v/>
      </c>
      <c r="R173" t="str">
        <f t="shared" si="23"/>
        <v/>
      </c>
      <c r="S173" s="17" t="str">
        <f t="shared" si="24"/>
        <v/>
      </c>
      <c r="T173" s="18" t="str">
        <f>IF($C173="","",IFERROR(INDEX('Asset Register'!$H:$H,MATCH($C173,'Asset Register'!$A:$A,0)),""))</f>
        <v/>
      </c>
      <c r="U173" s="18" t="str">
        <f t="shared" si="25"/>
        <v/>
      </c>
      <c r="V173" s="17" t="str">
        <f t="shared" si="26"/>
        <v/>
      </c>
    </row>
    <row r="174" spans="1:22" x14ac:dyDescent="0.25">
      <c r="A174" t="str">
        <f t="shared" si="20"/>
        <v/>
      </c>
      <c r="B174" s="16"/>
      <c r="D174" t="str">
        <f>IF($C174="","",IFERROR(INDEX('Asset Register'!$B:$B,MATCH($C174,'Asset Register'!$A:$A,0)),""))</f>
        <v/>
      </c>
      <c r="E174" t="str">
        <f>IF($C174="","",IFERROR(INDEX('Asset Register'!$C:$C,MATCH($C174,'Asset Register'!$A:$A,0)),""))</f>
        <v/>
      </c>
      <c r="F174" t="str">
        <f>IF($C174="","",IFERROR(INDEX('Asset Register'!$D:$D,MATCH($C174,'Asset Register'!$A:$A,0)),""))</f>
        <v/>
      </c>
      <c r="J174" s="17" t="str">
        <f t="shared" si="27"/>
        <v/>
      </c>
      <c r="K174" s="17" t="str">
        <f t="shared" si="28"/>
        <v/>
      </c>
      <c r="L174" s="17" t="str">
        <f t="shared" si="21"/>
        <v/>
      </c>
      <c r="O174" t="str">
        <f>IF($C174="","",IFERROR(INDEX('Asset Register'!$G:$G,MATCH($C174,'Asset Register'!$A:$A,0)),""))</f>
        <v/>
      </c>
      <c r="Q174" t="str">
        <f t="shared" si="22"/>
        <v/>
      </c>
      <c r="R174" t="str">
        <f t="shared" si="23"/>
        <v/>
      </c>
      <c r="S174" s="17" t="str">
        <f t="shared" si="24"/>
        <v/>
      </c>
      <c r="T174" s="18" t="str">
        <f>IF($C174="","",IFERROR(INDEX('Asset Register'!$H:$H,MATCH($C174,'Asset Register'!$A:$A,0)),""))</f>
        <v/>
      </c>
      <c r="U174" s="18" t="str">
        <f t="shared" si="25"/>
        <v/>
      </c>
      <c r="V174" s="17" t="str">
        <f t="shared" si="26"/>
        <v/>
      </c>
    </row>
    <row r="175" spans="1:22" x14ac:dyDescent="0.25">
      <c r="A175" t="str">
        <f t="shared" si="20"/>
        <v/>
      </c>
      <c r="B175" s="16"/>
      <c r="D175" t="str">
        <f>IF($C175="","",IFERROR(INDEX('Asset Register'!$B:$B,MATCH($C175,'Asset Register'!$A:$A,0)),""))</f>
        <v/>
      </c>
      <c r="E175" t="str">
        <f>IF($C175="","",IFERROR(INDEX('Asset Register'!$C:$C,MATCH($C175,'Asset Register'!$A:$A,0)),""))</f>
        <v/>
      </c>
      <c r="F175" t="str">
        <f>IF($C175="","",IFERROR(INDEX('Asset Register'!$D:$D,MATCH($C175,'Asset Register'!$A:$A,0)),""))</f>
        <v/>
      </c>
      <c r="J175" s="17" t="str">
        <f t="shared" si="27"/>
        <v/>
      </c>
      <c r="K175" s="17" t="str">
        <f t="shared" si="28"/>
        <v/>
      </c>
      <c r="L175" s="17" t="str">
        <f t="shared" si="21"/>
        <v/>
      </c>
      <c r="O175" t="str">
        <f>IF($C175="","",IFERROR(INDEX('Asset Register'!$G:$G,MATCH($C175,'Asset Register'!$A:$A,0)),""))</f>
        <v/>
      </c>
      <c r="Q175" t="str">
        <f t="shared" si="22"/>
        <v/>
      </c>
      <c r="R175" t="str">
        <f t="shared" si="23"/>
        <v/>
      </c>
      <c r="S175" s="17" t="str">
        <f t="shared" si="24"/>
        <v/>
      </c>
      <c r="T175" s="18" t="str">
        <f>IF($C175="","",IFERROR(INDEX('Asset Register'!$H:$H,MATCH($C175,'Asset Register'!$A:$A,0)),""))</f>
        <v/>
      </c>
      <c r="U175" s="18" t="str">
        <f t="shared" si="25"/>
        <v/>
      </c>
      <c r="V175" s="17" t="str">
        <f t="shared" si="26"/>
        <v/>
      </c>
    </row>
    <row r="176" spans="1:22" x14ac:dyDescent="0.25">
      <c r="A176" t="str">
        <f t="shared" si="20"/>
        <v/>
      </c>
      <c r="B176" s="16"/>
      <c r="D176" t="str">
        <f>IF($C176="","",IFERROR(INDEX('Asset Register'!$B:$B,MATCH($C176,'Asset Register'!$A:$A,0)),""))</f>
        <v/>
      </c>
      <c r="E176" t="str">
        <f>IF($C176="","",IFERROR(INDEX('Asset Register'!$C:$C,MATCH($C176,'Asset Register'!$A:$A,0)),""))</f>
        <v/>
      </c>
      <c r="F176" t="str">
        <f>IF($C176="","",IFERROR(INDEX('Asset Register'!$D:$D,MATCH($C176,'Asset Register'!$A:$A,0)),""))</f>
        <v/>
      </c>
      <c r="J176" s="17" t="str">
        <f t="shared" si="27"/>
        <v/>
      </c>
      <c r="K176" s="17" t="str">
        <f t="shared" si="28"/>
        <v/>
      </c>
      <c r="L176" s="17" t="str">
        <f t="shared" si="21"/>
        <v/>
      </c>
      <c r="O176" t="str">
        <f>IF($C176="","",IFERROR(INDEX('Asset Register'!$G:$G,MATCH($C176,'Asset Register'!$A:$A,0)),""))</f>
        <v/>
      </c>
      <c r="Q176" t="str">
        <f t="shared" si="22"/>
        <v/>
      </c>
      <c r="R176" t="str">
        <f t="shared" si="23"/>
        <v/>
      </c>
      <c r="S176" s="17" t="str">
        <f t="shared" si="24"/>
        <v/>
      </c>
      <c r="T176" s="18" t="str">
        <f>IF($C176="","",IFERROR(INDEX('Asset Register'!$H:$H,MATCH($C176,'Asset Register'!$A:$A,0)),""))</f>
        <v/>
      </c>
      <c r="U176" s="18" t="str">
        <f t="shared" si="25"/>
        <v/>
      </c>
      <c r="V176" s="17" t="str">
        <f t="shared" si="26"/>
        <v/>
      </c>
    </row>
    <row r="177" spans="1:22" x14ac:dyDescent="0.25">
      <c r="A177" t="str">
        <f t="shared" si="20"/>
        <v/>
      </c>
      <c r="B177" s="16"/>
      <c r="D177" t="str">
        <f>IF($C177="","",IFERROR(INDEX('Asset Register'!$B:$B,MATCH($C177,'Asset Register'!$A:$A,0)),""))</f>
        <v/>
      </c>
      <c r="E177" t="str">
        <f>IF($C177="","",IFERROR(INDEX('Asset Register'!$C:$C,MATCH($C177,'Asset Register'!$A:$A,0)),""))</f>
        <v/>
      </c>
      <c r="F177" t="str">
        <f>IF($C177="","",IFERROR(INDEX('Asset Register'!$D:$D,MATCH($C177,'Asset Register'!$A:$A,0)),""))</f>
        <v/>
      </c>
      <c r="J177" s="17" t="str">
        <f t="shared" si="27"/>
        <v/>
      </c>
      <c r="K177" s="17" t="str">
        <f t="shared" si="28"/>
        <v/>
      </c>
      <c r="L177" s="17" t="str">
        <f t="shared" si="21"/>
        <v/>
      </c>
      <c r="O177" t="str">
        <f>IF($C177="","",IFERROR(INDEX('Asset Register'!$G:$G,MATCH($C177,'Asset Register'!$A:$A,0)),""))</f>
        <v/>
      </c>
      <c r="Q177" t="str">
        <f t="shared" si="22"/>
        <v/>
      </c>
      <c r="R177" t="str">
        <f t="shared" si="23"/>
        <v/>
      </c>
      <c r="S177" s="17" t="str">
        <f t="shared" si="24"/>
        <v/>
      </c>
      <c r="T177" s="18" t="str">
        <f>IF($C177="","",IFERROR(INDEX('Asset Register'!$H:$H,MATCH($C177,'Asset Register'!$A:$A,0)),""))</f>
        <v/>
      </c>
      <c r="U177" s="18" t="str">
        <f t="shared" si="25"/>
        <v/>
      </c>
      <c r="V177" s="17" t="str">
        <f t="shared" si="26"/>
        <v/>
      </c>
    </row>
    <row r="178" spans="1:22" x14ac:dyDescent="0.25">
      <c r="A178" t="str">
        <f t="shared" si="20"/>
        <v/>
      </c>
      <c r="B178" s="16"/>
      <c r="D178" t="str">
        <f>IF($C178="","",IFERROR(INDEX('Asset Register'!$B:$B,MATCH($C178,'Asset Register'!$A:$A,0)),""))</f>
        <v/>
      </c>
      <c r="E178" t="str">
        <f>IF($C178="","",IFERROR(INDEX('Asset Register'!$C:$C,MATCH($C178,'Asset Register'!$A:$A,0)),""))</f>
        <v/>
      </c>
      <c r="F178" t="str">
        <f>IF($C178="","",IFERROR(INDEX('Asset Register'!$D:$D,MATCH($C178,'Asset Register'!$A:$A,0)),""))</f>
        <v/>
      </c>
      <c r="J178" s="17" t="str">
        <f t="shared" si="27"/>
        <v/>
      </c>
      <c r="K178" s="17" t="str">
        <f t="shared" si="28"/>
        <v/>
      </c>
      <c r="L178" s="17" t="str">
        <f t="shared" si="21"/>
        <v/>
      </c>
      <c r="O178" t="str">
        <f>IF($C178="","",IFERROR(INDEX('Asset Register'!$G:$G,MATCH($C178,'Asset Register'!$A:$A,0)),""))</f>
        <v/>
      </c>
      <c r="Q178" t="str">
        <f t="shared" si="22"/>
        <v/>
      </c>
      <c r="R178" t="str">
        <f t="shared" si="23"/>
        <v/>
      </c>
      <c r="S178" s="17" t="str">
        <f t="shared" si="24"/>
        <v/>
      </c>
      <c r="T178" s="18" t="str">
        <f>IF($C178="","",IFERROR(INDEX('Asset Register'!$H:$H,MATCH($C178,'Asset Register'!$A:$A,0)),""))</f>
        <v/>
      </c>
      <c r="U178" s="18" t="str">
        <f t="shared" si="25"/>
        <v/>
      </c>
      <c r="V178" s="17" t="str">
        <f t="shared" si="26"/>
        <v/>
      </c>
    </row>
    <row r="179" spans="1:22" x14ac:dyDescent="0.25">
      <c r="A179" t="str">
        <f t="shared" si="20"/>
        <v/>
      </c>
      <c r="B179" s="16"/>
      <c r="D179" t="str">
        <f>IF($C179="","",IFERROR(INDEX('Asset Register'!$B:$B,MATCH($C179,'Asset Register'!$A:$A,0)),""))</f>
        <v/>
      </c>
      <c r="E179" t="str">
        <f>IF($C179="","",IFERROR(INDEX('Asset Register'!$C:$C,MATCH($C179,'Asset Register'!$A:$A,0)),""))</f>
        <v/>
      </c>
      <c r="F179" t="str">
        <f>IF($C179="","",IFERROR(INDEX('Asset Register'!$D:$D,MATCH($C179,'Asset Register'!$A:$A,0)),""))</f>
        <v/>
      </c>
      <c r="J179" s="17" t="str">
        <f t="shared" si="27"/>
        <v/>
      </c>
      <c r="K179" s="17" t="str">
        <f t="shared" si="28"/>
        <v/>
      </c>
      <c r="L179" s="17" t="str">
        <f t="shared" si="21"/>
        <v/>
      </c>
      <c r="O179" t="str">
        <f>IF($C179="","",IFERROR(INDEX('Asset Register'!$G:$G,MATCH($C179,'Asset Register'!$A:$A,0)),""))</f>
        <v/>
      </c>
      <c r="Q179" t="str">
        <f t="shared" si="22"/>
        <v/>
      </c>
      <c r="R179" t="str">
        <f t="shared" si="23"/>
        <v/>
      </c>
      <c r="S179" s="17" t="str">
        <f t="shared" si="24"/>
        <v/>
      </c>
      <c r="T179" s="18" t="str">
        <f>IF($C179="","",IFERROR(INDEX('Asset Register'!$H:$H,MATCH($C179,'Asset Register'!$A:$A,0)),""))</f>
        <v/>
      </c>
      <c r="U179" s="18" t="str">
        <f t="shared" si="25"/>
        <v/>
      </c>
      <c r="V179" s="17" t="str">
        <f t="shared" si="26"/>
        <v/>
      </c>
    </row>
    <row r="180" spans="1:22" x14ac:dyDescent="0.25">
      <c r="A180" t="str">
        <f t="shared" si="20"/>
        <v/>
      </c>
      <c r="B180" s="16"/>
      <c r="D180" t="str">
        <f>IF($C180="","",IFERROR(INDEX('Asset Register'!$B:$B,MATCH($C180,'Asset Register'!$A:$A,0)),""))</f>
        <v/>
      </c>
      <c r="E180" t="str">
        <f>IF($C180="","",IFERROR(INDEX('Asset Register'!$C:$C,MATCH($C180,'Asset Register'!$A:$A,0)),""))</f>
        <v/>
      </c>
      <c r="F180" t="str">
        <f>IF($C180="","",IFERROR(INDEX('Asset Register'!$D:$D,MATCH($C180,'Asset Register'!$A:$A,0)),""))</f>
        <v/>
      </c>
      <c r="J180" s="17" t="str">
        <f t="shared" si="27"/>
        <v/>
      </c>
      <c r="K180" s="17" t="str">
        <f t="shared" si="28"/>
        <v/>
      </c>
      <c r="L180" s="17" t="str">
        <f t="shared" si="21"/>
        <v/>
      </c>
      <c r="O180" t="str">
        <f>IF($C180="","",IFERROR(INDEX('Asset Register'!$G:$G,MATCH($C180,'Asset Register'!$A:$A,0)),""))</f>
        <v/>
      </c>
      <c r="Q180" t="str">
        <f t="shared" si="22"/>
        <v/>
      </c>
      <c r="R180" t="str">
        <f t="shared" si="23"/>
        <v/>
      </c>
      <c r="S180" s="17" t="str">
        <f t="shared" si="24"/>
        <v/>
      </c>
      <c r="T180" s="18" t="str">
        <f>IF($C180="","",IFERROR(INDEX('Asset Register'!$H:$H,MATCH($C180,'Asset Register'!$A:$A,0)),""))</f>
        <v/>
      </c>
      <c r="U180" s="18" t="str">
        <f t="shared" si="25"/>
        <v/>
      </c>
      <c r="V180" s="17" t="str">
        <f t="shared" si="26"/>
        <v/>
      </c>
    </row>
    <row r="181" spans="1:22" x14ac:dyDescent="0.25">
      <c r="A181" t="str">
        <f t="shared" si="20"/>
        <v/>
      </c>
      <c r="B181" s="16"/>
      <c r="D181" t="str">
        <f>IF($C181="","",IFERROR(INDEX('Asset Register'!$B:$B,MATCH($C181,'Asset Register'!$A:$A,0)),""))</f>
        <v/>
      </c>
      <c r="E181" t="str">
        <f>IF($C181="","",IFERROR(INDEX('Asset Register'!$C:$C,MATCH($C181,'Asset Register'!$A:$A,0)),""))</f>
        <v/>
      </c>
      <c r="F181" t="str">
        <f>IF($C181="","",IFERROR(INDEX('Asset Register'!$D:$D,MATCH($C181,'Asset Register'!$A:$A,0)),""))</f>
        <v/>
      </c>
      <c r="J181" s="17" t="str">
        <f t="shared" si="27"/>
        <v/>
      </c>
      <c r="K181" s="17" t="str">
        <f t="shared" si="28"/>
        <v/>
      </c>
      <c r="L181" s="17" t="str">
        <f t="shared" si="21"/>
        <v/>
      </c>
      <c r="O181" t="str">
        <f>IF($C181="","",IFERROR(INDEX('Asset Register'!$G:$G,MATCH($C181,'Asset Register'!$A:$A,0)),""))</f>
        <v/>
      </c>
      <c r="Q181" t="str">
        <f t="shared" si="22"/>
        <v/>
      </c>
      <c r="R181" t="str">
        <f t="shared" si="23"/>
        <v/>
      </c>
      <c r="S181" s="17" t="str">
        <f t="shared" si="24"/>
        <v/>
      </c>
      <c r="T181" s="18" t="str">
        <f>IF($C181="","",IFERROR(INDEX('Asset Register'!$H:$H,MATCH($C181,'Asset Register'!$A:$A,0)),""))</f>
        <v/>
      </c>
      <c r="U181" s="18" t="str">
        <f t="shared" si="25"/>
        <v/>
      </c>
      <c r="V181" s="17" t="str">
        <f t="shared" si="26"/>
        <v/>
      </c>
    </row>
    <row r="182" spans="1:22" x14ac:dyDescent="0.25">
      <c r="A182" t="str">
        <f t="shared" si="20"/>
        <v/>
      </c>
      <c r="B182" s="16"/>
      <c r="D182" t="str">
        <f>IF($C182="","",IFERROR(INDEX('Asset Register'!$B:$B,MATCH($C182,'Asset Register'!$A:$A,0)),""))</f>
        <v/>
      </c>
      <c r="E182" t="str">
        <f>IF($C182="","",IFERROR(INDEX('Asset Register'!$C:$C,MATCH($C182,'Asset Register'!$A:$A,0)),""))</f>
        <v/>
      </c>
      <c r="F182" t="str">
        <f>IF($C182="","",IFERROR(INDEX('Asset Register'!$D:$D,MATCH($C182,'Asset Register'!$A:$A,0)),""))</f>
        <v/>
      </c>
      <c r="J182" s="17" t="str">
        <f t="shared" si="27"/>
        <v/>
      </c>
      <c r="K182" s="17" t="str">
        <f t="shared" si="28"/>
        <v/>
      </c>
      <c r="L182" s="17" t="str">
        <f t="shared" si="21"/>
        <v/>
      </c>
      <c r="O182" t="str">
        <f>IF($C182="","",IFERROR(INDEX('Asset Register'!$G:$G,MATCH($C182,'Asset Register'!$A:$A,0)),""))</f>
        <v/>
      </c>
      <c r="Q182" t="str">
        <f t="shared" si="22"/>
        <v/>
      </c>
      <c r="R182" t="str">
        <f t="shared" si="23"/>
        <v/>
      </c>
      <c r="S182" s="17" t="str">
        <f t="shared" si="24"/>
        <v/>
      </c>
      <c r="T182" s="18" t="str">
        <f>IF($C182="","",IFERROR(INDEX('Asset Register'!$H:$H,MATCH($C182,'Asset Register'!$A:$A,0)),""))</f>
        <v/>
      </c>
      <c r="U182" s="18" t="str">
        <f t="shared" si="25"/>
        <v/>
      </c>
      <c r="V182" s="17" t="str">
        <f t="shared" si="26"/>
        <v/>
      </c>
    </row>
    <row r="183" spans="1:22" x14ac:dyDescent="0.25">
      <c r="A183" t="str">
        <f t="shared" si="20"/>
        <v/>
      </c>
      <c r="B183" s="16"/>
      <c r="D183" t="str">
        <f>IF($C183="","",IFERROR(INDEX('Asset Register'!$B:$B,MATCH($C183,'Asset Register'!$A:$A,0)),""))</f>
        <v/>
      </c>
      <c r="E183" t="str">
        <f>IF($C183="","",IFERROR(INDEX('Asset Register'!$C:$C,MATCH($C183,'Asset Register'!$A:$A,0)),""))</f>
        <v/>
      </c>
      <c r="F183" t="str">
        <f>IF($C183="","",IFERROR(INDEX('Asset Register'!$D:$D,MATCH($C183,'Asset Register'!$A:$A,0)),""))</f>
        <v/>
      </c>
      <c r="J183" s="17" t="str">
        <f t="shared" si="27"/>
        <v/>
      </c>
      <c r="K183" s="17" t="str">
        <f t="shared" si="28"/>
        <v/>
      </c>
      <c r="L183" s="17" t="str">
        <f t="shared" si="21"/>
        <v/>
      </c>
      <c r="O183" t="str">
        <f>IF($C183="","",IFERROR(INDEX('Asset Register'!$G:$G,MATCH($C183,'Asset Register'!$A:$A,0)),""))</f>
        <v/>
      </c>
      <c r="Q183" t="str">
        <f t="shared" si="22"/>
        <v/>
      </c>
      <c r="R183" t="str">
        <f t="shared" si="23"/>
        <v/>
      </c>
      <c r="S183" s="17" t="str">
        <f t="shared" si="24"/>
        <v/>
      </c>
      <c r="T183" s="18" t="str">
        <f>IF($C183="","",IFERROR(INDEX('Asset Register'!$H:$H,MATCH($C183,'Asset Register'!$A:$A,0)),""))</f>
        <v/>
      </c>
      <c r="U183" s="18" t="str">
        <f t="shared" si="25"/>
        <v/>
      </c>
      <c r="V183" s="17" t="str">
        <f t="shared" si="26"/>
        <v/>
      </c>
    </row>
    <row r="184" spans="1:22" x14ac:dyDescent="0.25">
      <c r="A184" t="str">
        <f t="shared" si="20"/>
        <v/>
      </c>
      <c r="B184" s="16"/>
      <c r="D184" t="str">
        <f>IF($C184="","",IFERROR(INDEX('Asset Register'!$B:$B,MATCH($C184,'Asset Register'!$A:$A,0)),""))</f>
        <v/>
      </c>
      <c r="E184" t="str">
        <f>IF($C184="","",IFERROR(INDEX('Asset Register'!$C:$C,MATCH($C184,'Asset Register'!$A:$A,0)),""))</f>
        <v/>
      </c>
      <c r="F184" t="str">
        <f>IF($C184="","",IFERROR(INDEX('Asset Register'!$D:$D,MATCH($C184,'Asset Register'!$A:$A,0)),""))</f>
        <v/>
      </c>
      <c r="J184" s="17" t="str">
        <f t="shared" si="27"/>
        <v/>
      </c>
      <c r="K184" s="17" t="str">
        <f t="shared" si="28"/>
        <v/>
      </c>
      <c r="L184" s="17" t="str">
        <f t="shared" si="21"/>
        <v/>
      </c>
      <c r="O184" t="str">
        <f>IF($C184="","",IFERROR(INDEX('Asset Register'!$G:$G,MATCH($C184,'Asset Register'!$A:$A,0)),""))</f>
        <v/>
      </c>
      <c r="Q184" t="str">
        <f t="shared" si="22"/>
        <v/>
      </c>
      <c r="R184" t="str">
        <f t="shared" si="23"/>
        <v/>
      </c>
      <c r="S184" s="17" t="str">
        <f t="shared" si="24"/>
        <v/>
      </c>
      <c r="T184" s="18" t="str">
        <f>IF($C184="","",IFERROR(INDEX('Asset Register'!$H:$H,MATCH($C184,'Asset Register'!$A:$A,0)),""))</f>
        <v/>
      </c>
      <c r="U184" s="18" t="str">
        <f t="shared" si="25"/>
        <v/>
      </c>
      <c r="V184" s="17" t="str">
        <f t="shared" si="26"/>
        <v/>
      </c>
    </row>
    <row r="185" spans="1:22" x14ac:dyDescent="0.25">
      <c r="A185" t="str">
        <f t="shared" si="20"/>
        <v/>
      </c>
      <c r="B185" s="16"/>
      <c r="D185" t="str">
        <f>IF($C185="","",IFERROR(INDEX('Asset Register'!$B:$B,MATCH($C185,'Asset Register'!$A:$A,0)),""))</f>
        <v/>
      </c>
      <c r="E185" t="str">
        <f>IF($C185="","",IFERROR(INDEX('Asset Register'!$C:$C,MATCH($C185,'Asset Register'!$A:$A,0)),""))</f>
        <v/>
      </c>
      <c r="F185" t="str">
        <f>IF($C185="","",IFERROR(INDEX('Asset Register'!$D:$D,MATCH($C185,'Asset Register'!$A:$A,0)),""))</f>
        <v/>
      </c>
      <c r="J185" s="17" t="str">
        <f t="shared" si="27"/>
        <v/>
      </c>
      <c r="K185" s="17" t="str">
        <f t="shared" si="28"/>
        <v/>
      </c>
      <c r="L185" s="17" t="str">
        <f t="shared" si="21"/>
        <v/>
      </c>
      <c r="O185" t="str">
        <f>IF($C185="","",IFERROR(INDEX('Asset Register'!$G:$G,MATCH($C185,'Asset Register'!$A:$A,0)),""))</f>
        <v/>
      </c>
      <c r="Q185" t="str">
        <f t="shared" si="22"/>
        <v/>
      </c>
      <c r="R185" t="str">
        <f t="shared" si="23"/>
        <v/>
      </c>
      <c r="S185" s="17" t="str">
        <f t="shared" si="24"/>
        <v/>
      </c>
      <c r="T185" s="18" t="str">
        <f>IF($C185="","",IFERROR(INDEX('Asset Register'!$H:$H,MATCH($C185,'Asset Register'!$A:$A,0)),""))</f>
        <v/>
      </c>
      <c r="U185" s="18" t="str">
        <f t="shared" si="25"/>
        <v/>
      </c>
      <c r="V185" s="17" t="str">
        <f t="shared" si="26"/>
        <v/>
      </c>
    </row>
    <row r="186" spans="1:22" x14ac:dyDescent="0.25">
      <c r="A186" t="str">
        <f t="shared" si="20"/>
        <v/>
      </c>
      <c r="B186" s="16"/>
      <c r="D186" t="str">
        <f>IF($C186="","",IFERROR(INDEX('Asset Register'!$B:$B,MATCH($C186,'Asset Register'!$A:$A,0)),""))</f>
        <v/>
      </c>
      <c r="E186" t="str">
        <f>IF($C186="","",IFERROR(INDEX('Asset Register'!$C:$C,MATCH($C186,'Asset Register'!$A:$A,0)),""))</f>
        <v/>
      </c>
      <c r="F186" t="str">
        <f>IF($C186="","",IFERROR(INDEX('Asset Register'!$D:$D,MATCH($C186,'Asset Register'!$A:$A,0)),""))</f>
        <v/>
      </c>
      <c r="J186" s="17" t="str">
        <f t="shared" si="27"/>
        <v/>
      </c>
      <c r="K186" s="17" t="str">
        <f t="shared" si="28"/>
        <v/>
      </c>
      <c r="L186" s="17" t="str">
        <f t="shared" si="21"/>
        <v/>
      </c>
      <c r="O186" t="str">
        <f>IF($C186="","",IFERROR(INDEX('Asset Register'!$G:$G,MATCH($C186,'Asset Register'!$A:$A,0)),""))</f>
        <v/>
      </c>
      <c r="Q186" t="str">
        <f t="shared" si="22"/>
        <v/>
      </c>
      <c r="R186" t="str">
        <f t="shared" si="23"/>
        <v/>
      </c>
      <c r="S186" s="17" t="str">
        <f t="shared" si="24"/>
        <v/>
      </c>
      <c r="T186" s="18" t="str">
        <f>IF($C186="","",IFERROR(INDEX('Asset Register'!$H:$H,MATCH($C186,'Asset Register'!$A:$A,0)),""))</f>
        <v/>
      </c>
      <c r="U186" s="18" t="str">
        <f t="shared" si="25"/>
        <v/>
      </c>
      <c r="V186" s="17" t="str">
        <f t="shared" si="26"/>
        <v/>
      </c>
    </row>
    <row r="187" spans="1:22" x14ac:dyDescent="0.25">
      <c r="A187" t="str">
        <f t="shared" si="20"/>
        <v/>
      </c>
      <c r="B187" s="16"/>
      <c r="D187" t="str">
        <f>IF($C187="","",IFERROR(INDEX('Asset Register'!$B:$B,MATCH($C187,'Asset Register'!$A:$A,0)),""))</f>
        <v/>
      </c>
      <c r="E187" t="str">
        <f>IF($C187="","",IFERROR(INDEX('Asset Register'!$C:$C,MATCH($C187,'Asset Register'!$A:$A,0)),""))</f>
        <v/>
      </c>
      <c r="F187" t="str">
        <f>IF($C187="","",IFERROR(INDEX('Asset Register'!$D:$D,MATCH($C187,'Asset Register'!$A:$A,0)),""))</f>
        <v/>
      </c>
      <c r="J187" s="17" t="str">
        <f t="shared" si="27"/>
        <v/>
      </c>
      <c r="K187" s="17" t="str">
        <f t="shared" si="28"/>
        <v/>
      </c>
      <c r="L187" s="17" t="str">
        <f t="shared" si="21"/>
        <v/>
      </c>
      <c r="O187" t="str">
        <f>IF($C187="","",IFERROR(INDEX('Asset Register'!$G:$G,MATCH($C187,'Asset Register'!$A:$A,0)),""))</f>
        <v/>
      </c>
      <c r="Q187" t="str">
        <f t="shared" si="22"/>
        <v/>
      </c>
      <c r="R187" t="str">
        <f t="shared" si="23"/>
        <v/>
      </c>
      <c r="S187" s="17" t="str">
        <f t="shared" si="24"/>
        <v/>
      </c>
      <c r="T187" s="18" t="str">
        <f>IF($C187="","",IFERROR(INDEX('Asset Register'!$H:$H,MATCH($C187,'Asset Register'!$A:$A,0)),""))</f>
        <v/>
      </c>
      <c r="U187" s="18" t="str">
        <f t="shared" si="25"/>
        <v/>
      </c>
      <c r="V187" s="17" t="str">
        <f t="shared" si="26"/>
        <v/>
      </c>
    </row>
    <row r="188" spans="1:22" x14ac:dyDescent="0.25">
      <c r="A188" t="str">
        <f t="shared" si="20"/>
        <v/>
      </c>
      <c r="B188" s="16"/>
      <c r="D188" t="str">
        <f>IF($C188="","",IFERROR(INDEX('Asset Register'!$B:$B,MATCH($C188,'Asset Register'!$A:$A,0)),""))</f>
        <v/>
      </c>
      <c r="E188" t="str">
        <f>IF($C188="","",IFERROR(INDEX('Asset Register'!$C:$C,MATCH($C188,'Asset Register'!$A:$A,0)),""))</f>
        <v/>
      </c>
      <c r="F188" t="str">
        <f>IF($C188="","",IFERROR(INDEX('Asset Register'!$D:$D,MATCH($C188,'Asset Register'!$A:$A,0)),""))</f>
        <v/>
      </c>
      <c r="J188" s="17" t="str">
        <f t="shared" si="27"/>
        <v/>
      </c>
      <c r="K188" s="17" t="str">
        <f t="shared" si="28"/>
        <v/>
      </c>
      <c r="L188" s="17" t="str">
        <f t="shared" si="21"/>
        <v/>
      </c>
      <c r="O188" t="str">
        <f>IF($C188="","",IFERROR(INDEX('Asset Register'!$G:$G,MATCH($C188,'Asset Register'!$A:$A,0)),""))</f>
        <v/>
      </c>
      <c r="Q188" t="str">
        <f t="shared" si="22"/>
        <v/>
      </c>
      <c r="R188" t="str">
        <f t="shared" si="23"/>
        <v/>
      </c>
      <c r="S188" s="17" t="str">
        <f t="shared" si="24"/>
        <v/>
      </c>
      <c r="T188" s="18" t="str">
        <f>IF($C188="","",IFERROR(INDEX('Asset Register'!$H:$H,MATCH($C188,'Asset Register'!$A:$A,0)),""))</f>
        <v/>
      </c>
      <c r="U188" s="18" t="str">
        <f t="shared" si="25"/>
        <v/>
      </c>
      <c r="V188" s="17" t="str">
        <f t="shared" si="26"/>
        <v/>
      </c>
    </row>
    <row r="189" spans="1:22" x14ac:dyDescent="0.25">
      <c r="A189" t="str">
        <f t="shared" si="20"/>
        <v/>
      </c>
      <c r="B189" s="16"/>
      <c r="D189" t="str">
        <f>IF($C189="","",IFERROR(INDEX('Asset Register'!$B:$B,MATCH($C189,'Asset Register'!$A:$A,0)),""))</f>
        <v/>
      </c>
      <c r="E189" t="str">
        <f>IF($C189="","",IFERROR(INDEX('Asset Register'!$C:$C,MATCH($C189,'Asset Register'!$A:$A,0)),""))</f>
        <v/>
      </c>
      <c r="F189" t="str">
        <f>IF($C189="","",IFERROR(INDEX('Asset Register'!$D:$D,MATCH($C189,'Asset Register'!$A:$A,0)),""))</f>
        <v/>
      </c>
      <c r="J189" s="17" t="str">
        <f t="shared" si="27"/>
        <v/>
      </c>
      <c r="K189" s="17" t="str">
        <f t="shared" si="28"/>
        <v/>
      </c>
      <c r="L189" s="17" t="str">
        <f t="shared" si="21"/>
        <v/>
      </c>
      <c r="O189" t="str">
        <f>IF($C189="","",IFERROR(INDEX('Asset Register'!$G:$G,MATCH($C189,'Asset Register'!$A:$A,0)),""))</f>
        <v/>
      </c>
      <c r="Q189" t="str">
        <f t="shared" si="22"/>
        <v/>
      </c>
      <c r="R189" t="str">
        <f t="shared" si="23"/>
        <v/>
      </c>
      <c r="S189" s="17" t="str">
        <f t="shared" si="24"/>
        <v/>
      </c>
      <c r="T189" s="18" t="str">
        <f>IF($C189="","",IFERROR(INDEX('Asset Register'!$H:$H,MATCH($C189,'Asset Register'!$A:$A,0)),""))</f>
        <v/>
      </c>
      <c r="U189" s="18" t="str">
        <f t="shared" si="25"/>
        <v/>
      </c>
      <c r="V189" s="17" t="str">
        <f t="shared" si="26"/>
        <v/>
      </c>
    </row>
    <row r="190" spans="1:22" x14ac:dyDescent="0.25">
      <c r="A190" t="str">
        <f t="shared" si="20"/>
        <v/>
      </c>
      <c r="B190" s="16"/>
      <c r="D190" t="str">
        <f>IF($C190="","",IFERROR(INDEX('Asset Register'!$B:$B,MATCH($C190,'Asset Register'!$A:$A,0)),""))</f>
        <v/>
      </c>
      <c r="E190" t="str">
        <f>IF($C190="","",IFERROR(INDEX('Asset Register'!$C:$C,MATCH($C190,'Asset Register'!$A:$A,0)),""))</f>
        <v/>
      </c>
      <c r="F190" t="str">
        <f>IF($C190="","",IFERROR(INDEX('Asset Register'!$D:$D,MATCH($C190,'Asset Register'!$A:$A,0)),""))</f>
        <v/>
      </c>
      <c r="J190" s="17" t="str">
        <f t="shared" si="27"/>
        <v/>
      </c>
      <c r="K190" s="17" t="str">
        <f t="shared" si="28"/>
        <v/>
      </c>
      <c r="L190" s="17" t="str">
        <f t="shared" si="21"/>
        <v/>
      </c>
      <c r="O190" t="str">
        <f>IF($C190="","",IFERROR(INDEX('Asset Register'!$G:$G,MATCH($C190,'Asset Register'!$A:$A,0)),""))</f>
        <v/>
      </c>
      <c r="Q190" t="str">
        <f t="shared" si="22"/>
        <v/>
      </c>
      <c r="R190" t="str">
        <f t="shared" si="23"/>
        <v/>
      </c>
      <c r="S190" s="17" t="str">
        <f t="shared" si="24"/>
        <v/>
      </c>
      <c r="T190" s="18" t="str">
        <f>IF($C190="","",IFERROR(INDEX('Asset Register'!$H:$H,MATCH($C190,'Asset Register'!$A:$A,0)),""))</f>
        <v/>
      </c>
      <c r="U190" s="18" t="str">
        <f t="shared" si="25"/>
        <v/>
      </c>
      <c r="V190" s="17" t="str">
        <f t="shared" si="26"/>
        <v/>
      </c>
    </row>
    <row r="191" spans="1:22" x14ac:dyDescent="0.25">
      <c r="A191" t="str">
        <f t="shared" si="20"/>
        <v/>
      </c>
      <c r="B191" s="16"/>
      <c r="D191" t="str">
        <f>IF($C191="","",IFERROR(INDEX('Asset Register'!$B:$B,MATCH($C191,'Asset Register'!$A:$A,0)),""))</f>
        <v/>
      </c>
      <c r="E191" t="str">
        <f>IF($C191="","",IFERROR(INDEX('Asset Register'!$C:$C,MATCH($C191,'Asset Register'!$A:$A,0)),""))</f>
        <v/>
      </c>
      <c r="F191" t="str">
        <f>IF($C191="","",IFERROR(INDEX('Asset Register'!$D:$D,MATCH($C191,'Asset Register'!$A:$A,0)),""))</f>
        <v/>
      </c>
      <c r="J191" s="17" t="str">
        <f t="shared" si="27"/>
        <v/>
      </c>
      <c r="K191" s="17" t="str">
        <f t="shared" si="28"/>
        <v/>
      </c>
      <c r="L191" s="17" t="str">
        <f t="shared" si="21"/>
        <v/>
      </c>
      <c r="O191" t="str">
        <f>IF($C191="","",IFERROR(INDEX('Asset Register'!$G:$G,MATCH($C191,'Asset Register'!$A:$A,0)),""))</f>
        <v/>
      </c>
      <c r="Q191" t="str">
        <f t="shared" si="22"/>
        <v/>
      </c>
      <c r="R191" t="str">
        <f t="shared" si="23"/>
        <v/>
      </c>
      <c r="S191" s="17" t="str">
        <f t="shared" si="24"/>
        <v/>
      </c>
      <c r="T191" s="18" t="str">
        <f>IF($C191="","",IFERROR(INDEX('Asset Register'!$H:$H,MATCH($C191,'Asset Register'!$A:$A,0)),""))</f>
        <v/>
      </c>
      <c r="U191" s="18" t="str">
        <f t="shared" si="25"/>
        <v/>
      </c>
      <c r="V191" s="17" t="str">
        <f t="shared" si="26"/>
        <v/>
      </c>
    </row>
    <row r="192" spans="1:22" x14ac:dyDescent="0.25">
      <c r="A192" t="str">
        <f t="shared" si="20"/>
        <v/>
      </c>
      <c r="B192" s="16"/>
      <c r="D192" t="str">
        <f>IF($C192="","",IFERROR(INDEX('Asset Register'!$B:$B,MATCH($C192,'Asset Register'!$A:$A,0)),""))</f>
        <v/>
      </c>
      <c r="E192" t="str">
        <f>IF($C192="","",IFERROR(INDEX('Asset Register'!$C:$C,MATCH($C192,'Asset Register'!$A:$A,0)),""))</f>
        <v/>
      </c>
      <c r="F192" t="str">
        <f>IF($C192="","",IFERROR(INDEX('Asset Register'!$D:$D,MATCH($C192,'Asset Register'!$A:$A,0)),""))</f>
        <v/>
      </c>
      <c r="J192" s="17" t="str">
        <f t="shared" si="27"/>
        <v/>
      </c>
      <c r="K192" s="17" t="str">
        <f t="shared" si="28"/>
        <v/>
      </c>
      <c r="L192" s="17" t="str">
        <f t="shared" si="21"/>
        <v/>
      </c>
      <c r="O192" t="str">
        <f>IF($C192="","",IFERROR(INDEX('Asset Register'!$G:$G,MATCH($C192,'Asset Register'!$A:$A,0)),""))</f>
        <v/>
      </c>
      <c r="Q192" t="str">
        <f t="shared" si="22"/>
        <v/>
      </c>
      <c r="R192" t="str">
        <f t="shared" si="23"/>
        <v/>
      </c>
      <c r="S192" s="17" t="str">
        <f t="shared" si="24"/>
        <v/>
      </c>
      <c r="T192" s="18" t="str">
        <f>IF($C192="","",IFERROR(INDEX('Asset Register'!$H:$H,MATCH($C192,'Asset Register'!$A:$A,0)),""))</f>
        <v/>
      </c>
      <c r="U192" s="18" t="str">
        <f t="shared" si="25"/>
        <v/>
      </c>
      <c r="V192" s="17" t="str">
        <f t="shared" si="26"/>
        <v/>
      </c>
    </row>
    <row r="193" spans="1:22" x14ac:dyDescent="0.25">
      <c r="A193" t="str">
        <f t="shared" si="20"/>
        <v/>
      </c>
      <c r="B193" s="16"/>
      <c r="D193" t="str">
        <f>IF($C193="","",IFERROR(INDEX('Asset Register'!$B:$B,MATCH($C193,'Asset Register'!$A:$A,0)),""))</f>
        <v/>
      </c>
      <c r="E193" t="str">
        <f>IF($C193="","",IFERROR(INDEX('Asset Register'!$C:$C,MATCH($C193,'Asset Register'!$A:$A,0)),""))</f>
        <v/>
      </c>
      <c r="F193" t="str">
        <f>IF($C193="","",IFERROR(INDEX('Asset Register'!$D:$D,MATCH($C193,'Asset Register'!$A:$A,0)),""))</f>
        <v/>
      </c>
      <c r="J193" s="17" t="str">
        <f t="shared" si="27"/>
        <v/>
      </c>
      <c r="K193" s="17" t="str">
        <f t="shared" si="28"/>
        <v/>
      </c>
      <c r="L193" s="17" t="str">
        <f t="shared" si="21"/>
        <v/>
      </c>
      <c r="O193" t="str">
        <f>IF($C193="","",IFERROR(INDEX('Asset Register'!$G:$G,MATCH($C193,'Asset Register'!$A:$A,0)),""))</f>
        <v/>
      </c>
      <c r="Q193" t="str">
        <f t="shared" si="22"/>
        <v/>
      </c>
      <c r="R193" t="str">
        <f t="shared" si="23"/>
        <v/>
      </c>
      <c r="S193" s="17" t="str">
        <f t="shared" si="24"/>
        <v/>
      </c>
      <c r="T193" s="18" t="str">
        <f>IF($C193="","",IFERROR(INDEX('Asset Register'!$H:$H,MATCH($C193,'Asset Register'!$A:$A,0)),""))</f>
        <v/>
      </c>
      <c r="U193" s="18" t="str">
        <f t="shared" si="25"/>
        <v/>
      </c>
      <c r="V193" s="17" t="str">
        <f t="shared" si="26"/>
        <v/>
      </c>
    </row>
    <row r="194" spans="1:22" x14ac:dyDescent="0.25">
      <c r="A194" t="str">
        <f t="shared" ref="A194:A257" si="29">IF(B194="","",ROW()-1)</f>
        <v/>
      </c>
      <c r="B194" s="16"/>
      <c r="D194" t="str">
        <f>IF($C194="","",IFERROR(INDEX('Asset Register'!$B:$B,MATCH($C194,'Asset Register'!$A:$A,0)),""))</f>
        <v/>
      </c>
      <c r="E194" t="str">
        <f>IF($C194="","",IFERROR(INDEX('Asset Register'!$C:$C,MATCH($C194,'Asset Register'!$A:$A,0)),""))</f>
        <v/>
      </c>
      <c r="F194" t="str">
        <f>IF($C194="","",IFERROR(INDEX('Asset Register'!$D:$D,MATCH($C194,'Asset Register'!$A:$A,0)),""))</f>
        <v/>
      </c>
      <c r="J194" s="17" t="str">
        <f t="shared" si="27"/>
        <v/>
      </c>
      <c r="K194" s="17" t="str">
        <f t="shared" si="28"/>
        <v/>
      </c>
      <c r="L194" s="17" t="str">
        <f t="shared" ref="L194:L257" si="30">IF($J194="","",1-$J194)</f>
        <v/>
      </c>
      <c r="O194" t="str">
        <f>IF($C194="","",IFERROR(INDEX('Asset Register'!$G:$G,MATCH($C194,'Asset Register'!$A:$A,0)),""))</f>
        <v/>
      </c>
      <c r="Q194" t="str">
        <f t="shared" ref="Q194:Q257" si="31">IF($O194="","",$O194*$G194)</f>
        <v/>
      </c>
      <c r="R194" t="str">
        <f t="shared" ref="R194:R257" si="32">IF(OR($P194="",$Q194=""),"",$P194-$Q194)</f>
        <v/>
      </c>
      <c r="S194" s="17" t="str">
        <f t="shared" ref="S194:S257" si="33">IF(OR($R194="",$Q194="",$Q194=0),"",$R194/$Q194)</f>
        <v/>
      </c>
      <c r="T194" s="18" t="str">
        <f>IF($C194="","",IFERROR(INDEX('Asset Register'!$H:$H,MATCH($C194,'Asset Register'!$A:$A,0)),""))</f>
        <v/>
      </c>
      <c r="U194" s="18" t="str">
        <f t="shared" ref="U194:U257" si="34">IF($T194="","",$G194*$T194)</f>
        <v/>
      </c>
      <c r="V194" s="17" t="str">
        <f t="shared" ref="V194:V257" si="35">IFERROR($H194/$G194,"")</f>
        <v/>
      </c>
    </row>
    <row r="195" spans="1:22" x14ac:dyDescent="0.25">
      <c r="A195" t="str">
        <f t="shared" si="29"/>
        <v/>
      </c>
      <c r="B195" s="16"/>
      <c r="D195" t="str">
        <f>IF($C195="","",IFERROR(INDEX('Asset Register'!$B:$B,MATCH($C195,'Asset Register'!$A:$A,0)),""))</f>
        <v/>
      </c>
      <c r="E195" t="str">
        <f>IF($C195="","",IFERROR(INDEX('Asset Register'!$C:$C,MATCH($C195,'Asset Register'!$A:$A,0)),""))</f>
        <v/>
      </c>
      <c r="F195" t="str">
        <f>IF($C195="","",IFERROR(INDEX('Asset Register'!$D:$D,MATCH($C195,'Asset Register'!$A:$A,0)),""))</f>
        <v/>
      </c>
      <c r="J195" s="17" t="str">
        <f t="shared" si="27"/>
        <v/>
      </c>
      <c r="K195" s="17" t="str">
        <f t="shared" si="28"/>
        <v/>
      </c>
      <c r="L195" s="17" t="str">
        <f t="shared" si="30"/>
        <v/>
      </c>
      <c r="O195" t="str">
        <f>IF($C195="","",IFERROR(INDEX('Asset Register'!$G:$G,MATCH($C195,'Asset Register'!$A:$A,0)),""))</f>
        <v/>
      </c>
      <c r="Q195" t="str">
        <f t="shared" si="31"/>
        <v/>
      </c>
      <c r="R195" t="str">
        <f t="shared" si="32"/>
        <v/>
      </c>
      <c r="S195" s="17" t="str">
        <f t="shared" si="33"/>
        <v/>
      </c>
      <c r="T195" s="18" t="str">
        <f>IF($C195="","",IFERROR(INDEX('Asset Register'!$H:$H,MATCH($C195,'Asset Register'!$A:$A,0)),""))</f>
        <v/>
      </c>
      <c r="U195" s="18" t="str">
        <f t="shared" si="34"/>
        <v/>
      </c>
      <c r="V195" s="17" t="str">
        <f t="shared" si="35"/>
        <v/>
      </c>
    </row>
    <row r="196" spans="1:22" x14ac:dyDescent="0.25">
      <c r="A196" t="str">
        <f t="shared" si="29"/>
        <v/>
      </c>
      <c r="B196" s="16"/>
      <c r="D196" t="str">
        <f>IF($C196="","",IFERROR(INDEX('Asset Register'!$B:$B,MATCH($C196,'Asset Register'!$A:$A,0)),""))</f>
        <v/>
      </c>
      <c r="E196" t="str">
        <f>IF($C196="","",IFERROR(INDEX('Asset Register'!$C:$C,MATCH($C196,'Asset Register'!$A:$A,0)),""))</f>
        <v/>
      </c>
      <c r="F196" t="str">
        <f>IF($C196="","",IFERROR(INDEX('Asset Register'!$D:$D,MATCH($C196,'Asset Register'!$A:$A,0)),""))</f>
        <v/>
      </c>
      <c r="J196" s="17" t="str">
        <f t="shared" si="27"/>
        <v/>
      </c>
      <c r="K196" s="17" t="str">
        <f t="shared" si="28"/>
        <v/>
      </c>
      <c r="L196" s="17" t="str">
        <f t="shared" si="30"/>
        <v/>
      </c>
      <c r="O196" t="str">
        <f>IF($C196="","",IFERROR(INDEX('Asset Register'!$G:$G,MATCH($C196,'Asset Register'!$A:$A,0)),""))</f>
        <v/>
      </c>
      <c r="Q196" t="str">
        <f t="shared" si="31"/>
        <v/>
      </c>
      <c r="R196" t="str">
        <f t="shared" si="32"/>
        <v/>
      </c>
      <c r="S196" s="17" t="str">
        <f t="shared" si="33"/>
        <v/>
      </c>
      <c r="T196" s="18" t="str">
        <f>IF($C196="","",IFERROR(INDEX('Asset Register'!$H:$H,MATCH($C196,'Asset Register'!$A:$A,0)),""))</f>
        <v/>
      </c>
      <c r="U196" s="18" t="str">
        <f t="shared" si="34"/>
        <v/>
      </c>
      <c r="V196" s="17" t="str">
        <f t="shared" si="35"/>
        <v/>
      </c>
    </row>
    <row r="197" spans="1:22" x14ac:dyDescent="0.25">
      <c r="A197" t="str">
        <f t="shared" si="29"/>
        <v/>
      </c>
      <c r="B197" s="16"/>
      <c r="D197" t="str">
        <f>IF($C197="","",IFERROR(INDEX('Asset Register'!$B:$B,MATCH($C197,'Asset Register'!$A:$A,0)),""))</f>
        <v/>
      </c>
      <c r="E197" t="str">
        <f>IF($C197="","",IFERROR(INDEX('Asset Register'!$C:$C,MATCH($C197,'Asset Register'!$A:$A,0)),""))</f>
        <v/>
      </c>
      <c r="F197" t="str">
        <f>IF($C197="","",IFERROR(INDEX('Asset Register'!$D:$D,MATCH($C197,'Asset Register'!$A:$A,0)),""))</f>
        <v/>
      </c>
      <c r="J197" s="17" t="str">
        <f t="shared" si="27"/>
        <v/>
      </c>
      <c r="K197" s="17" t="str">
        <f t="shared" si="28"/>
        <v/>
      </c>
      <c r="L197" s="17" t="str">
        <f t="shared" si="30"/>
        <v/>
      </c>
      <c r="O197" t="str">
        <f>IF($C197="","",IFERROR(INDEX('Asset Register'!$G:$G,MATCH($C197,'Asset Register'!$A:$A,0)),""))</f>
        <v/>
      </c>
      <c r="Q197" t="str">
        <f t="shared" si="31"/>
        <v/>
      </c>
      <c r="R197" t="str">
        <f t="shared" si="32"/>
        <v/>
      </c>
      <c r="S197" s="17" t="str">
        <f t="shared" si="33"/>
        <v/>
      </c>
      <c r="T197" s="18" t="str">
        <f>IF($C197="","",IFERROR(INDEX('Asset Register'!$H:$H,MATCH($C197,'Asset Register'!$A:$A,0)),""))</f>
        <v/>
      </c>
      <c r="U197" s="18" t="str">
        <f t="shared" si="34"/>
        <v/>
      </c>
      <c r="V197" s="17" t="str">
        <f t="shared" si="35"/>
        <v/>
      </c>
    </row>
    <row r="198" spans="1:22" x14ac:dyDescent="0.25">
      <c r="A198" t="str">
        <f t="shared" si="29"/>
        <v/>
      </c>
      <c r="B198" s="16"/>
      <c r="D198" t="str">
        <f>IF($C198="","",IFERROR(INDEX('Asset Register'!$B:$B,MATCH($C198,'Asset Register'!$A:$A,0)),""))</f>
        <v/>
      </c>
      <c r="E198" t="str">
        <f>IF($C198="","",IFERROR(INDEX('Asset Register'!$C:$C,MATCH($C198,'Asset Register'!$A:$A,0)),""))</f>
        <v/>
      </c>
      <c r="F198" t="str">
        <f>IF($C198="","",IFERROR(INDEX('Asset Register'!$D:$D,MATCH($C198,'Asset Register'!$A:$A,0)),""))</f>
        <v/>
      </c>
      <c r="J198" s="17" t="str">
        <f t="shared" si="27"/>
        <v/>
      </c>
      <c r="K198" s="17" t="str">
        <f t="shared" si="28"/>
        <v/>
      </c>
      <c r="L198" s="17" t="str">
        <f t="shared" si="30"/>
        <v/>
      </c>
      <c r="O198" t="str">
        <f>IF($C198="","",IFERROR(INDEX('Asset Register'!$G:$G,MATCH($C198,'Asset Register'!$A:$A,0)),""))</f>
        <v/>
      </c>
      <c r="Q198" t="str">
        <f t="shared" si="31"/>
        <v/>
      </c>
      <c r="R198" t="str">
        <f t="shared" si="32"/>
        <v/>
      </c>
      <c r="S198" s="17" t="str">
        <f t="shared" si="33"/>
        <v/>
      </c>
      <c r="T198" s="18" t="str">
        <f>IF($C198="","",IFERROR(INDEX('Asset Register'!$H:$H,MATCH($C198,'Asset Register'!$A:$A,0)),""))</f>
        <v/>
      </c>
      <c r="U198" s="18" t="str">
        <f t="shared" si="34"/>
        <v/>
      </c>
      <c r="V198" s="17" t="str">
        <f t="shared" si="35"/>
        <v/>
      </c>
    </row>
    <row r="199" spans="1:22" x14ac:dyDescent="0.25">
      <c r="A199" t="str">
        <f t="shared" si="29"/>
        <v/>
      </c>
      <c r="B199" s="16"/>
      <c r="D199" t="str">
        <f>IF($C199="","",IFERROR(INDEX('Asset Register'!$B:$B,MATCH($C199,'Asset Register'!$A:$A,0)),""))</f>
        <v/>
      </c>
      <c r="E199" t="str">
        <f>IF($C199="","",IFERROR(INDEX('Asset Register'!$C:$C,MATCH($C199,'Asset Register'!$A:$A,0)),""))</f>
        <v/>
      </c>
      <c r="F199" t="str">
        <f>IF($C199="","",IFERROR(INDEX('Asset Register'!$D:$D,MATCH($C199,'Asset Register'!$A:$A,0)),""))</f>
        <v/>
      </c>
      <c r="J199" s="17" t="str">
        <f t="shared" si="27"/>
        <v/>
      </c>
      <c r="K199" s="17" t="str">
        <f t="shared" si="28"/>
        <v/>
      </c>
      <c r="L199" s="17" t="str">
        <f t="shared" si="30"/>
        <v/>
      </c>
      <c r="O199" t="str">
        <f>IF($C199="","",IFERROR(INDEX('Asset Register'!$G:$G,MATCH($C199,'Asset Register'!$A:$A,0)),""))</f>
        <v/>
      </c>
      <c r="Q199" t="str">
        <f t="shared" si="31"/>
        <v/>
      </c>
      <c r="R199" t="str">
        <f t="shared" si="32"/>
        <v/>
      </c>
      <c r="S199" s="17" t="str">
        <f t="shared" si="33"/>
        <v/>
      </c>
      <c r="T199" s="18" t="str">
        <f>IF($C199="","",IFERROR(INDEX('Asset Register'!$H:$H,MATCH($C199,'Asset Register'!$A:$A,0)),""))</f>
        <v/>
      </c>
      <c r="U199" s="18" t="str">
        <f t="shared" si="34"/>
        <v/>
      </c>
      <c r="V199" s="17" t="str">
        <f t="shared" si="35"/>
        <v/>
      </c>
    </row>
    <row r="200" spans="1:22" x14ac:dyDescent="0.25">
      <c r="A200" t="str">
        <f t="shared" si="29"/>
        <v/>
      </c>
      <c r="B200" s="16"/>
      <c r="D200" t="str">
        <f>IF($C200="","",IFERROR(INDEX('Asset Register'!$B:$B,MATCH($C200,'Asset Register'!$A:$A,0)),""))</f>
        <v/>
      </c>
      <c r="E200" t="str">
        <f>IF($C200="","",IFERROR(INDEX('Asset Register'!$C:$C,MATCH($C200,'Asset Register'!$A:$A,0)),""))</f>
        <v/>
      </c>
      <c r="F200" t="str">
        <f>IF($C200="","",IFERROR(INDEX('Asset Register'!$D:$D,MATCH($C200,'Asset Register'!$A:$A,0)),""))</f>
        <v/>
      </c>
      <c r="J200" s="17" t="str">
        <f t="shared" si="27"/>
        <v/>
      </c>
      <c r="K200" s="17" t="str">
        <f t="shared" si="28"/>
        <v/>
      </c>
      <c r="L200" s="17" t="str">
        <f t="shared" si="30"/>
        <v/>
      </c>
      <c r="O200" t="str">
        <f>IF($C200="","",IFERROR(INDEX('Asset Register'!$G:$G,MATCH($C200,'Asset Register'!$A:$A,0)),""))</f>
        <v/>
      </c>
      <c r="Q200" t="str">
        <f t="shared" si="31"/>
        <v/>
      </c>
      <c r="R200" t="str">
        <f t="shared" si="32"/>
        <v/>
      </c>
      <c r="S200" s="17" t="str">
        <f t="shared" si="33"/>
        <v/>
      </c>
      <c r="T200" s="18" t="str">
        <f>IF($C200="","",IFERROR(INDEX('Asset Register'!$H:$H,MATCH($C200,'Asset Register'!$A:$A,0)),""))</f>
        <v/>
      </c>
      <c r="U200" s="18" t="str">
        <f t="shared" si="34"/>
        <v/>
      </c>
      <c r="V200" s="17" t="str">
        <f t="shared" si="35"/>
        <v/>
      </c>
    </row>
    <row r="201" spans="1:22" x14ac:dyDescent="0.25">
      <c r="A201" t="str">
        <f t="shared" si="29"/>
        <v/>
      </c>
      <c r="B201" s="16"/>
      <c r="D201" t="str">
        <f>IF($C201="","",IFERROR(INDEX('Asset Register'!$B:$B,MATCH($C201,'Asset Register'!$A:$A,0)),""))</f>
        <v/>
      </c>
      <c r="E201" t="str">
        <f>IF($C201="","",IFERROR(INDEX('Asset Register'!$C:$C,MATCH($C201,'Asset Register'!$A:$A,0)),""))</f>
        <v/>
      </c>
      <c r="F201" t="str">
        <f>IF($C201="","",IFERROR(INDEX('Asset Register'!$D:$D,MATCH($C201,'Asset Register'!$A:$A,0)),""))</f>
        <v/>
      </c>
      <c r="J201" s="17" t="str">
        <f t="shared" si="27"/>
        <v/>
      </c>
      <c r="K201" s="17" t="str">
        <f t="shared" si="28"/>
        <v/>
      </c>
      <c r="L201" s="17" t="str">
        <f t="shared" si="30"/>
        <v/>
      </c>
      <c r="O201" t="str">
        <f>IF($C201="","",IFERROR(INDEX('Asset Register'!$G:$G,MATCH($C201,'Asset Register'!$A:$A,0)),""))</f>
        <v/>
      </c>
      <c r="Q201" t="str">
        <f t="shared" si="31"/>
        <v/>
      </c>
      <c r="R201" t="str">
        <f t="shared" si="32"/>
        <v/>
      </c>
      <c r="S201" s="17" t="str">
        <f t="shared" si="33"/>
        <v/>
      </c>
      <c r="T201" s="18" t="str">
        <f>IF($C201="","",IFERROR(INDEX('Asset Register'!$H:$H,MATCH($C201,'Asset Register'!$A:$A,0)),""))</f>
        <v/>
      </c>
      <c r="U201" s="18" t="str">
        <f t="shared" si="34"/>
        <v/>
      </c>
      <c r="V201" s="17" t="str">
        <f t="shared" si="35"/>
        <v/>
      </c>
    </row>
    <row r="202" spans="1:22" x14ac:dyDescent="0.25">
      <c r="A202" t="str">
        <f t="shared" si="29"/>
        <v/>
      </c>
      <c r="B202" s="16"/>
      <c r="D202" t="str">
        <f>IF($C202="","",IFERROR(INDEX('Asset Register'!$B:$B,MATCH($C202,'Asset Register'!$A:$A,0)),""))</f>
        <v/>
      </c>
      <c r="E202" t="str">
        <f>IF($C202="","",IFERROR(INDEX('Asset Register'!$C:$C,MATCH($C202,'Asset Register'!$A:$A,0)),""))</f>
        <v/>
      </c>
      <c r="F202" t="str">
        <f>IF($C202="","",IFERROR(INDEX('Asset Register'!$D:$D,MATCH($C202,'Asset Register'!$A:$A,0)),""))</f>
        <v/>
      </c>
      <c r="J202" s="17" t="str">
        <f t="shared" si="27"/>
        <v/>
      </c>
      <c r="K202" s="17" t="str">
        <f t="shared" si="28"/>
        <v/>
      </c>
      <c r="L202" s="17" t="str">
        <f t="shared" si="30"/>
        <v/>
      </c>
      <c r="O202" t="str">
        <f>IF($C202="","",IFERROR(INDEX('Asset Register'!$G:$G,MATCH($C202,'Asset Register'!$A:$A,0)),""))</f>
        <v/>
      </c>
      <c r="Q202" t="str">
        <f t="shared" si="31"/>
        <v/>
      </c>
      <c r="R202" t="str">
        <f t="shared" si="32"/>
        <v/>
      </c>
      <c r="S202" s="17" t="str">
        <f t="shared" si="33"/>
        <v/>
      </c>
      <c r="T202" s="18" t="str">
        <f>IF($C202="","",IFERROR(INDEX('Asset Register'!$H:$H,MATCH($C202,'Asset Register'!$A:$A,0)),""))</f>
        <v/>
      </c>
      <c r="U202" s="18" t="str">
        <f t="shared" si="34"/>
        <v/>
      </c>
      <c r="V202" s="17" t="str">
        <f t="shared" si="35"/>
        <v/>
      </c>
    </row>
    <row r="203" spans="1:22" x14ac:dyDescent="0.25">
      <c r="A203" t="str">
        <f t="shared" si="29"/>
        <v/>
      </c>
      <c r="B203" s="16"/>
      <c r="D203" t="str">
        <f>IF($C203="","",IFERROR(INDEX('Asset Register'!$B:$B,MATCH($C203,'Asset Register'!$A:$A,0)),""))</f>
        <v/>
      </c>
      <c r="E203" t="str">
        <f>IF($C203="","",IFERROR(INDEX('Asset Register'!$C:$C,MATCH($C203,'Asset Register'!$A:$A,0)),""))</f>
        <v/>
      </c>
      <c r="F203" t="str">
        <f>IF($C203="","",IFERROR(INDEX('Asset Register'!$D:$D,MATCH($C203,'Asset Register'!$A:$A,0)),""))</f>
        <v/>
      </c>
      <c r="J203" s="17" t="str">
        <f t="shared" si="27"/>
        <v/>
      </c>
      <c r="K203" s="17" t="str">
        <f t="shared" si="28"/>
        <v/>
      </c>
      <c r="L203" s="17" t="str">
        <f t="shared" si="30"/>
        <v/>
      </c>
      <c r="O203" t="str">
        <f>IF($C203="","",IFERROR(INDEX('Asset Register'!$G:$G,MATCH($C203,'Asset Register'!$A:$A,0)),""))</f>
        <v/>
      </c>
      <c r="Q203" t="str">
        <f t="shared" si="31"/>
        <v/>
      </c>
      <c r="R203" t="str">
        <f t="shared" si="32"/>
        <v/>
      </c>
      <c r="S203" s="17" t="str">
        <f t="shared" si="33"/>
        <v/>
      </c>
      <c r="T203" s="18" t="str">
        <f>IF($C203="","",IFERROR(INDEX('Asset Register'!$H:$H,MATCH($C203,'Asset Register'!$A:$A,0)),""))</f>
        <v/>
      </c>
      <c r="U203" s="18" t="str">
        <f t="shared" si="34"/>
        <v/>
      </c>
      <c r="V203" s="17" t="str">
        <f t="shared" si="35"/>
        <v/>
      </c>
    </row>
    <row r="204" spans="1:22" x14ac:dyDescent="0.25">
      <c r="A204" t="str">
        <f t="shared" si="29"/>
        <v/>
      </c>
      <c r="B204" s="16"/>
      <c r="D204" t="str">
        <f>IF($C204="","",IFERROR(INDEX('Asset Register'!$B:$B,MATCH($C204,'Asset Register'!$A:$A,0)),""))</f>
        <v/>
      </c>
      <c r="E204" t="str">
        <f>IF($C204="","",IFERROR(INDEX('Asset Register'!$C:$C,MATCH($C204,'Asset Register'!$A:$A,0)),""))</f>
        <v/>
      </c>
      <c r="F204" t="str">
        <f>IF($C204="","",IFERROR(INDEX('Asset Register'!$D:$D,MATCH($C204,'Asset Register'!$A:$A,0)),""))</f>
        <v/>
      </c>
      <c r="J204" s="17" t="str">
        <f t="shared" si="27"/>
        <v/>
      </c>
      <c r="K204" s="17" t="str">
        <f t="shared" si="28"/>
        <v/>
      </c>
      <c r="L204" s="17" t="str">
        <f t="shared" si="30"/>
        <v/>
      </c>
      <c r="O204" t="str">
        <f>IF($C204="","",IFERROR(INDEX('Asset Register'!$G:$G,MATCH($C204,'Asset Register'!$A:$A,0)),""))</f>
        <v/>
      </c>
      <c r="Q204" t="str">
        <f t="shared" si="31"/>
        <v/>
      </c>
      <c r="R204" t="str">
        <f t="shared" si="32"/>
        <v/>
      </c>
      <c r="S204" s="17" t="str">
        <f t="shared" si="33"/>
        <v/>
      </c>
      <c r="T204" s="18" t="str">
        <f>IF($C204="","",IFERROR(INDEX('Asset Register'!$H:$H,MATCH($C204,'Asset Register'!$A:$A,0)),""))</f>
        <v/>
      </c>
      <c r="U204" s="18" t="str">
        <f t="shared" si="34"/>
        <v/>
      </c>
      <c r="V204" s="17" t="str">
        <f t="shared" si="35"/>
        <v/>
      </c>
    </row>
    <row r="205" spans="1:22" x14ac:dyDescent="0.25">
      <c r="A205" t="str">
        <f t="shared" si="29"/>
        <v/>
      </c>
      <c r="B205" s="16"/>
      <c r="D205" t="str">
        <f>IF($C205="","",IFERROR(INDEX('Asset Register'!$B:$B,MATCH($C205,'Asset Register'!$A:$A,0)),""))</f>
        <v/>
      </c>
      <c r="E205" t="str">
        <f>IF($C205="","",IFERROR(INDEX('Asset Register'!$C:$C,MATCH($C205,'Asset Register'!$A:$A,0)),""))</f>
        <v/>
      </c>
      <c r="F205" t="str">
        <f>IF($C205="","",IFERROR(INDEX('Asset Register'!$D:$D,MATCH($C205,'Asset Register'!$A:$A,0)),""))</f>
        <v/>
      </c>
      <c r="J205" s="17" t="str">
        <f t="shared" si="27"/>
        <v/>
      </c>
      <c r="K205" s="17" t="str">
        <f t="shared" si="28"/>
        <v/>
      </c>
      <c r="L205" s="17" t="str">
        <f t="shared" si="30"/>
        <v/>
      </c>
      <c r="O205" t="str">
        <f>IF($C205="","",IFERROR(INDEX('Asset Register'!$G:$G,MATCH($C205,'Asset Register'!$A:$A,0)),""))</f>
        <v/>
      </c>
      <c r="Q205" t="str">
        <f t="shared" si="31"/>
        <v/>
      </c>
      <c r="R205" t="str">
        <f t="shared" si="32"/>
        <v/>
      </c>
      <c r="S205" s="17" t="str">
        <f t="shared" si="33"/>
        <v/>
      </c>
      <c r="T205" s="18" t="str">
        <f>IF($C205="","",IFERROR(INDEX('Asset Register'!$H:$H,MATCH($C205,'Asset Register'!$A:$A,0)),""))</f>
        <v/>
      </c>
      <c r="U205" s="18" t="str">
        <f t="shared" si="34"/>
        <v/>
      </c>
      <c r="V205" s="17" t="str">
        <f t="shared" si="35"/>
        <v/>
      </c>
    </row>
    <row r="206" spans="1:22" x14ac:dyDescent="0.25">
      <c r="A206" t="str">
        <f t="shared" si="29"/>
        <v/>
      </c>
      <c r="B206" s="16"/>
      <c r="D206" t="str">
        <f>IF($C206="","",IFERROR(INDEX('Asset Register'!$B:$B,MATCH($C206,'Asset Register'!$A:$A,0)),""))</f>
        <v/>
      </c>
      <c r="E206" t="str">
        <f>IF($C206="","",IFERROR(INDEX('Asset Register'!$C:$C,MATCH($C206,'Asset Register'!$A:$A,0)),""))</f>
        <v/>
      </c>
      <c r="F206" t="str">
        <f>IF($C206="","",IFERROR(INDEX('Asset Register'!$D:$D,MATCH($C206,'Asset Register'!$A:$A,0)),""))</f>
        <v/>
      </c>
      <c r="J206" s="17" t="str">
        <f t="shared" si="27"/>
        <v/>
      </c>
      <c r="K206" s="17" t="str">
        <f t="shared" si="28"/>
        <v/>
      </c>
      <c r="L206" s="17" t="str">
        <f t="shared" si="30"/>
        <v/>
      </c>
      <c r="O206" t="str">
        <f>IF($C206="","",IFERROR(INDEX('Asset Register'!$G:$G,MATCH($C206,'Asset Register'!$A:$A,0)),""))</f>
        <v/>
      </c>
      <c r="Q206" t="str">
        <f t="shared" si="31"/>
        <v/>
      </c>
      <c r="R206" t="str">
        <f t="shared" si="32"/>
        <v/>
      </c>
      <c r="S206" s="17" t="str">
        <f t="shared" si="33"/>
        <v/>
      </c>
      <c r="T206" s="18" t="str">
        <f>IF($C206="","",IFERROR(INDEX('Asset Register'!$H:$H,MATCH($C206,'Asset Register'!$A:$A,0)),""))</f>
        <v/>
      </c>
      <c r="U206" s="18" t="str">
        <f t="shared" si="34"/>
        <v/>
      </c>
      <c r="V206" s="17" t="str">
        <f t="shared" si="35"/>
        <v/>
      </c>
    </row>
    <row r="207" spans="1:22" x14ac:dyDescent="0.25">
      <c r="A207" t="str">
        <f t="shared" si="29"/>
        <v/>
      </c>
      <c r="B207" s="16"/>
      <c r="D207" t="str">
        <f>IF($C207="","",IFERROR(INDEX('Asset Register'!$B:$B,MATCH($C207,'Asset Register'!$A:$A,0)),""))</f>
        <v/>
      </c>
      <c r="E207" t="str">
        <f>IF($C207="","",IFERROR(INDEX('Asset Register'!$C:$C,MATCH($C207,'Asset Register'!$A:$A,0)),""))</f>
        <v/>
      </c>
      <c r="F207" t="str">
        <f>IF($C207="","",IFERROR(INDEX('Asset Register'!$D:$D,MATCH($C207,'Asset Register'!$A:$A,0)),""))</f>
        <v/>
      </c>
      <c r="J207" s="17" t="str">
        <f t="shared" si="27"/>
        <v/>
      </c>
      <c r="K207" s="17" t="str">
        <f t="shared" si="28"/>
        <v/>
      </c>
      <c r="L207" s="17" t="str">
        <f t="shared" si="30"/>
        <v/>
      </c>
      <c r="O207" t="str">
        <f>IF($C207="","",IFERROR(INDEX('Asset Register'!$G:$G,MATCH($C207,'Asset Register'!$A:$A,0)),""))</f>
        <v/>
      </c>
      <c r="Q207" t="str">
        <f t="shared" si="31"/>
        <v/>
      </c>
      <c r="R207" t="str">
        <f t="shared" si="32"/>
        <v/>
      </c>
      <c r="S207" s="17" t="str">
        <f t="shared" si="33"/>
        <v/>
      </c>
      <c r="T207" s="18" t="str">
        <f>IF($C207="","",IFERROR(INDEX('Asset Register'!$H:$H,MATCH($C207,'Asset Register'!$A:$A,0)),""))</f>
        <v/>
      </c>
      <c r="U207" s="18" t="str">
        <f t="shared" si="34"/>
        <v/>
      </c>
      <c r="V207" s="17" t="str">
        <f t="shared" si="35"/>
        <v/>
      </c>
    </row>
    <row r="208" spans="1:22" x14ac:dyDescent="0.25">
      <c r="A208" t="str">
        <f t="shared" si="29"/>
        <v/>
      </c>
      <c r="B208" s="16"/>
      <c r="D208" t="str">
        <f>IF($C208="","",IFERROR(INDEX('Asset Register'!$B:$B,MATCH($C208,'Asset Register'!$A:$A,0)),""))</f>
        <v/>
      </c>
      <c r="E208" t="str">
        <f>IF($C208="","",IFERROR(INDEX('Asset Register'!$C:$C,MATCH($C208,'Asset Register'!$A:$A,0)),""))</f>
        <v/>
      </c>
      <c r="F208" t="str">
        <f>IF($C208="","",IFERROR(INDEX('Asset Register'!$D:$D,MATCH($C208,'Asset Register'!$A:$A,0)),""))</f>
        <v/>
      </c>
      <c r="J208" s="17" t="str">
        <f t="shared" si="27"/>
        <v/>
      </c>
      <c r="K208" s="17" t="str">
        <f t="shared" si="28"/>
        <v/>
      </c>
      <c r="L208" s="17" t="str">
        <f t="shared" si="30"/>
        <v/>
      </c>
      <c r="O208" t="str">
        <f>IF($C208="","",IFERROR(INDEX('Asset Register'!$G:$G,MATCH($C208,'Asset Register'!$A:$A,0)),""))</f>
        <v/>
      </c>
      <c r="Q208" t="str">
        <f t="shared" si="31"/>
        <v/>
      </c>
      <c r="R208" t="str">
        <f t="shared" si="32"/>
        <v/>
      </c>
      <c r="S208" s="17" t="str">
        <f t="shared" si="33"/>
        <v/>
      </c>
      <c r="T208" s="18" t="str">
        <f>IF($C208="","",IFERROR(INDEX('Asset Register'!$H:$H,MATCH($C208,'Asset Register'!$A:$A,0)),""))</f>
        <v/>
      </c>
      <c r="U208" s="18" t="str">
        <f t="shared" si="34"/>
        <v/>
      </c>
      <c r="V208" s="17" t="str">
        <f t="shared" si="35"/>
        <v/>
      </c>
    </row>
    <row r="209" spans="1:22" x14ac:dyDescent="0.25">
      <c r="A209" t="str">
        <f t="shared" si="29"/>
        <v/>
      </c>
      <c r="B209" s="16"/>
      <c r="D209" t="str">
        <f>IF($C209="","",IFERROR(INDEX('Asset Register'!$B:$B,MATCH($C209,'Asset Register'!$A:$A,0)),""))</f>
        <v/>
      </c>
      <c r="E209" t="str">
        <f>IF($C209="","",IFERROR(INDEX('Asset Register'!$C:$C,MATCH($C209,'Asset Register'!$A:$A,0)),""))</f>
        <v/>
      </c>
      <c r="F209" t="str">
        <f>IF($C209="","",IFERROR(INDEX('Asset Register'!$D:$D,MATCH($C209,'Asset Register'!$A:$A,0)),""))</f>
        <v/>
      </c>
      <c r="J209" s="17" t="str">
        <f t="shared" ref="J209:J272" si="36">IF(OR($G209="",$G209+$I209=0),"",$G209/($G209+$I209))</f>
        <v/>
      </c>
      <c r="K209" s="17" t="str">
        <f t="shared" ref="K209:K272" si="37">IF(OR($G209="",$G209+$H209+$I209=0),"",$G209/($G209+$H209+$I209))</f>
        <v/>
      </c>
      <c r="L209" s="17" t="str">
        <f t="shared" si="30"/>
        <v/>
      </c>
      <c r="O209" t="str">
        <f>IF($C209="","",IFERROR(INDEX('Asset Register'!$G:$G,MATCH($C209,'Asset Register'!$A:$A,0)),""))</f>
        <v/>
      </c>
      <c r="Q209" t="str">
        <f t="shared" si="31"/>
        <v/>
      </c>
      <c r="R209" t="str">
        <f t="shared" si="32"/>
        <v/>
      </c>
      <c r="S209" s="17" t="str">
        <f t="shared" si="33"/>
        <v/>
      </c>
      <c r="T209" s="18" t="str">
        <f>IF($C209="","",IFERROR(INDEX('Asset Register'!$H:$H,MATCH($C209,'Asset Register'!$A:$A,0)),""))</f>
        <v/>
      </c>
      <c r="U209" s="18" t="str">
        <f t="shared" si="34"/>
        <v/>
      </c>
      <c r="V209" s="17" t="str">
        <f t="shared" si="35"/>
        <v/>
      </c>
    </row>
    <row r="210" spans="1:22" x14ac:dyDescent="0.25">
      <c r="A210" t="str">
        <f t="shared" si="29"/>
        <v/>
      </c>
      <c r="B210" s="16"/>
      <c r="D210" t="str">
        <f>IF($C210="","",IFERROR(INDEX('Asset Register'!$B:$B,MATCH($C210,'Asset Register'!$A:$A,0)),""))</f>
        <v/>
      </c>
      <c r="E210" t="str">
        <f>IF($C210="","",IFERROR(INDEX('Asset Register'!$C:$C,MATCH($C210,'Asset Register'!$A:$A,0)),""))</f>
        <v/>
      </c>
      <c r="F210" t="str">
        <f>IF($C210="","",IFERROR(INDEX('Asset Register'!$D:$D,MATCH($C210,'Asset Register'!$A:$A,0)),""))</f>
        <v/>
      </c>
      <c r="J210" s="17" t="str">
        <f t="shared" si="36"/>
        <v/>
      </c>
      <c r="K210" s="17" t="str">
        <f t="shared" si="37"/>
        <v/>
      </c>
      <c r="L210" s="17" t="str">
        <f t="shared" si="30"/>
        <v/>
      </c>
      <c r="O210" t="str">
        <f>IF($C210="","",IFERROR(INDEX('Asset Register'!$G:$G,MATCH($C210,'Asset Register'!$A:$A,0)),""))</f>
        <v/>
      </c>
      <c r="Q210" t="str">
        <f t="shared" si="31"/>
        <v/>
      </c>
      <c r="R210" t="str">
        <f t="shared" si="32"/>
        <v/>
      </c>
      <c r="S210" s="17" t="str">
        <f t="shared" si="33"/>
        <v/>
      </c>
      <c r="T210" s="18" t="str">
        <f>IF($C210="","",IFERROR(INDEX('Asset Register'!$H:$H,MATCH($C210,'Asset Register'!$A:$A,0)),""))</f>
        <v/>
      </c>
      <c r="U210" s="18" t="str">
        <f t="shared" si="34"/>
        <v/>
      </c>
      <c r="V210" s="17" t="str">
        <f t="shared" si="35"/>
        <v/>
      </c>
    </row>
    <row r="211" spans="1:22" x14ac:dyDescent="0.25">
      <c r="A211" t="str">
        <f t="shared" si="29"/>
        <v/>
      </c>
      <c r="B211" s="16"/>
      <c r="D211" t="str">
        <f>IF($C211="","",IFERROR(INDEX('Asset Register'!$B:$B,MATCH($C211,'Asset Register'!$A:$A,0)),""))</f>
        <v/>
      </c>
      <c r="E211" t="str">
        <f>IF($C211="","",IFERROR(INDEX('Asset Register'!$C:$C,MATCH($C211,'Asset Register'!$A:$A,0)),""))</f>
        <v/>
      </c>
      <c r="F211" t="str">
        <f>IF($C211="","",IFERROR(INDEX('Asset Register'!$D:$D,MATCH($C211,'Asset Register'!$A:$A,0)),""))</f>
        <v/>
      </c>
      <c r="J211" s="17" t="str">
        <f t="shared" si="36"/>
        <v/>
      </c>
      <c r="K211" s="17" t="str">
        <f t="shared" si="37"/>
        <v/>
      </c>
      <c r="L211" s="17" t="str">
        <f t="shared" si="30"/>
        <v/>
      </c>
      <c r="O211" t="str">
        <f>IF($C211="","",IFERROR(INDEX('Asset Register'!$G:$G,MATCH($C211,'Asset Register'!$A:$A,0)),""))</f>
        <v/>
      </c>
      <c r="Q211" t="str">
        <f t="shared" si="31"/>
        <v/>
      </c>
      <c r="R211" t="str">
        <f t="shared" si="32"/>
        <v/>
      </c>
      <c r="S211" s="17" t="str">
        <f t="shared" si="33"/>
        <v/>
      </c>
      <c r="T211" s="18" t="str">
        <f>IF($C211="","",IFERROR(INDEX('Asset Register'!$H:$H,MATCH($C211,'Asset Register'!$A:$A,0)),""))</f>
        <v/>
      </c>
      <c r="U211" s="18" t="str">
        <f t="shared" si="34"/>
        <v/>
      </c>
      <c r="V211" s="17" t="str">
        <f t="shared" si="35"/>
        <v/>
      </c>
    </row>
    <row r="212" spans="1:22" x14ac:dyDescent="0.25">
      <c r="A212" t="str">
        <f t="shared" si="29"/>
        <v/>
      </c>
      <c r="B212" s="16"/>
      <c r="D212" t="str">
        <f>IF($C212="","",IFERROR(INDEX('Asset Register'!$B:$B,MATCH($C212,'Asset Register'!$A:$A,0)),""))</f>
        <v/>
      </c>
      <c r="E212" t="str">
        <f>IF($C212="","",IFERROR(INDEX('Asset Register'!$C:$C,MATCH($C212,'Asset Register'!$A:$A,0)),""))</f>
        <v/>
      </c>
      <c r="F212" t="str">
        <f>IF($C212="","",IFERROR(INDEX('Asset Register'!$D:$D,MATCH($C212,'Asset Register'!$A:$A,0)),""))</f>
        <v/>
      </c>
      <c r="J212" s="17" t="str">
        <f t="shared" si="36"/>
        <v/>
      </c>
      <c r="K212" s="17" t="str">
        <f t="shared" si="37"/>
        <v/>
      </c>
      <c r="L212" s="17" t="str">
        <f t="shared" si="30"/>
        <v/>
      </c>
      <c r="O212" t="str">
        <f>IF($C212="","",IFERROR(INDEX('Asset Register'!$G:$G,MATCH($C212,'Asset Register'!$A:$A,0)),""))</f>
        <v/>
      </c>
      <c r="Q212" t="str">
        <f t="shared" si="31"/>
        <v/>
      </c>
      <c r="R212" t="str">
        <f t="shared" si="32"/>
        <v/>
      </c>
      <c r="S212" s="17" t="str">
        <f t="shared" si="33"/>
        <v/>
      </c>
      <c r="T212" s="18" t="str">
        <f>IF($C212="","",IFERROR(INDEX('Asset Register'!$H:$H,MATCH($C212,'Asset Register'!$A:$A,0)),""))</f>
        <v/>
      </c>
      <c r="U212" s="18" t="str">
        <f t="shared" si="34"/>
        <v/>
      </c>
      <c r="V212" s="17" t="str">
        <f t="shared" si="35"/>
        <v/>
      </c>
    </row>
    <row r="213" spans="1:22" x14ac:dyDescent="0.25">
      <c r="A213" t="str">
        <f t="shared" si="29"/>
        <v/>
      </c>
      <c r="B213" s="16"/>
      <c r="D213" t="str">
        <f>IF($C213="","",IFERROR(INDEX('Asset Register'!$B:$B,MATCH($C213,'Asset Register'!$A:$A,0)),""))</f>
        <v/>
      </c>
      <c r="E213" t="str">
        <f>IF($C213="","",IFERROR(INDEX('Asset Register'!$C:$C,MATCH($C213,'Asset Register'!$A:$A,0)),""))</f>
        <v/>
      </c>
      <c r="F213" t="str">
        <f>IF($C213="","",IFERROR(INDEX('Asset Register'!$D:$D,MATCH($C213,'Asset Register'!$A:$A,0)),""))</f>
        <v/>
      </c>
      <c r="J213" s="17" t="str">
        <f t="shared" si="36"/>
        <v/>
      </c>
      <c r="K213" s="17" t="str">
        <f t="shared" si="37"/>
        <v/>
      </c>
      <c r="L213" s="17" t="str">
        <f t="shared" si="30"/>
        <v/>
      </c>
      <c r="O213" t="str">
        <f>IF($C213="","",IFERROR(INDEX('Asset Register'!$G:$G,MATCH($C213,'Asset Register'!$A:$A,0)),""))</f>
        <v/>
      </c>
      <c r="Q213" t="str">
        <f t="shared" si="31"/>
        <v/>
      </c>
      <c r="R213" t="str">
        <f t="shared" si="32"/>
        <v/>
      </c>
      <c r="S213" s="17" t="str">
        <f t="shared" si="33"/>
        <v/>
      </c>
      <c r="T213" s="18" t="str">
        <f>IF($C213="","",IFERROR(INDEX('Asset Register'!$H:$H,MATCH($C213,'Asset Register'!$A:$A,0)),""))</f>
        <v/>
      </c>
      <c r="U213" s="18" t="str">
        <f t="shared" si="34"/>
        <v/>
      </c>
      <c r="V213" s="17" t="str">
        <f t="shared" si="35"/>
        <v/>
      </c>
    </row>
    <row r="214" spans="1:22" x14ac:dyDescent="0.25">
      <c r="A214" t="str">
        <f t="shared" si="29"/>
        <v/>
      </c>
      <c r="B214" s="16"/>
      <c r="D214" t="str">
        <f>IF($C214="","",IFERROR(INDEX('Asset Register'!$B:$B,MATCH($C214,'Asset Register'!$A:$A,0)),""))</f>
        <v/>
      </c>
      <c r="E214" t="str">
        <f>IF($C214="","",IFERROR(INDEX('Asset Register'!$C:$C,MATCH($C214,'Asset Register'!$A:$A,0)),""))</f>
        <v/>
      </c>
      <c r="F214" t="str">
        <f>IF($C214="","",IFERROR(INDEX('Asset Register'!$D:$D,MATCH($C214,'Asset Register'!$A:$A,0)),""))</f>
        <v/>
      </c>
      <c r="J214" s="17" t="str">
        <f t="shared" si="36"/>
        <v/>
      </c>
      <c r="K214" s="17" t="str">
        <f t="shared" si="37"/>
        <v/>
      </c>
      <c r="L214" s="17" t="str">
        <f t="shared" si="30"/>
        <v/>
      </c>
      <c r="O214" t="str">
        <f>IF($C214="","",IFERROR(INDEX('Asset Register'!$G:$G,MATCH($C214,'Asset Register'!$A:$A,0)),""))</f>
        <v/>
      </c>
      <c r="Q214" t="str">
        <f t="shared" si="31"/>
        <v/>
      </c>
      <c r="R214" t="str">
        <f t="shared" si="32"/>
        <v/>
      </c>
      <c r="S214" s="17" t="str">
        <f t="shared" si="33"/>
        <v/>
      </c>
      <c r="T214" s="18" t="str">
        <f>IF($C214="","",IFERROR(INDEX('Asset Register'!$H:$H,MATCH($C214,'Asset Register'!$A:$A,0)),""))</f>
        <v/>
      </c>
      <c r="U214" s="18" t="str">
        <f t="shared" si="34"/>
        <v/>
      </c>
      <c r="V214" s="17" t="str">
        <f t="shared" si="35"/>
        <v/>
      </c>
    </row>
    <row r="215" spans="1:22" x14ac:dyDescent="0.25">
      <c r="A215" t="str">
        <f t="shared" si="29"/>
        <v/>
      </c>
      <c r="B215" s="16"/>
      <c r="D215" t="str">
        <f>IF($C215="","",IFERROR(INDEX('Asset Register'!$B:$B,MATCH($C215,'Asset Register'!$A:$A,0)),""))</f>
        <v/>
      </c>
      <c r="E215" t="str">
        <f>IF($C215="","",IFERROR(INDEX('Asset Register'!$C:$C,MATCH($C215,'Asset Register'!$A:$A,0)),""))</f>
        <v/>
      </c>
      <c r="F215" t="str">
        <f>IF($C215="","",IFERROR(INDEX('Asset Register'!$D:$D,MATCH($C215,'Asset Register'!$A:$A,0)),""))</f>
        <v/>
      </c>
      <c r="J215" s="17" t="str">
        <f t="shared" si="36"/>
        <v/>
      </c>
      <c r="K215" s="17" t="str">
        <f t="shared" si="37"/>
        <v/>
      </c>
      <c r="L215" s="17" t="str">
        <f t="shared" si="30"/>
        <v/>
      </c>
      <c r="O215" t="str">
        <f>IF($C215="","",IFERROR(INDEX('Asset Register'!$G:$G,MATCH($C215,'Asset Register'!$A:$A,0)),""))</f>
        <v/>
      </c>
      <c r="Q215" t="str">
        <f t="shared" si="31"/>
        <v/>
      </c>
      <c r="R215" t="str">
        <f t="shared" si="32"/>
        <v/>
      </c>
      <c r="S215" s="17" t="str">
        <f t="shared" si="33"/>
        <v/>
      </c>
      <c r="T215" s="18" t="str">
        <f>IF($C215="","",IFERROR(INDEX('Asset Register'!$H:$H,MATCH($C215,'Asset Register'!$A:$A,0)),""))</f>
        <v/>
      </c>
      <c r="U215" s="18" t="str">
        <f t="shared" si="34"/>
        <v/>
      </c>
      <c r="V215" s="17" t="str">
        <f t="shared" si="35"/>
        <v/>
      </c>
    </row>
    <row r="216" spans="1:22" x14ac:dyDescent="0.25">
      <c r="A216" t="str">
        <f t="shared" si="29"/>
        <v/>
      </c>
      <c r="B216" s="16"/>
      <c r="D216" t="str">
        <f>IF($C216="","",IFERROR(INDEX('Asset Register'!$B:$B,MATCH($C216,'Asset Register'!$A:$A,0)),""))</f>
        <v/>
      </c>
      <c r="E216" t="str">
        <f>IF($C216="","",IFERROR(INDEX('Asset Register'!$C:$C,MATCH($C216,'Asset Register'!$A:$A,0)),""))</f>
        <v/>
      </c>
      <c r="F216" t="str">
        <f>IF($C216="","",IFERROR(INDEX('Asset Register'!$D:$D,MATCH($C216,'Asset Register'!$A:$A,0)),""))</f>
        <v/>
      </c>
      <c r="J216" s="17" t="str">
        <f t="shared" si="36"/>
        <v/>
      </c>
      <c r="K216" s="17" t="str">
        <f t="shared" si="37"/>
        <v/>
      </c>
      <c r="L216" s="17" t="str">
        <f t="shared" si="30"/>
        <v/>
      </c>
      <c r="O216" t="str">
        <f>IF($C216="","",IFERROR(INDEX('Asset Register'!$G:$G,MATCH($C216,'Asset Register'!$A:$A,0)),""))</f>
        <v/>
      </c>
      <c r="Q216" t="str">
        <f t="shared" si="31"/>
        <v/>
      </c>
      <c r="R216" t="str">
        <f t="shared" si="32"/>
        <v/>
      </c>
      <c r="S216" s="17" t="str">
        <f t="shared" si="33"/>
        <v/>
      </c>
      <c r="T216" s="18" t="str">
        <f>IF($C216="","",IFERROR(INDEX('Asset Register'!$H:$H,MATCH($C216,'Asset Register'!$A:$A,0)),""))</f>
        <v/>
      </c>
      <c r="U216" s="18" t="str">
        <f t="shared" si="34"/>
        <v/>
      </c>
      <c r="V216" s="17" t="str">
        <f t="shared" si="35"/>
        <v/>
      </c>
    </row>
    <row r="217" spans="1:22" x14ac:dyDescent="0.25">
      <c r="A217" t="str">
        <f t="shared" si="29"/>
        <v/>
      </c>
      <c r="B217" s="16"/>
      <c r="D217" t="str">
        <f>IF($C217="","",IFERROR(INDEX('Asset Register'!$B:$B,MATCH($C217,'Asset Register'!$A:$A,0)),""))</f>
        <v/>
      </c>
      <c r="E217" t="str">
        <f>IF($C217="","",IFERROR(INDEX('Asset Register'!$C:$C,MATCH($C217,'Asset Register'!$A:$A,0)),""))</f>
        <v/>
      </c>
      <c r="F217" t="str">
        <f>IF($C217="","",IFERROR(INDEX('Asset Register'!$D:$D,MATCH($C217,'Asset Register'!$A:$A,0)),""))</f>
        <v/>
      </c>
      <c r="J217" s="17" t="str">
        <f t="shared" si="36"/>
        <v/>
      </c>
      <c r="K217" s="17" t="str">
        <f t="shared" si="37"/>
        <v/>
      </c>
      <c r="L217" s="17" t="str">
        <f t="shared" si="30"/>
        <v/>
      </c>
      <c r="O217" t="str">
        <f>IF($C217="","",IFERROR(INDEX('Asset Register'!$G:$G,MATCH($C217,'Asset Register'!$A:$A,0)),""))</f>
        <v/>
      </c>
      <c r="Q217" t="str">
        <f t="shared" si="31"/>
        <v/>
      </c>
      <c r="R217" t="str">
        <f t="shared" si="32"/>
        <v/>
      </c>
      <c r="S217" s="17" t="str">
        <f t="shared" si="33"/>
        <v/>
      </c>
      <c r="T217" s="18" t="str">
        <f>IF($C217="","",IFERROR(INDEX('Asset Register'!$H:$H,MATCH($C217,'Asset Register'!$A:$A,0)),""))</f>
        <v/>
      </c>
      <c r="U217" s="18" t="str">
        <f t="shared" si="34"/>
        <v/>
      </c>
      <c r="V217" s="17" t="str">
        <f t="shared" si="35"/>
        <v/>
      </c>
    </row>
    <row r="218" spans="1:22" x14ac:dyDescent="0.25">
      <c r="A218" t="str">
        <f t="shared" si="29"/>
        <v/>
      </c>
      <c r="B218" s="16"/>
      <c r="D218" t="str">
        <f>IF($C218="","",IFERROR(INDEX('Asset Register'!$B:$B,MATCH($C218,'Asset Register'!$A:$A,0)),""))</f>
        <v/>
      </c>
      <c r="E218" t="str">
        <f>IF($C218="","",IFERROR(INDEX('Asset Register'!$C:$C,MATCH($C218,'Asset Register'!$A:$A,0)),""))</f>
        <v/>
      </c>
      <c r="F218" t="str">
        <f>IF($C218="","",IFERROR(INDEX('Asset Register'!$D:$D,MATCH($C218,'Asset Register'!$A:$A,0)),""))</f>
        <v/>
      </c>
      <c r="J218" s="17" t="str">
        <f t="shared" si="36"/>
        <v/>
      </c>
      <c r="K218" s="17" t="str">
        <f t="shared" si="37"/>
        <v/>
      </c>
      <c r="L218" s="17" t="str">
        <f t="shared" si="30"/>
        <v/>
      </c>
      <c r="O218" t="str">
        <f>IF($C218="","",IFERROR(INDEX('Asset Register'!$G:$G,MATCH($C218,'Asset Register'!$A:$A,0)),""))</f>
        <v/>
      </c>
      <c r="Q218" t="str">
        <f t="shared" si="31"/>
        <v/>
      </c>
      <c r="R218" t="str">
        <f t="shared" si="32"/>
        <v/>
      </c>
      <c r="S218" s="17" t="str">
        <f t="shared" si="33"/>
        <v/>
      </c>
      <c r="T218" s="18" t="str">
        <f>IF($C218="","",IFERROR(INDEX('Asset Register'!$H:$H,MATCH($C218,'Asset Register'!$A:$A,0)),""))</f>
        <v/>
      </c>
      <c r="U218" s="18" t="str">
        <f t="shared" si="34"/>
        <v/>
      </c>
      <c r="V218" s="17" t="str">
        <f t="shared" si="35"/>
        <v/>
      </c>
    </row>
    <row r="219" spans="1:22" x14ac:dyDescent="0.25">
      <c r="A219" t="str">
        <f t="shared" si="29"/>
        <v/>
      </c>
      <c r="B219" s="16"/>
      <c r="D219" t="str">
        <f>IF($C219="","",IFERROR(INDEX('Asset Register'!$B:$B,MATCH($C219,'Asset Register'!$A:$A,0)),""))</f>
        <v/>
      </c>
      <c r="E219" t="str">
        <f>IF($C219="","",IFERROR(INDEX('Asset Register'!$C:$C,MATCH($C219,'Asset Register'!$A:$A,0)),""))</f>
        <v/>
      </c>
      <c r="F219" t="str">
        <f>IF($C219="","",IFERROR(INDEX('Asset Register'!$D:$D,MATCH($C219,'Asset Register'!$A:$A,0)),""))</f>
        <v/>
      </c>
      <c r="J219" s="17" t="str">
        <f t="shared" si="36"/>
        <v/>
      </c>
      <c r="K219" s="17" t="str">
        <f t="shared" si="37"/>
        <v/>
      </c>
      <c r="L219" s="17" t="str">
        <f t="shared" si="30"/>
        <v/>
      </c>
      <c r="O219" t="str">
        <f>IF($C219="","",IFERROR(INDEX('Asset Register'!$G:$G,MATCH($C219,'Asset Register'!$A:$A,0)),""))</f>
        <v/>
      </c>
      <c r="Q219" t="str">
        <f t="shared" si="31"/>
        <v/>
      </c>
      <c r="R219" t="str">
        <f t="shared" si="32"/>
        <v/>
      </c>
      <c r="S219" s="17" t="str">
        <f t="shared" si="33"/>
        <v/>
      </c>
      <c r="T219" s="18" t="str">
        <f>IF($C219="","",IFERROR(INDEX('Asset Register'!$H:$H,MATCH($C219,'Asset Register'!$A:$A,0)),""))</f>
        <v/>
      </c>
      <c r="U219" s="18" t="str">
        <f t="shared" si="34"/>
        <v/>
      </c>
      <c r="V219" s="17" t="str">
        <f t="shared" si="35"/>
        <v/>
      </c>
    </row>
    <row r="220" spans="1:22" x14ac:dyDescent="0.25">
      <c r="A220" t="str">
        <f t="shared" si="29"/>
        <v/>
      </c>
      <c r="B220" s="16"/>
      <c r="D220" t="str">
        <f>IF($C220="","",IFERROR(INDEX('Asset Register'!$B:$B,MATCH($C220,'Asset Register'!$A:$A,0)),""))</f>
        <v/>
      </c>
      <c r="E220" t="str">
        <f>IF($C220="","",IFERROR(INDEX('Asset Register'!$C:$C,MATCH($C220,'Asset Register'!$A:$A,0)),""))</f>
        <v/>
      </c>
      <c r="F220" t="str">
        <f>IF($C220="","",IFERROR(INDEX('Asset Register'!$D:$D,MATCH($C220,'Asset Register'!$A:$A,0)),""))</f>
        <v/>
      </c>
      <c r="J220" s="17" t="str">
        <f t="shared" si="36"/>
        <v/>
      </c>
      <c r="K220" s="17" t="str">
        <f t="shared" si="37"/>
        <v/>
      </c>
      <c r="L220" s="17" t="str">
        <f t="shared" si="30"/>
        <v/>
      </c>
      <c r="O220" t="str">
        <f>IF($C220="","",IFERROR(INDEX('Asset Register'!$G:$G,MATCH($C220,'Asset Register'!$A:$A,0)),""))</f>
        <v/>
      </c>
      <c r="Q220" t="str">
        <f t="shared" si="31"/>
        <v/>
      </c>
      <c r="R220" t="str">
        <f t="shared" si="32"/>
        <v/>
      </c>
      <c r="S220" s="17" t="str">
        <f t="shared" si="33"/>
        <v/>
      </c>
      <c r="T220" s="18" t="str">
        <f>IF($C220="","",IFERROR(INDEX('Asset Register'!$H:$H,MATCH($C220,'Asset Register'!$A:$A,0)),""))</f>
        <v/>
      </c>
      <c r="U220" s="18" t="str">
        <f t="shared" si="34"/>
        <v/>
      </c>
      <c r="V220" s="17" t="str">
        <f t="shared" si="35"/>
        <v/>
      </c>
    </row>
    <row r="221" spans="1:22" x14ac:dyDescent="0.25">
      <c r="A221" t="str">
        <f t="shared" si="29"/>
        <v/>
      </c>
      <c r="B221" s="16"/>
      <c r="D221" t="str">
        <f>IF($C221="","",IFERROR(INDEX('Asset Register'!$B:$B,MATCH($C221,'Asset Register'!$A:$A,0)),""))</f>
        <v/>
      </c>
      <c r="E221" t="str">
        <f>IF($C221="","",IFERROR(INDEX('Asset Register'!$C:$C,MATCH($C221,'Asset Register'!$A:$A,0)),""))</f>
        <v/>
      </c>
      <c r="F221" t="str">
        <f>IF($C221="","",IFERROR(INDEX('Asset Register'!$D:$D,MATCH($C221,'Asset Register'!$A:$A,0)),""))</f>
        <v/>
      </c>
      <c r="J221" s="17" t="str">
        <f t="shared" si="36"/>
        <v/>
      </c>
      <c r="K221" s="17" t="str">
        <f t="shared" si="37"/>
        <v/>
      </c>
      <c r="L221" s="17" t="str">
        <f t="shared" si="30"/>
        <v/>
      </c>
      <c r="O221" t="str">
        <f>IF($C221="","",IFERROR(INDEX('Asset Register'!$G:$G,MATCH($C221,'Asset Register'!$A:$A,0)),""))</f>
        <v/>
      </c>
      <c r="Q221" t="str">
        <f t="shared" si="31"/>
        <v/>
      </c>
      <c r="R221" t="str">
        <f t="shared" si="32"/>
        <v/>
      </c>
      <c r="S221" s="17" t="str">
        <f t="shared" si="33"/>
        <v/>
      </c>
      <c r="T221" s="18" t="str">
        <f>IF($C221="","",IFERROR(INDEX('Asset Register'!$H:$H,MATCH($C221,'Asset Register'!$A:$A,0)),""))</f>
        <v/>
      </c>
      <c r="U221" s="18" t="str">
        <f t="shared" si="34"/>
        <v/>
      </c>
      <c r="V221" s="17" t="str">
        <f t="shared" si="35"/>
        <v/>
      </c>
    </row>
    <row r="222" spans="1:22" x14ac:dyDescent="0.25">
      <c r="A222" t="str">
        <f t="shared" si="29"/>
        <v/>
      </c>
      <c r="B222" s="16"/>
      <c r="D222" t="str">
        <f>IF($C222="","",IFERROR(INDEX('Asset Register'!$B:$B,MATCH($C222,'Asset Register'!$A:$A,0)),""))</f>
        <v/>
      </c>
      <c r="E222" t="str">
        <f>IF($C222="","",IFERROR(INDEX('Asset Register'!$C:$C,MATCH($C222,'Asset Register'!$A:$A,0)),""))</f>
        <v/>
      </c>
      <c r="F222" t="str">
        <f>IF($C222="","",IFERROR(INDEX('Asset Register'!$D:$D,MATCH($C222,'Asset Register'!$A:$A,0)),""))</f>
        <v/>
      </c>
      <c r="J222" s="17" t="str">
        <f t="shared" si="36"/>
        <v/>
      </c>
      <c r="K222" s="17" t="str">
        <f t="shared" si="37"/>
        <v/>
      </c>
      <c r="L222" s="17" t="str">
        <f t="shared" si="30"/>
        <v/>
      </c>
      <c r="O222" t="str">
        <f>IF($C222="","",IFERROR(INDEX('Asset Register'!$G:$G,MATCH($C222,'Asset Register'!$A:$A,0)),""))</f>
        <v/>
      </c>
      <c r="Q222" t="str">
        <f t="shared" si="31"/>
        <v/>
      </c>
      <c r="R222" t="str">
        <f t="shared" si="32"/>
        <v/>
      </c>
      <c r="S222" s="17" t="str">
        <f t="shared" si="33"/>
        <v/>
      </c>
      <c r="T222" s="18" t="str">
        <f>IF($C222="","",IFERROR(INDEX('Asset Register'!$H:$H,MATCH($C222,'Asset Register'!$A:$A,0)),""))</f>
        <v/>
      </c>
      <c r="U222" s="18" t="str">
        <f t="shared" si="34"/>
        <v/>
      </c>
      <c r="V222" s="17" t="str">
        <f t="shared" si="35"/>
        <v/>
      </c>
    </row>
    <row r="223" spans="1:22" x14ac:dyDescent="0.25">
      <c r="A223" t="str">
        <f t="shared" si="29"/>
        <v/>
      </c>
      <c r="B223" s="16"/>
      <c r="D223" t="str">
        <f>IF($C223="","",IFERROR(INDEX('Asset Register'!$B:$B,MATCH($C223,'Asset Register'!$A:$A,0)),""))</f>
        <v/>
      </c>
      <c r="E223" t="str">
        <f>IF($C223="","",IFERROR(INDEX('Asset Register'!$C:$C,MATCH($C223,'Asset Register'!$A:$A,0)),""))</f>
        <v/>
      </c>
      <c r="F223" t="str">
        <f>IF($C223="","",IFERROR(INDEX('Asset Register'!$D:$D,MATCH($C223,'Asset Register'!$A:$A,0)),""))</f>
        <v/>
      </c>
      <c r="J223" s="17" t="str">
        <f t="shared" si="36"/>
        <v/>
      </c>
      <c r="K223" s="17" t="str">
        <f t="shared" si="37"/>
        <v/>
      </c>
      <c r="L223" s="17" t="str">
        <f t="shared" si="30"/>
        <v/>
      </c>
      <c r="O223" t="str">
        <f>IF($C223="","",IFERROR(INDEX('Asset Register'!$G:$G,MATCH($C223,'Asset Register'!$A:$A,0)),""))</f>
        <v/>
      </c>
      <c r="Q223" t="str">
        <f t="shared" si="31"/>
        <v/>
      </c>
      <c r="R223" t="str">
        <f t="shared" si="32"/>
        <v/>
      </c>
      <c r="S223" s="17" t="str">
        <f t="shared" si="33"/>
        <v/>
      </c>
      <c r="T223" s="18" t="str">
        <f>IF($C223="","",IFERROR(INDEX('Asset Register'!$H:$H,MATCH($C223,'Asset Register'!$A:$A,0)),""))</f>
        <v/>
      </c>
      <c r="U223" s="18" t="str">
        <f t="shared" si="34"/>
        <v/>
      </c>
      <c r="V223" s="17" t="str">
        <f t="shared" si="35"/>
        <v/>
      </c>
    </row>
    <row r="224" spans="1:22" x14ac:dyDescent="0.25">
      <c r="A224" t="str">
        <f t="shared" si="29"/>
        <v/>
      </c>
      <c r="B224" s="16"/>
      <c r="D224" t="str">
        <f>IF($C224="","",IFERROR(INDEX('Asset Register'!$B:$B,MATCH($C224,'Asset Register'!$A:$A,0)),""))</f>
        <v/>
      </c>
      <c r="E224" t="str">
        <f>IF($C224="","",IFERROR(INDEX('Asset Register'!$C:$C,MATCH($C224,'Asset Register'!$A:$A,0)),""))</f>
        <v/>
      </c>
      <c r="F224" t="str">
        <f>IF($C224="","",IFERROR(INDEX('Asset Register'!$D:$D,MATCH($C224,'Asset Register'!$A:$A,0)),""))</f>
        <v/>
      </c>
      <c r="J224" s="17" t="str">
        <f t="shared" si="36"/>
        <v/>
      </c>
      <c r="K224" s="17" t="str">
        <f t="shared" si="37"/>
        <v/>
      </c>
      <c r="L224" s="17" t="str">
        <f t="shared" si="30"/>
        <v/>
      </c>
      <c r="O224" t="str">
        <f>IF($C224="","",IFERROR(INDEX('Asset Register'!$G:$G,MATCH($C224,'Asset Register'!$A:$A,0)),""))</f>
        <v/>
      </c>
      <c r="Q224" t="str">
        <f t="shared" si="31"/>
        <v/>
      </c>
      <c r="R224" t="str">
        <f t="shared" si="32"/>
        <v/>
      </c>
      <c r="S224" s="17" t="str">
        <f t="shared" si="33"/>
        <v/>
      </c>
      <c r="T224" s="18" t="str">
        <f>IF($C224="","",IFERROR(INDEX('Asset Register'!$H:$H,MATCH($C224,'Asset Register'!$A:$A,0)),""))</f>
        <v/>
      </c>
      <c r="U224" s="18" t="str">
        <f t="shared" si="34"/>
        <v/>
      </c>
      <c r="V224" s="17" t="str">
        <f t="shared" si="35"/>
        <v/>
      </c>
    </row>
    <row r="225" spans="1:22" x14ac:dyDescent="0.25">
      <c r="A225" t="str">
        <f t="shared" si="29"/>
        <v/>
      </c>
      <c r="B225" s="16"/>
      <c r="D225" t="str">
        <f>IF($C225="","",IFERROR(INDEX('Asset Register'!$B:$B,MATCH($C225,'Asset Register'!$A:$A,0)),""))</f>
        <v/>
      </c>
      <c r="E225" t="str">
        <f>IF($C225="","",IFERROR(INDEX('Asset Register'!$C:$C,MATCH($C225,'Asset Register'!$A:$A,0)),""))</f>
        <v/>
      </c>
      <c r="F225" t="str">
        <f>IF($C225="","",IFERROR(INDEX('Asset Register'!$D:$D,MATCH($C225,'Asset Register'!$A:$A,0)),""))</f>
        <v/>
      </c>
      <c r="J225" s="17" t="str">
        <f t="shared" si="36"/>
        <v/>
      </c>
      <c r="K225" s="17" t="str">
        <f t="shared" si="37"/>
        <v/>
      </c>
      <c r="L225" s="17" t="str">
        <f t="shared" si="30"/>
        <v/>
      </c>
      <c r="O225" t="str">
        <f>IF($C225="","",IFERROR(INDEX('Asset Register'!$G:$G,MATCH($C225,'Asset Register'!$A:$A,0)),""))</f>
        <v/>
      </c>
      <c r="Q225" t="str">
        <f t="shared" si="31"/>
        <v/>
      </c>
      <c r="R225" t="str">
        <f t="shared" si="32"/>
        <v/>
      </c>
      <c r="S225" s="17" t="str">
        <f t="shared" si="33"/>
        <v/>
      </c>
      <c r="T225" s="18" t="str">
        <f>IF($C225="","",IFERROR(INDEX('Asset Register'!$H:$H,MATCH($C225,'Asset Register'!$A:$A,0)),""))</f>
        <v/>
      </c>
      <c r="U225" s="18" t="str">
        <f t="shared" si="34"/>
        <v/>
      </c>
      <c r="V225" s="17" t="str">
        <f t="shared" si="35"/>
        <v/>
      </c>
    </row>
    <row r="226" spans="1:22" x14ac:dyDescent="0.25">
      <c r="A226" t="str">
        <f t="shared" si="29"/>
        <v/>
      </c>
      <c r="B226" s="16"/>
      <c r="D226" t="str">
        <f>IF($C226="","",IFERROR(INDEX('Asset Register'!$B:$B,MATCH($C226,'Asset Register'!$A:$A,0)),""))</f>
        <v/>
      </c>
      <c r="E226" t="str">
        <f>IF($C226="","",IFERROR(INDEX('Asset Register'!$C:$C,MATCH($C226,'Asset Register'!$A:$A,0)),""))</f>
        <v/>
      </c>
      <c r="F226" t="str">
        <f>IF($C226="","",IFERROR(INDEX('Asset Register'!$D:$D,MATCH($C226,'Asset Register'!$A:$A,0)),""))</f>
        <v/>
      </c>
      <c r="J226" s="17" t="str">
        <f t="shared" si="36"/>
        <v/>
      </c>
      <c r="K226" s="17" t="str">
        <f t="shared" si="37"/>
        <v/>
      </c>
      <c r="L226" s="17" t="str">
        <f t="shared" si="30"/>
        <v/>
      </c>
      <c r="O226" t="str">
        <f>IF($C226="","",IFERROR(INDEX('Asset Register'!$G:$G,MATCH($C226,'Asset Register'!$A:$A,0)),""))</f>
        <v/>
      </c>
      <c r="Q226" t="str">
        <f t="shared" si="31"/>
        <v/>
      </c>
      <c r="R226" t="str">
        <f t="shared" si="32"/>
        <v/>
      </c>
      <c r="S226" s="17" t="str">
        <f t="shared" si="33"/>
        <v/>
      </c>
      <c r="T226" s="18" t="str">
        <f>IF($C226="","",IFERROR(INDEX('Asset Register'!$H:$H,MATCH($C226,'Asset Register'!$A:$A,0)),""))</f>
        <v/>
      </c>
      <c r="U226" s="18" t="str">
        <f t="shared" si="34"/>
        <v/>
      </c>
      <c r="V226" s="17" t="str">
        <f t="shared" si="35"/>
        <v/>
      </c>
    </row>
    <row r="227" spans="1:22" x14ac:dyDescent="0.25">
      <c r="A227" t="str">
        <f t="shared" si="29"/>
        <v/>
      </c>
      <c r="B227" s="16"/>
      <c r="D227" t="str">
        <f>IF($C227="","",IFERROR(INDEX('Asset Register'!$B:$B,MATCH($C227,'Asset Register'!$A:$A,0)),""))</f>
        <v/>
      </c>
      <c r="E227" t="str">
        <f>IF($C227="","",IFERROR(INDEX('Asset Register'!$C:$C,MATCH($C227,'Asset Register'!$A:$A,0)),""))</f>
        <v/>
      </c>
      <c r="F227" t="str">
        <f>IF($C227="","",IFERROR(INDEX('Asset Register'!$D:$D,MATCH($C227,'Asset Register'!$A:$A,0)),""))</f>
        <v/>
      </c>
      <c r="J227" s="17" t="str">
        <f t="shared" si="36"/>
        <v/>
      </c>
      <c r="K227" s="17" t="str">
        <f t="shared" si="37"/>
        <v/>
      </c>
      <c r="L227" s="17" t="str">
        <f t="shared" si="30"/>
        <v/>
      </c>
      <c r="O227" t="str">
        <f>IF($C227="","",IFERROR(INDEX('Asset Register'!$G:$G,MATCH($C227,'Asset Register'!$A:$A,0)),""))</f>
        <v/>
      </c>
      <c r="Q227" t="str">
        <f t="shared" si="31"/>
        <v/>
      </c>
      <c r="R227" t="str">
        <f t="shared" si="32"/>
        <v/>
      </c>
      <c r="S227" s="17" t="str">
        <f t="shared" si="33"/>
        <v/>
      </c>
      <c r="T227" s="18" t="str">
        <f>IF($C227="","",IFERROR(INDEX('Asset Register'!$H:$H,MATCH($C227,'Asset Register'!$A:$A,0)),""))</f>
        <v/>
      </c>
      <c r="U227" s="18" t="str">
        <f t="shared" si="34"/>
        <v/>
      </c>
      <c r="V227" s="17" t="str">
        <f t="shared" si="35"/>
        <v/>
      </c>
    </row>
    <row r="228" spans="1:22" x14ac:dyDescent="0.25">
      <c r="A228" t="str">
        <f t="shared" si="29"/>
        <v/>
      </c>
      <c r="B228" s="16"/>
      <c r="D228" t="str">
        <f>IF($C228="","",IFERROR(INDEX('Asset Register'!$B:$B,MATCH($C228,'Asset Register'!$A:$A,0)),""))</f>
        <v/>
      </c>
      <c r="E228" t="str">
        <f>IF($C228="","",IFERROR(INDEX('Asset Register'!$C:$C,MATCH($C228,'Asset Register'!$A:$A,0)),""))</f>
        <v/>
      </c>
      <c r="F228" t="str">
        <f>IF($C228="","",IFERROR(INDEX('Asset Register'!$D:$D,MATCH($C228,'Asset Register'!$A:$A,0)),""))</f>
        <v/>
      </c>
      <c r="J228" s="17" t="str">
        <f t="shared" si="36"/>
        <v/>
      </c>
      <c r="K228" s="17" t="str">
        <f t="shared" si="37"/>
        <v/>
      </c>
      <c r="L228" s="17" t="str">
        <f t="shared" si="30"/>
        <v/>
      </c>
      <c r="O228" t="str">
        <f>IF($C228="","",IFERROR(INDEX('Asset Register'!$G:$G,MATCH($C228,'Asset Register'!$A:$A,0)),""))</f>
        <v/>
      </c>
      <c r="Q228" t="str">
        <f t="shared" si="31"/>
        <v/>
      </c>
      <c r="R228" t="str">
        <f t="shared" si="32"/>
        <v/>
      </c>
      <c r="S228" s="17" t="str">
        <f t="shared" si="33"/>
        <v/>
      </c>
      <c r="T228" s="18" t="str">
        <f>IF($C228="","",IFERROR(INDEX('Asset Register'!$H:$H,MATCH($C228,'Asset Register'!$A:$A,0)),""))</f>
        <v/>
      </c>
      <c r="U228" s="18" t="str">
        <f t="shared" si="34"/>
        <v/>
      </c>
      <c r="V228" s="17" t="str">
        <f t="shared" si="35"/>
        <v/>
      </c>
    </row>
    <row r="229" spans="1:22" x14ac:dyDescent="0.25">
      <c r="A229" t="str">
        <f t="shared" si="29"/>
        <v/>
      </c>
      <c r="B229" s="16"/>
      <c r="D229" t="str">
        <f>IF($C229="","",IFERROR(INDEX('Asset Register'!$B:$B,MATCH($C229,'Asset Register'!$A:$A,0)),""))</f>
        <v/>
      </c>
      <c r="E229" t="str">
        <f>IF($C229="","",IFERROR(INDEX('Asset Register'!$C:$C,MATCH($C229,'Asset Register'!$A:$A,0)),""))</f>
        <v/>
      </c>
      <c r="F229" t="str">
        <f>IF($C229="","",IFERROR(INDEX('Asset Register'!$D:$D,MATCH($C229,'Asset Register'!$A:$A,0)),""))</f>
        <v/>
      </c>
      <c r="J229" s="17" t="str">
        <f t="shared" si="36"/>
        <v/>
      </c>
      <c r="K229" s="17" t="str">
        <f t="shared" si="37"/>
        <v/>
      </c>
      <c r="L229" s="17" t="str">
        <f t="shared" si="30"/>
        <v/>
      </c>
      <c r="O229" t="str">
        <f>IF($C229="","",IFERROR(INDEX('Asset Register'!$G:$G,MATCH($C229,'Asset Register'!$A:$A,0)),""))</f>
        <v/>
      </c>
      <c r="Q229" t="str">
        <f t="shared" si="31"/>
        <v/>
      </c>
      <c r="R229" t="str">
        <f t="shared" si="32"/>
        <v/>
      </c>
      <c r="S229" s="17" t="str">
        <f t="shared" si="33"/>
        <v/>
      </c>
      <c r="T229" s="18" t="str">
        <f>IF($C229="","",IFERROR(INDEX('Asset Register'!$H:$H,MATCH($C229,'Asset Register'!$A:$A,0)),""))</f>
        <v/>
      </c>
      <c r="U229" s="18" t="str">
        <f t="shared" si="34"/>
        <v/>
      </c>
      <c r="V229" s="17" t="str">
        <f t="shared" si="35"/>
        <v/>
      </c>
    </row>
    <row r="230" spans="1:22" x14ac:dyDescent="0.25">
      <c r="A230" t="str">
        <f t="shared" si="29"/>
        <v/>
      </c>
      <c r="B230" s="16"/>
      <c r="D230" t="str">
        <f>IF($C230="","",IFERROR(INDEX('Asset Register'!$B:$B,MATCH($C230,'Asset Register'!$A:$A,0)),""))</f>
        <v/>
      </c>
      <c r="E230" t="str">
        <f>IF($C230="","",IFERROR(INDEX('Asset Register'!$C:$C,MATCH($C230,'Asset Register'!$A:$A,0)),""))</f>
        <v/>
      </c>
      <c r="F230" t="str">
        <f>IF($C230="","",IFERROR(INDEX('Asset Register'!$D:$D,MATCH($C230,'Asset Register'!$A:$A,0)),""))</f>
        <v/>
      </c>
      <c r="J230" s="17" t="str">
        <f t="shared" si="36"/>
        <v/>
      </c>
      <c r="K230" s="17" t="str">
        <f t="shared" si="37"/>
        <v/>
      </c>
      <c r="L230" s="17" t="str">
        <f t="shared" si="30"/>
        <v/>
      </c>
      <c r="O230" t="str">
        <f>IF($C230="","",IFERROR(INDEX('Asset Register'!$G:$G,MATCH($C230,'Asset Register'!$A:$A,0)),""))</f>
        <v/>
      </c>
      <c r="Q230" t="str">
        <f t="shared" si="31"/>
        <v/>
      </c>
      <c r="R230" t="str">
        <f t="shared" si="32"/>
        <v/>
      </c>
      <c r="S230" s="17" t="str">
        <f t="shared" si="33"/>
        <v/>
      </c>
      <c r="T230" s="18" t="str">
        <f>IF($C230="","",IFERROR(INDEX('Asset Register'!$H:$H,MATCH($C230,'Asset Register'!$A:$A,0)),""))</f>
        <v/>
      </c>
      <c r="U230" s="18" t="str">
        <f t="shared" si="34"/>
        <v/>
      </c>
      <c r="V230" s="17" t="str">
        <f t="shared" si="35"/>
        <v/>
      </c>
    </row>
    <row r="231" spans="1:22" x14ac:dyDescent="0.25">
      <c r="A231" t="str">
        <f t="shared" si="29"/>
        <v/>
      </c>
      <c r="B231" s="16"/>
      <c r="D231" t="str">
        <f>IF($C231="","",IFERROR(INDEX('Asset Register'!$B:$B,MATCH($C231,'Asset Register'!$A:$A,0)),""))</f>
        <v/>
      </c>
      <c r="E231" t="str">
        <f>IF($C231="","",IFERROR(INDEX('Asset Register'!$C:$C,MATCH($C231,'Asset Register'!$A:$A,0)),""))</f>
        <v/>
      </c>
      <c r="F231" t="str">
        <f>IF($C231="","",IFERROR(INDEX('Asset Register'!$D:$D,MATCH($C231,'Asset Register'!$A:$A,0)),""))</f>
        <v/>
      </c>
      <c r="J231" s="17" t="str">
        <f t="shared" si="36"/>
        <v/>
      </c>
      <c r="K231" s="17" t="str">
        <f t="shared" si="37"/>
        <v/>
      </c>
      <c r="L231" s="17" t="str">
        <f t="shared" si="30"/>
        <v/>
      </c>
      <c r="O231" t="str">
        <f>IF($C231="","",IFERROR(INDEX('Asset Register'!$G:$G,MATCH($C231,'Asset Register'!$A:$A,0)),""))</f>
        <v/>
      </c>
      <c r="Q231" t="str">
        <f t="shared" si="31"/>
        <v/>
      </c>
      <c r="R231" t="str">
        <f t="shared" si="32"/>
        <v/>
      </c>
      <c r="S231" s="17" t="str">
        <f t="shared" si="33"/>
        <v/>
      </c>
      <c r="T231" s="18" t="str">
        <f>IF($C231="","",IFERROR(INDEX('Asset Register'!$H:$H,MATCH($C231,'Asset Register'!$A:$A,0)),""))</f>
        <v/>
      </c>
      <c r="U231" s="18" t="str">
        <f t="shared" si="34"/>
        <v/>
      </c>
      <c r="V231" s="17" t="str">
        <f t="shared" si="35"/>
        <v/>
      </c>
    </row>
    <row r="232" spans="1:22" x14ac:dyDescent="0.25">
      <c r="A232" t="str">
        <f t="shared" si="29"/>
        <v/>
      </c>
      <c r="B232" s="16"/>
      <c r="D232" t="str">
        <f>IF($C232="","",IFERROR(INDEX('Asset Register'!$B:$B,MATCH($C232,'Asset Register'!$A:$A,0)),""))</f>
        <v/>
      </c>
      <c r="E232" t="str">
        <f>IF($C232="","",IFERROR(INDEX('Asset Register'!$C:$C,MATCH($C232,'Asset Register'!$A:$A,0)),""))</f>
        <v/>
      </c>
      <c r="F232" t="str">
        <f>IF($C232="","",IFERROR(INDEX('Asset Register'!$D:$D,MATCH($C232,'Asset Register'!$A:$A,0)),""))</f>
        <v/>
      </c>
      <c r="J232" s="17" t="str">
        <f t="shared" si="36"/>
        <v/>
      </c>
      <c r="K232" s="17" t="str">
        <f t="shared" si="37"/>
        <v/>
      </c>
      <c r="L232" s="17" t="str">
        <f t="shared" si="30"/>
        <v/>
      </c>
      <c r="O232" t="str">
        <f>IF($C232="","",IFERROR(INDEX('Asset Register'!$G:$G,MATCH($C232,'Asset Register'!$A:$A,0)),""))</f>
        <v/>
      </c>
      <c r="Q232" t="str">
        <f t="shared" si="31"/>
        <v/>
      </c>
      <c r="R232" t="str">
        <f t="shared" si="32"/>
        <v/>
      </c>
      <c r="S232" s="17" t="str">
        <f t="shared" si="33"/>
        <v/>
      </c>
      <c r="T232" s="18" t="str">
        <f>IF($C232="","",IFERROR(INDEX('Asset Register'!$H:$H,MATCH($C232,'Asset Register'!$A:$A,0)),""))</f>
        <v/>
      </c>
      <c r="U232" s="18" t="str">
        <f t="shared" si="34"/>
        <v/>
      </c>
      <c r="V232" s="17" t="str">
        <f t="shared" si="35"/>
        <v/>
      </c>
    </row>
    <row r="233" spans="1:22" x14ac:dyDescent="0.25">
      <c r="A233" t="str">
        <f t="shared" si="29"/>
        <v/>
      </c>
      <c r="B233" s="16"/>
      <c r="D233" t="str">
        <f>IF($C233="","",IFERROR(INDEX('Asset Register'!$B:$B,MATCH($C233,'Asset Register'!$A:$A,0)),""))</f>
        <v/>
      </c>
      <c r="E233" t="str">
        <f>IF($C233="","",IFERROR(INDEX('Asset Register'!$C:$C,MATCH($C233,'Asset Register'!$A:$A,0)),""))</f>
        <v/>
      </c>
      <c r="F233" t="str">
        <f>IF($C233="","",IFERROR(INDEX('Asset Register'!$D:$D,MATCH($C233,'Asset Register'!$A:$A,0)),""))</f>
        <v/>
      </c>
      <c r="J233" s="17" t="str">
        <f t="shared" si="36"/>
        <v/>
      </c>
      <c r="K233" s="17" t="str">
        <f t="shared" si="37"/>
        <v/>
      </c>
      <c r="L233" s="17" t="str">
        <f t="shared" si="30"/>
        <v/>
      </c>
      <c r="O233" t="str">
        <f>IF($C233="","",IFERROR(INDEX('Asset Register'!$G:$G,MATCH($C233,'Asset Register'!$A:$A,0)),""))</f>
        <v/>
      </c>
      <c r="Q233" t="str">
        <f t="shared" si="31"/>
        <v/>
      </c>
      <c r="R233" t="str">
        <f t="shared" si="32"/>
        <v/>
      </c>
      <c r="S233" s="17" t="str">
        <f t="shared" si="33"/>
        <v/>
      </c>
      <c r="T233" s="18" t="str">
        <f>IF($C233="","",IFERROR(INDEX('Asset Register'!$H:$H,MATCH($C233,'Asset Register'!$A:$A,0)),""))</f>
        <v/>
      </c>
      <c r="U233" s="18" t="str">
        <f t="shared" si="34"/>
        <v/>
      </c>
      <c r="V233" s="17" t="str">
        <f t="shared" si="35"/>
        <v/>
      </c>
    </row>
    <row r="234" spans="1:22" x14ac:dyDescent="0.25">
      <c r="A234" t="str">
        <f t="shared" si="29"/>
        <v/>
      </c>
      <c r="B234" s="16"/>
      <c r="D234" t="str">
        <f>IF($C234="","",IFERROR(INDEX('Asset Register'!$B:$B,MATCH($C234,'Asset Register'!$A:$A,0)),""))</f>
        <v/>
      </c>
      <c r="E234" t="str">
        <f>IF($C234="","",IFERROR(INDEX('Asset Register'!$C:$C,MATCH($C234,'Asset Register'!$A:$A,0)),""))</f>
        <v/>
      </c>
      <c r="F234" t="str">
        <f>IF($C234="","",IFERROR(INDEX('Asset Register'!$D:$D,MATCH($C234,'Asset Register'!$A:$A,0)),""))</f>
        <v/>
      </c>
      <c r="J234" s="17" t="str">
        <f t="shared" si="36"/>
        <v/>
      </c>
      <c r="K234" s="17" t="str">
        <f t="shared" si="37"/>
        <v/>
      </c>
      <c r="L234" s="17" t="str">
        <f t="shared" si="30"/>
        <v/>
      </c>
      <c r="O234" t="str">
        <f>IF($C234="","",IFERROR(INDEX('Asset Register'!$G:$G,MATCH($C234,'Asset Register'!$A:$A,0)),""))</f>
        <v/>
      </c>
      <c r="Q234" t="str">
        <f t="shared" si="31"/>
        <v/>
      </c>
      <c r="R234" t="str">
        <f t="shared" si="32"/>
        <v/>
      </c>
      <c r="S234" s="17" t="str">
        <f t="shared" si="33"/>
        <v/>
      </c>
      <c r="T234" s="18" t="str">
        <f>IF($C234="","",IFERROR(INDEX('Asset Register'!$H:$H,MATCH($C234,'Asset Register'!$A:$A,0)),""))</f>
        <v/>
      </c>
      <c r="U234" s="18" t="str">
        <f t="shared" si="34"/>
        <v/>
      </c>
      <c r="V234" s="17" t="str">
        <f t="shared" si="35"/>
        <v/>
      </c>
    </row>
    <row r="235" spans="1:22" x14ac:dyDescent="0.25">
      <c r="A235" t="str">
        <f t="shared" si="29"/>
        <v/>
      </c>
      <c r="B235" s="16"/>
      <c r="D235" t="str">
        <f>IF($C235="","",IFERROR(INDEX('Asset Register'!$B:$B,MATCH($C235,'Asset Register'!$A:$A,0)),""))</f>
        <v/>
      </c>
      <c r="E235" t="str">
        <f>IF($C235="","",IFERROR(INDEX('Asset Register'!$C:$C,MATCH($C235,'Asset Register'!$A:$A,0)),""))</f>
        <v/>
      </c>
      <c r="F235" t="str">
        <f>IF($C235="","",IFERROR(INDEX('Asset Register'!$D:$D,MATCH($C235,'Asset Register'!$A:$A,0)),""))</f>
        <v/>
      </c>
      <c r="J235" s="17" t="str">
        <f t="shared" si="36"/>
        <v/>
      </c>
      <c r="K235" s="17" t="str">
        <f t="shared" si="37"/>
        <v/>
      </c>
      <c r="L235" s="17" t="str">
        <f t="shared" si="30"/>
        <v/>
      </c>
      <c r="O235" t="str">
        <f>IF($C235="","",IFERROR(INDEX('Asset Register'!$G:$G,MATCH($C235,'Asset Register'!$A:$A,0)),""))</f>
        <v/>
      </c>
      <c r="Q235" t="str">
        <f t="shared" si="31"/>
        <v/>
      </c>
      <c r="R235" t="str">
        <f t="shared" si="32"/>
        <v/>
      </c>
      <c r="S235" s="17" t="str">
        <f t="shared" si="33"/>
        <v/>
      </c>
      <c r="T235" s="18" t="str">
        <f>IF($C235="","",IFERROR(INDEX('Asset Register'!$H:$H,MATCH($C235,'Asset Register'!$A:$A,0)),""))</f>
        <v/>
      </c>
      <c r="U235" s="18" t="str">
        <f t="shared" si="34"/>
        <v/>
      </c>
      <c r="V235" s="17" t="str">
        <f t="shared" si="35"/>
        <v/>
      </c>
    </row>
    <row r="236" spans="1:22" x14ac:dyDescent="0.25">
      <c r="A236" t="str">
        <f t="shared" si="29"/>
        <v/>
      </c>
      <c r="B236" s="16"/>
      <c r="D236" t="str">
        <f>IF($C236="","",IFERROR(INDEX('Asset Register'!$B:$B,MATCH($C236,'Asset Register'!$A:$A,0)),""))</f>
        <v/>
      </c>
      <c r="E236" t="str">
        <f>IF($C236="","",IFERROR(INDEX('Asset Register'!$C:$C,MATCH($C236,'Asset Register'!$A:$A,0)),""))</f>
        <v/>
      </c>
      <c r="F236" t="str">
        <f>IF($C236="","",IFERROR(INDEX('Asset Register'!$D:$D,MATCH($C236,'Asset Register'!$A:$A,0)),""))</f>
        <v/>
      </c>
      <c r="J236" s="17" t="str">
        <f t="shared" si="36"/>
        <v/>
      </c>
      <c r="K236" s="17" t="str">
        <f t="shared" si="37"/>
        <v/>
      </c>
      <c r="L236" s="17" t="str">
        <f t="shared" si="30"/>
        <v/>
      </c>
      <c r="O236" t="str">
        <f>IF($C236="","",IFERROR(INDEX('Asset Register'!$G:$G,MATCH($C236,'Asset Register'!$A:$A,0)),""))</f>
        <v/>
      </c>
      <c r="Q236" t="str">
        <f t="shared" si="31"/>
        <v/>
      </c>
      <c r="R236" t="str">
        <f t="shared" si="32"/>
        <v/>
      </c>
      <c r="S236" s="17" t="str">
        <f t="shared" si="33"/>
        <v/>
      </c>
      <c r="T236" s="18" t="str">
        <f>IF($C236="","",IFERROR(INDEX('Asset Register'!$H:$H,MATCH($C236,'Asset Register'!$A:$A,0)),""))</f>
        <v/>
      </c>
      <c r="U236" s="18" t="str">
        <f t="shared" si="34"/>
        <v/>
      </c>
      <c r="V236" s="17" t="str">
        <f t="shared" si="35"/>
        <v/>
      </c>
    </row>
    <row r="237" spans="1:22" x14ac:dyDescent="0.25">
      <c r="A237" t="str">
        <f t="shared" si="29"/>
        <v/>
      </c>
      <c r="B237" s="16"/>
      <c r="D237" t="str">
        <f>IF($C237="","",IFERROR(INDEX('Asset Register'!$B:$B,MATCH($C237,'Asset Register'!$A:$A,0)),""))</f>
        <v/>
      </c>
      <c r="E237" t="str">
        <f>IF($C237="","",IFERROR(INDEX('Asset Register'!$C:$C,MATCH($C237,'Asset Register'!$A:$A,0)),""))</f>
        <v/>
      </c>
      <c r="F237" t="str">
        <f>IF($C237="","",IFERROR(INDEX('Asset Register'!$D:$D,MATCH($C237,'Asset Register'!$A:$A,0)),""))</f>
        <v/>
      </c>
      <c r="J237" s="17" t="str">
        <f t="shared" si="36"/>
        <v/>
      </c>
      <c r="K237" s="17" t="str">
        <f t="shared" si="37"/>
        <v/>
      </c>
      <c r="L237" s="17" t="str">
        <f t="shared" si="30"/>
        <v/>
      </c>
      <c r="O237" t="str">
        <f>IF($C237="","",IFERROR(INDEX('Asset Register'!$G:$G,MATCH($C237,'Asset Register'!$A:$A,0)),""))</f>
        <v/>
      </c>
      <c r="Q237" t="str">
        <f t="shared" si="31"/>
        <v/>
      </c>
      <c r="R237" t="str">
        <f t="shared" si="32"/>
        <v/>
      </c>
      <c r="S237" s="17" t="str">
        <f t="shared" si="33"/>
        <v/>
      </c>
      <c r="T237" s="18" t="str">
        <f>IF($C237="","",IFERROR(INDEX('Asset Register'!$H:$H,MATCH($C237,'Asset Register'!$A:$A,0)),""))</f>
        <v/>
      </c>
      <c r="U237" s="18" t="str">
        <f t="shared" si="34"/>
        <v/>
      </c>
      <c r="V237" s="17" t="str">
        <f t="shared" si="35"/>
        <v/>
      </c>
    </row>
    <row r="238" spans="1:22" x14ac:dyDescent="0.25">
      <c r="A238" t="str">
        <f t="shared" si="29"/>
        <v/>
      </c>
      <c r="B238" s="16"/>
      <c r="D238" t="str">
        <f>IF($C238="","",IFERROR(INDEX('Asset Register'!$B:$B,MATCH($C238,'Asset Register'!$A:$A,0)),""))</f>
        <v/>
      </c>
      <c r="E238" t="str">
        <f>IF($C238="","",IFERROR(INDEX('Asset Register'!$C:$C,MATCH($C238,'Asset Register'!$A:$A,0)),""))</f>
        <v/>
      </c>
      <c r="F238" t="str">
        <f>IF($C238="","",IFERROR(INDEX('Asset Register'!$D:$D,MATCH($C238,'Asset Register'!$A:$A,0)),""))</f>
        <v/>
      </c>
      <c r="J238" s="17" t="str">
        <f t="shared" si="36"/>
        <v/>
      </c>
      <c r="K238" s="17" t="str">
        <f t="shared" si="37"/>
        <v/>
      </c>
      <c r="L238" s="17" t="str">
        <f t="shared" si="30"/>
        <v/>
      </c>
      <c r="O238" t="str">
        <f>IF($C238="","",IFERROR(INDEX('Asset Register'!$G:$G,MATCH($C238,'Asset Register'!$A:$A,0)),""))</f>
        <v/>
      </c>
      <c r="Q238" t="str">
        <f t="shared" si="31"/>
        <v/>
      </c>
      <c r="R238" t="str">
        <f t="shared" si="32"/>
        <v/>
      </c>
      <c r="S238" s="17" t="str">
        <f t="shared" si="33"/>
        <v/>
      </c>
      <c r="T238" s="18" t="str">
        <f>IF($C238="","",IFERROR(INDEX('Asset Register'!$H:$H,MATCH($C238,'Asset Register'!$A:$A,0)),""))</f>
        <v/>
      </c>
      <c r="U238" s="18" t="str">
        <f t="shared" si="34"/>
        <v/>
      </c>
      <c r="V238" s="17" t="str">
        <f t="shared" si="35"/>
        <v/>
      </c>
    </row>
    <row r="239" spans="1:22" x14ac:dyDescent="0.25">
      <c r="A239" t="str">
        <f t="shared" si="29"/>
        <v/>
      </c>
      <c r="B239" s="16"/>
      <c r="D239" t="str">
        <f>IF($C239="","",IFERROR(INDEX('Asset Register'!$B:$B,MATCH($C239,'Asset Register'!$A:$A,0)),""))</f>
        <v/>
      </c>
      <c r="E239" t="str">
        <f>IF($C239="","",IFERROR(INDEX('Asset Register'!$C:$C,MATCH($C239,'Asset Register'!$A:$A,0)),""))</f>
        <v/>
      </c>
      <c r="F239" t="str">
        <f>IF($C239="","",IFERROR(INDEX('Asset Register'!$D:$D,MATCH($C239,'Asset Register'!$A:$A,0)),""))</f>
        <v/>
      </c>
      <c r="J239" s="17" t="str">
        <f t="shared" si="36"/>
        <v/>
      </c>
      <c r="K239" s="17" t="str">
        <f t="shared" si="37"/>
        <v/>
      </c>
      <c r="L239" s="17" t="str">
        <f t="shared" si="30"/>
        <v/>
      </c>
      <c r="O239" t="str">
        <f>IF($C239="","",IFERROR(INDEX('Asset Register'!$G:$G,MATCH($C239,'Asset Register'!$A:$A,0)),""))</f>
        <v/>
      </c>
      <c r="Q239" t="str">
        <f t="shared" si="31"/>
        <v/>
      </c>
      <c r="R239" t="str">
        <f t="shared" si="32"/>
        <v/>
      </c>
      <c r="S239" s="17" t="str">
        <f t="shared" si="33"/>
        <v/>
      </c>
      <c r="T239" s="18" t="str">
        <f>IF($C239="","",IFERROR(INDEX('Asset Register'!$H:$H,MATCH($C239,'Asset Register'!$A:$A,0)),""))</f>
        <v/>
      </c>
      <c r="U239" s="18" t="str">
        <f t="shared" si="34"/>
        <v/>
      </c>
      <c r="V239" s="17" t="str">
        <f t="shared" si="35"/>
        <v/>
      </c>
    </row>
    <row r="240" spans="1:22" x14ac:dyDescent="0.25">
      <c r="A240" t="str">
        <f t="shared" si="29"/>
        <v/>
      </c>
      <c r="B240" s="16"/>
      <c r="D240" t="str">
        <f>IF($C240="","",IFERROR(INDEX('Asset Register'!$B:$B,MATCH($C240,'Asset Register'!$A:$A,0)),""))</f>
        <v/>
      </c>
      <c r="E240" t="str">
        <f>IF($C240="","",IFERROR(INDEX('Asset Register'!$C:$C,MATCH($C240,'Asset Register'!$A:$A,0)),""))</f>
        <v/>
      </c>
      <c r="F240" t="str">
        <f>IF($C240="","",IFERROR(INDEX('Asset Register'!$D:$D,MATCH($C240,'Asset Register'!$A:$A,0)),""))</f>
        <v/>
      </c>
      <c r="J240" s="17" t="str">
        <f t="shared" si="36"/>
        <v/>
      </c>
      <c r="K240" s="17" t="str">
        <f t="shared" si="37"/>
        <v/>
      </c>
      <c r="L240" s="17" t="str">
        <f t="shared" si="30"/>
        <v/>
      </c>
      <c r="O240" t="str">
        <f>IF($C240="","",IFERROR(INDEX('Asset Register'!$G:$G,MATCH($C240,'Asset Register'!$A:$A,0)),""))</f>
        <v/>
      </c>
      <c r="Q240" t="str">
        <f t="shared" si="31"/>
        <v/>
      </c>
      <c r="R240" t="str">
        <f t="shared" si="32"/>
        <v/>
      </c>
      <c r="S240" s="17" t="str">
        <f t="shared" si="33"/>
        <v/>
      </c>
      <c r="T240" s="18" t="str">
        <f>IF($C240="","",IFERROR(INDEX('Asset Register'!$H:$H,MATCH($C240,'Asset Register'!$A:$A,0)),""))</f>
        <v/>
      </c>
      <c r="U240" s="18" t="str">
        <f t="shared" si="34"/>
        <v/>
      </c>
      <c r="V240" s="17" t="str">
        <f t="shared" si="35"/>
        <v/>
      </c>
    </row>
    <row r="241" spans="1:22" x14ac:dyDescent="0.25">
      <c r="A241" t="str">
        <f t="shared" si="29"/>
        <v/>
      </c>
      <c r="B241" s="16"/>
      <c r="D241" t="str">
        <f>IF($C241="","",IFERROR(INDEX('Asset Register'!$B:$B,MATCH($C241,'Asset Register'!$A:$A,0)),""))</f>
        <v/>
      </c>
      <c r="E241" t="str">
        <f>IF($C241="","",IFERROR(INDEX('Asset Register'!$C:$C,MATCH($C241,'Asset Register'!$A:$A,0)),""))</f>
        <v/>
      </c>
      <c r="F241" t="str">
        <f>IF($C241="","",IFERROR(INDEX('Asset Register'!$D:$D,MATCH($C241,'Asset Register'!$A:$A,0)),""))</f>
        <v/>
      </c>
      <c r="J241" s="17" t="str">
        <f t="shared" si="36"/>
        <v/>
      </c>
      <c r="K241" s="17" t="str">
        <f t="shared" si="37"/>
        <v/>
      </c>
      <c r="L241" s="17" t="str">
        <f t="shared" si="30"/>
        <v/>
      </c>
      <c r="O241" t="str">
        <f>IF($C241="","",IFERROR(INDEX('Asset Register'!$G:$G,MATCH($C241,'Asset Register'!$A:$A,0)),""))</f>
        <v/>
      </c>
      <c r="Q241" t="str">
        <f t="shared" si="31"/>
        <v/>
      </c>
      <c r="R241" t="str">
        <f t="shared" si="32"/>
        <v/>
      </c>
      <c r="S241" s="17" t="str">
        <f t="shared" si="33"/>
        <v/>
      </c>
      <c r="T241" s="18" t="str">
        <f>IF($C241="","",IFERROR(INDEX('Asset Register'!$H:$H,MATCH($C241,'Asset Register'!$A:$A,0)),""))</f>
        <v/>
      </c>
      <c r="U241" s="18" t="str">
        <f t="shared" si="34"/>
        <v/>
      </c>
      <c r="V241" s="17" t="str">
        <f t="shared" si="35"/>
        <v/>
      </c>
    </row>
    <row r="242" spans="1:22" x14ac:dyDescent="0.25">
      <c r="A242" t="str">
        <f t="shared" si="29"/>
        <v/>
      </c>
      <c r="B242" s="16"/>
      <c r="D242" t="str">
        <f>IF($C242="","",IFERROR(INDEX('Asset Register'!$B:$B,MATCH($C242,'Asset Register'!$A:$A,0)),""))</f>
        <v/>
      </c>
      <c r="E242" t="str">
        <f>IF($C242="","",IFERROR(INDEX('Asset Register'!$C:$C,MATCH($C242,'Asset Register'!$A:$A,0)),""))</f>
        <v/>
      </c>
      <c r="F242" t="str">
        <f>IF($C242="","",IFERROR(INDEX('Asset Register'!$D:$D,MATCH($C242,'Asset Register'!$A:$A,0)),""))</f>
        <v/>
      </c>
      <c r="J242" s="17" t="str">
        <f t="shared" si="36"/>
        <v/>
      </c>
      <c r="K242" s="17" t="str">
        <f t="shared" si="37"/>
        <v/>
      </c>
      <c r="L242" s="17" t="str">
        <f t="shared" si="30"/>
        <v/>
      </c>
      <c r="O242" t="str">
        <f>IF($C242="","",IFERROR(INDEX('Asset Register'!$G:$G,MATCH($C242,'Asset Register'!$A:$A,0)),""))</f>
        <v/>
      </c>
      <c r="Q242" t="str">
        <f t="shared" si="31"/>
        <v/>
      </c>
      <c r="R242" t="str">
        <f t="shared" si="32"/>
        <v/>
      </c>
      <c r="S242" s="17" t="str">
        <f t="shared" si="33"/>
        <v/>
      </c>
      <c r="T242" s="18" t="str">
        <f>IF($C242="","",IFERROR(INDEX('Asset Register'!$H:$H,MATCH($C242,'Asset Register'!$A:$A,0)),""))</f>
        <v/>
      </c>
      <c r="U242" s="18" t="str">
        <f t="shared" si="34"/>
        <v/>
      </c>
      <c r="V242" s="17" t="str">
        <f t="shared" si="35"/>
        <v/>
      </c>
    </row>
    <row r="243" spans="1:22" x14ac:dyDescent="0.25">
      <c r="A243" t="str">
        <f t="shared" si="29"/>
        <v/>
      </c>
      <c r="B243" s="16"/>
      <c r="D243" t="str">
        <f>IF($C243="","",IFERROR(INDEX('Asset Register'!$B:$B,MATCH($C243,'Asset Register'!$A:$A,0)),""))</f>
        <v/>
      </c>
      <c r="E243" t="str">
        <f>IF($C243="","",IFERROR(INDEX('Asset Register'!$C:$C,MATCH($C243,'Asset Register'!$A:$A,0)),""))</f>
        <v/>
      </c>
      <c r="F243" t="str">
        <f>IF($C243="","",IFERROR(INDEX('Asset Register'!$D:$D,MATCH($C243,'Asset Register'!$A:$A,0)),""))</f>
        <v/>
      </c>
      <c r="J243" s="17" t="str">
        <f t="shared" si="36"/>
        <v/>
      </c>
      <c r="K243" s="17" t="str">
        <f t="shared" si="37"/>
        <v/>
      </c>
      <c r="L243" s="17" t="str">
        <f t="shared" si="30"/>
        <v/>
      </c>
      <c r="O243" t="str">
        <f>IF($C243="","",IFERROR(INDEX('Asset Register'!$G:$G,MATCH($C243,'Asset Register'!$A:$A,0)),""))</f>
        <v/>
      </c>
      <c r="Q243" t="str">
        <f t="shared" si="31"/>
        <v/>
      </c>
      <c r="R243" t="str">
        <f t="shared" si="32"/>
        <v/>
      </c>
      <c r="S243" s="17" t="str">
        <f t="shared" si="33"/>
        <v/>
      </c>
      <c r="T243" s="18" t="str">
        <f>IF($C243="","",IFERROR(INDEX('Asset Register'!$H:$H,MATCH($C243,'Asset Register'!$A:$A,0)),""))</f>
        <v/>
      </c>
      <c r="U243" s="18" t="str">
        <f t="shared" si="34"/>
        <v/>
      </c>
      <c r="V243" s="17" t="str">
        <f t="shared" si="35"/>
        <v/>
      </c>
    </row>
    <row r="244" spans="1:22" x14ac:dyDescent="0.25">
      <c r="A244" t="str">
        <f t="shared" si="29"/>
        <v/>
      </c>
      <c r="B244" s="16"/>
      <c r="D244" t="str">
        <f>IF($C244="","",IFERROR(INDEX('Asset Register'!$B:$B,MATCH($C244,'Asset Register'!$A:$A,0)),""))</f>
        <v/>
      </c>
      <c r="E244" t="str">
        <f>IF($C244="","",IFERROR(INDEX('Asset Register'!$C:$C,MATCH($C244,'Asset Register'!$A:$A,0)),""))</f>
        <v/>
      </c>
      <c r="F244" t="str">
        <f>IF($C244="","",IFERROR(INDEX('Asset Register'!$D:$D,MATCH($C244,'Asset Register'!$A:$A,0)),""))</f>
        <v/>
      </c>
      <c r="J244" s="17" t="str">
        <f t="shared" si="36"/>
        <v/>
      </c>
      <c r="K244" s="17" t="str">
        <f t="shared" si="37"/>
        <v/>
      </c>
      <c r="L244" s="17" t="str">
        <f t="shared" si="30"/>
        <v/>
      </c>
      <c r="O244" t="str">
        <f>IF($C244="","",IFERROR(INDEX('Asset Register'!$G:$G,MATCH($C244,'Asset Register'!$A:$A,0)),""))</f>
        <v/>
      </c>
      <c r="Q244" t="str">
        <f t="shared" si="31"/>
        <v/>
      </c>
      <c r="R244" t="str">
        <f t="shared" si="32"/>
        <v/>
      </c>
      <c r="S244" s="17" t="str">
        <f t="shared" si="33"/>
        <v/>
      </c>
      <c r="T244" s="18" t="str">
        <f>IF($C244="","",IFERROR(INDEX('Asset Register'!$H:$H,MATCH($C244,'Asset Register'!$A:$A,0)),""))</f>
        <v/>
      </c>
      <c r="U244" s="18" t="str">
        <f t="shared" si="34"/>
        <v/>
      </c>
      <c r="V244" s="17" t="str">
        <f t="shared" si="35"/>
        <v/>
      </c>
    </row>
    <row r="245" spans="1:22" x14ac:dyDescent="0.25">
      <c r="A245" t="str">
        <f t="shared" si="29"/>
        <v/>
      </c>
      <c r="B245" s="16"/>
      <c r="D245" t="str">
        <f>IF($C245="","",IFERROR(INDEX('Asset Register'!$B:$B,MATCH($C245,'Asset Register'!$A:$A,0)),""))</f>
        <v/>
      </c>
      <c r="E245" t="str">
        <f>IF($C245="","",IFERROR(INDEX('Asset Register'!$C:$C,MATCH($C245,'Asset Register'!$A:$A,0)),""))</f>
        <v/>
      </c>
      <c r="F245" t="str">
        <f>IF($C245="","",IFERROR(INDEX('Asset Register'!$D:$D,MATCH($C245,'Asset Register'!$A:$A,0)),""))</f>
        <v/>
      </c>
      <c r="J245" s="17" t="str">
        <f t="shared" si="36"/>
        <v/>
      </c>
      <c r="K245" s="17" t="str">
        <f t="shared" si="37"/>
        <v/>
      </c>
      <c r="L245" s="17" t="str">
        <f t="shared" si="30"/>
        <v/>
      </c>
      <c r="O245" t="str">
        <f>IF($C245="","",IFERROR(INDEX('Asset Register'!$G:$G,MATCH($C245,'Asset Register'!$A:$A,0)),""))</f>
        <v/>
      </c>
      <c r="Q245" t="str">
        <f t="shared" si="31"/>
        <v/>
      </c>
      <c r="R245" t="str">
        <f t="shared" si="32"/>
        <v/>
      </c>
      <c r="S245" s="17" t="str">
        <f t="shared" si="33"/>
        <v/>
      </c>
      <c r="T245" s="18" t="str">
        <f>IF($C245="","",IFERROR(INDEX('Asset Register'!$H:$H,MATCH($C245,'Asset Register'!$A:$A,0)),""))</f>
        <v/>
      </c>
      <c r="U245" s="18" t="str">
        <f t="shared" si="34"/>
        <v/>
      </c>
      <c r="V245" s="17" t="str">
        <f t="shared" si="35"/>
        <v/>
      </c>
    </row>
    <row r="246" spans="1:22" x14ac:dyDescent="0.25">
      <c r="A246" t="str">
        <f t="shared" si="29"/>
        <v/>
      </c>
      <c r="B246" s="16"/>
      <c r="D246" t="str">
        <f>IF($C246="","",IFERROR(INDEX('Asset Register'!$B:$B,MATCH($C246,'Asset Register'!$A:$A,0)),""))</f>
        <v/>
      </c>
      <c r="E246" t="str">
        <f>IF($C246="","",IFERROR(INDEX('Asset Register'!$C:$C,MATCH($C246,'Asset Register'!$A:$A,0)),""))</f>
        <v/>
      </c>
      <c r="F246" t="str">
        <f>IF($C246="","",IFERROR(INDEX('Asset Register'!$D:$D,MATCH($C246,'Asset Register'!$A:$A,0)),""))</f>
        <v/>
      </c>
      <c r="J246" s="17" t="str">
        <f t="shared" si="36"/>
        <v/>
      </c>
      <c r="K246" s="17" t="str">
        <f t="shared" si="37"/>
        <v/>
      </c>
      <c r="L246" s="17" t="str">
        <f t="shared" si="30"/>
        <v/>
      </c>
      <c r="O246" t="str">
        <f>IF($C246="","",IFERROR(INDEX('Asset Register'!$G:$G,MATCH($C246,'Asset Register'!$A:$A,0)),""))</f>
        <v/>
      </c>
      <c r="Q246" t="str">
        <f t="shared" si="31"/>
        <v/>
      </c>
      <c r="R246" t="str">
        <f t="shared" si="32"/>
        <v/>
      </c>
      <c r="S246" s="17" t="str">
        <f t="shared" si="33"/>
        <v/>
      </c>
      <c r="T246" s="18" t="str">
        <f>IF($C246="","",IFERROR(INDEX('Asset Register'!$H:$H,MATCH($C246,'Asset Register'!$A:$A,0)),""))</f>
        <v/>
      </c>
      <c r="U246" s="18" t="str">
        <f t="shared" si="34"/>
        <v/>
      </c>
      <c r="V246" s="17" t="str">
        <f t="shared" si="35"/>
        <v/>
      </c>
    </row>
    <row r="247" spans="1:22" x14ac:dyDescent="0.25">
      <c r="A247" t="str">
        <f t="shared" si="29"/>
        <v/>
      </c>
      <c r="B247" s="16"/>
      <c r="D247" t="str">
        <f>IF($C247="","",IFERROR(INDEX('Asset Register'!$B:$B,MATCH($C247,'Asset Register'!$A:$A,0)),""))</f>
        <v/>
      </c>
      <c r="E247" t="str">
        <f>IF($C247="","",IFERROR(INDEX('Asset Register'!$C:$C,MATCH($C247,'Asset Register'!$A:$A,0)),""))</f>
        <v/>
      </c>
      <c r="F247" t="str">
        <f>IF($C247="","",IFERROR(INDEX('Asset Register'!$D:$D,MATCH($C247,'Asset Register'!$A:$A,0)),""))</f>
        <v/>
      </c>
      <c r="J247" s="17" t="str">
        <f t="shared" si="36"/>
        <v/>
      </c>
      <c r="K247" s="17" t="str">
        <f t="shared" si="37"/>
        <v/>
      </c>
      <c r="L247" s="17" t="str">
        <f t="shared" si="30"/>
        <v/>
      </c>
      <c r="O247" t="str">
        <f>IF($C247="","",IFERROR(INDEX('Asset Register'!$G:$G,MATCH($C247,'Asset Register'!$A:$A,0)),""))</f>
        <v/>
      </c>
      <c r="Q247" t="str">
        <f t="shared" si="31"/>
        <v/>
      </c>
      <c r="R247" t="str">
        <f t="shared" si="32"/>
        <v/>
      </c>
      <c r="S247" s="17" t="str">
        <f t="shared" si="33"/>
        <v/>
      </c>
      <c r="T247" s="18" t="str">
        <f>IF($C247="","",IFERROR(INDEX('Asset Register'!$H:$H,MATCH($C247,'Asset Register'!$A:$A,0)),""))</f>
        <v/>
      </c>
      <c r="U247" s="18" t="str">
        <f t="shared" si="34"/>
        <v/>
      </c>
      <c r="V247" s="17" t="str">
        <f t="shared" si="35"/>
        <v/>
      </c>
    </row>
    <row r="248" spans="1:22" x14ac:dyDescent="0.25">
      <c r="A248" t="str">
        <f t="shared" si="29"/>
        <v/>
      </c>
      <c r="B248" s="16"/>
      <c r="D248" t="str">
        <f>IF($C248="","",IFERROR(INDEX('Asset Register'!$B:$B,MATCH($C248,'Asset Register'!$A:$A,0)),""))</f>
        <v/>
      </c>
      <c r="E248" t="str">
        <f>IF($C248="","",IFERROR(INDEX('Asset Register'!$C:$C,MATCH($C248,'Asset Register'!$A:$A,0)),""))</f>
        <v/>
      </c>
      <c r="F248" t="str">
        <f>IF($C248="","",IFERROR(INDEX('Asset Register'!$D:$D,MATCH($C248,'Asset Register'!$A:$A,0)),""))</f>
        <v/>
      </c>
      <c r="J248" s="17" t="str">
        <f t="shared" si="36"/>
        <v/>
      </c>
      <c r="K248" s="17" t="str">
        <f t="shared" si="37"/>
        <v/>
      </c>
      <c r="L248" s="17" t="str">
        <f t="shared" si="30"/>
        <v/>
      </c>
      <c r="O248" t="str">
        <f>IF($C248="","",IFERROR(INDEX('Asset Register'!$G:$G,MATCH($C248,'Asset Register'!$A:$A,0)),""))</f>
        <v/>
      </c>
      <c r="Q248" t="str">
        <f t="shared" si="31"/>
        <v/>
      </c>
      <c r="R248" t="str">
        <f t="shared" si="32"/>
        <v/>
      </c>
      <c r="S248" s="17" t="str">
        <f t="shared" si="33"/>
        <v/>
      </c>
      <c r="T248" s="18" t="str">
        <f>IF($C248="","",IFERROR(INDEX('Asset Register'!$H:$H,MATCH($C248,'Asset Register'!$A:$A,0)),""))</f>
        <v/>
      </c>
      <c r="U248" s="18" t="str">
        <f t="shared" si="34"/>
        <v/>
      </c>
      <c r="V248" s="17" t="str">
        <f t="shared" si="35"/>
        <v/>
      </c>
    </row>
    <row r="249" spans="1:22" x14ac:dyDescent="0.25">
      <c r="A249" t="str">
        <f t="shared" si="29"/>
        <v/>
      </c>
      <c r="B249" s="16"/>
      <c r="D249" t="str">
        <f>IF($C249="","",IFERROR(INDEX('Asset Register'!$B:$B,MATCH($C249,'Asset Register'!$A:$A,0)),""))</f>
        <v/>
      </c>
      <c r="E249" t="str">
        <f>IF($C249="","",IFERROR(INDEX('Asset Register'!$C:$C,MATCH($C249,'Asset Register'!$A:$A,0)),""))</f>
        <v/>
      </c>
      <c r="F249" t="str">
        <f>IF($C249="","",IFERROR(INDEX('Asset Register'!$D:$D,MATCH($C249,'Asset Register'!$A:$A,0)),""))</f>
        <v/>
      </c>
      <c r="J249" s="17" t="str">
        <f t="shared" si="36"/>
        <v/>
      </c>
      <c r="K249" s="17" t="str">
        <f t="shared" si="37"/>
        <v/>
      </c>
      <c r="L249" s="17" t="str">
        <f t="shared" si="30"/>
        <v/>
      </c>
      <c r="O249" t="str">
        <f>IF($C249="","",IFERROR(INDEX('Asset Register'!$G:$G,MATCH($C249,'Asset Register'!$A:$A,0)),""))</f>
        <v/>
      </c>
      <c r="Q249" t="str">
        <f t="shared" si="31"/>
        <v/>
      </c>
      <c r="R249" t="str">
        <f t="shared" si="32"/>
        <v/>
      </c>
      <c r="S249" s="17" t="str">
        <f t="shared" si="33"/>
        <v/>
      </c>
      <c r="T249" s="18" t="str">
        <f>IF($C249="","",IFERROR(INDEX('Asset Register'!$H:$H,MATCH($C249,'Asset Register'!$A:$A,0)),""))</f>
        <v/>
      </c>
      <c r="U249" s="18" t="str">
        <f t="shared" si="34"/>
        <v/>
      </c>
      <c r="V249" s="17" t="str">
        <f t="shared" si="35"/>
        <v/>
      </c>
    </row>
    <row r="250" spans="1:22" x14ac:dyDescent="0.25">
      <c r="A250" t="str">
        <f t="shared" si="29"/>
        <v/>
      </c>
      <c r="B250" s="16"/>
      <c r="D250" t="str">
        <f>IF($C250="","",IFERROR(INDEX('Asset Register'!$B:$B,MATCH($C250,'Asset Register'!$A:$A,0)),""))</f>
        <v/>
      </c>
      <c r="E250" t="str">
        <f>IF($C250="","",IFERROR(INDEX('Asset Register'!$C:$C,MATCH($C250,'Asset Register'!$A:$A,0)),""))</f>
        <v/>
      </c>
      <c r="F250" t="str">
        <f>IF($C250="","",IFERROR(INDEX('Asset Register'!$D:$D,MATCH($C250,'Asset Register'!$A:$A,0)),""))</f>
        <v/>
      </c>
      <c r="J250" s="17" t="str">
        <f t="shared" si="36"/>
        <v/>
      </c>
      <c r="K250" s="17" t="str">
        <f t="shared" si="37"/>
        <v/>
      </c>
      <c r="L250" s="17" t="str">
        <f t="shared" si="30"/>
        <v/>
      </c>
      <c r="O250" t="str">
        <f>IF($C250="","",IFERROR(INDEX('Asset Register'!$G:$G,MATCH($C250,'Asset Register'!$A:$A,0)),""))</f>
        <v/>
      </c>
      <c r="Q250" t="str">
        <f t="shared" si="31"/>
        <v/>
      </c>
      <c r="R250" t="str">
        <f t="shared" si="32"/>
        <v/>
      </c>
      <c r="S250" s="17" t="str">
        <f t="shared" si="33"/>
        <v/>
      </c>
      <c r="T250" s="18" t="str">
        <f>IF($C250="","",IFERROR(INDEX('Asset Register'!$H:$H,MATCH($C250,'Asset Register'!$A:$A,0)),""))</f>
        <v/>
      </c>
      <c r="U250" s="18" t="str">
        <f t="shared" si="34"/>
        <v/>
      </c>
      <c r="V250" s="17" t="str">
        <f t="shared" si="35"/>
        <v/>
      </c>
    </row>
    <row r="251" spans="1:22" x14ac:dyDescent="0.25">
      <c r="A251" t="str">
        <f t="shared" si="29"/>
        <v/>
      </c>
      <c r="B251" s="16"/>
      <c r="D251" t="str">
        <f>IF($C251="","",IFERROR(INDEX('Asset Register'!$B:$B,MATCH($C251,'Asset Register'!$A:$A,0)),""))</f>
        <v/>
      </c>
      <c r="E251" t="str">
        <f>IF($C251="","",IFERROR(INDEX('Asset Register'!$C:$C,MATCH($C251,'Asset Register'!$A:$A,0)),""))</f>
        <v/>
      </c>
      <c r="F251" t="str">
        <f>IF($C251="","",IFERROR(INDEX('Asset Register'!$D:$D,MATCH($C251,'Asset Register'!$A:$A,0)),""))</f>
        <v/>
      </c>
      <c r="J251" s="17" t="str">
        <f t="shared" si="36"/>
        <v/>
      </c>
      <c r="K251" s="17" t="str">
        <f t="shared" si="37"/>
        <v/>
      </c>
      <c r="L251" s="17" t="str">
        <f t="shared" si="30"/>
        <v/>
      </c>
      <c r="O251" t="str">
        <f>IF($C251="","",IFERROR(INDEX('Asset Register'!$G:$G,MATCH($C251,'Asset Register'!$A:$A,0)),""))</f>
        <v/>
      </c>
      <c r="Q251" t="str">
        <f t="shared" si="31"/>
        <v/>
      </c>
      <c r="R251" t="str">
        <f t="shared" si="32"/>
        <v/>
      </c>
      <c r="S251" s="17" t="str">
        <f t="shared" si="33"/>
        <v/>
      </c>
      <c r="T251" s="18" t="str">
        <f>IF($C251="","",IFERROR(INDEX('Asset Register'!$H:$H,MATCH($C251,'Asset Register'!$A:$A,0)),""))</f>
        <v/>
      </c>
      <c r="U251" s="18" t="str">
        <f t="shared" si="34"/>
        <v/>
      </c>
      <c r="V251" s="17" t="str">
        <f t="shared" si="35"/>
        <v/>
      </c>
    </row>
    <row r="252" spans="1:22" x14ac:dyDescent="0.25">
      <c r="A252" t="str">
        <f t="shared" si="29"/>
        <v/>
      </c>
      <c r="B252" s="16"/>
      <c r="D252" t="str">
        <f>IF($C252="","",IFERROR(INDEX('Asset Register'!$B:$B,MATCH($C252,'Asset Register'!$A:$A,0)),""))</f>
        <v/>
      </c>
      <c r="E252" t="str">
        <f>IF($C252="","",IFERROR(INDEX('Asset Register'!$C:$C,MATCH($C252,'Asset Register'!$A:$A,0)),""))</f>
        <v/>
      </c>
      <c r="F252" t="str">
        <f>IF($C252="","",IFERROR(INDEX('Asset Register'!$D:$D,MATCH($C252,'Asset Register'!$A:$A,0)),""))</f>
        <v/>
      </c>
      <c r="J252" s="17" t="str">
        <f t="shared" si="36"/>
        <v/>
      </c>
      <c r="K252" s="17" t="str">
        <f t="shared" si="37"/>
        <v/>
      </c>
      <c r="L252" s="17" t="str">
        <f t="shared" si="30"/>
        <v/>
      </c>
      <c r="O252" t="str">
        <f>IF($C252="","",IFERROR(INDEX('Asset Register'!$G:$G,MATCH($C252,'Asset Register'!$A:$A,0)),""))</f>
        <v/>
      </c>
      <c r="Q252" t="str">
        <f t="shared" si="31"/>
        <v/>
      </c>
      <c r="R252" t="str">
        <f t="shared" si="32"/>
        <v/>
      </c>
      <c r="S252" s="17" t="str">
        <f t="shared" si="33"/>
        <v/>
      </c>
      <c r="T252" s="18" t="str">
        <f>IF($C252="","",IFERROR(INDEX('Asset Register'!$H:$H,MATCH($C252,'Asset Register'!$A:$A,0)),""))</f>
        <v/>
      </c>
      <c r="U252" s="18" t="str">
        <f t="shared" si="34"/>
        <v/>
      </c>
      <c r="V252" s="17" t="str">
        <f t="shared" si="35"/>
        <v/>
      </c>
    </row>
    <row r="253" spans="1:22" x14ac:dyDescent="0.25">
      <c r="A253" t="str">
        <f t="shared" si="29"/>
        <v/>
      </c>
      <c r="B253" s="16"/>
      <c r="D253" t="str">
        <f>IF($C253="","",IFERROR(INDEX('Asset Register'!$B:$B,MATCH($C253,'Asset Register'!$A:$A,0)),""))</f>
        <v/>
      </c>
      <c r="E253" t="str">
        <f>IF($C253="","",IFERROR(INDEX('Asset Register'!$C:$C,MATCH($C253,'Asset Register'!$A:$A,0)),""))</f>
        <v/>
      </c>
      <c r="F253" t="str">
        <f>IF($C253="","",IFERROR(INDEX('Asset Register'!$D:$D,MATCH($C253,'Asset Register'!$A:$A,0)),""))</f>
        <v/>
      </c>
      <c r="J253" s="17" t="str">
        <f t="shared" si="36"/>
        <v/>
      </c>
      <c r="K253" s="17" t="str">
        <f t="shared" si="37"/>
        <v/>
      </c>
      <c r="L253" s="17" t="str">
        <f t="shared" si="30"/>
        <v/>
      </c>
      <c r="O253" t="str">
        <f>IF($C253="","",IFERROR(INDEX('Asset Register'!$G:$G,MATCH($C253,'Asset Register'!$A:$A,0)),""))</f>
        <v/>
      </c>
      <c r="Q253" t="str">
        <f t="shared" si="31"/>
        <v/>
      </c>
      <c r="R253" t="str">
        <f t="shared" si="32"/>
        <v/>
      </c>
      <c r="S253" s="17" t="str">
        <f t="shared" si="33"/>
        <v/>
      </c>
      <c r="T253" s="18" t="str">
        <f>IF($C253="","",IFERROR(INDEX('Asset Register'!$H:$H,MATCH($C253,'Asset Register'!$A:$A,0)),""))</f>
        <v/>
      </c>
      <c r="U253" s="18" t="str">
        <f t="shared" si="34"/>
        <v/>
      </c>
      <c r="V253" s="17" t="str">
        <f t="shared" si="35"/>
        <v/>
      </c>
    </row>
    <row r="254" spans="1:22" x14ac:dyDescent="0.25">
      <c r="A254" t="str">
        <f t="shared" si="29"/>
        <v/>
      </c>
      <c r="B254" s="16"/>
      <c r="D254" t="str">
        <f>IF($C254="","",IFERROR(INDEX('Asset Register'!$B:$B,MATCH($C254,'Asset Register'!$A:$A,0)),""))</f>
        <v/>
      </c>
      <c r="E254" t="str">
        <f>IF($C254="","",IFERROR(INDEX('Asset Register'!$C:$C,MATCH($C254,'Asset Register'!$A:$A,0)),""))</f>
        <v/>
      </c>
      <c r="F254" t="str">
        <f>IF($C254="","",IFERROR(INDEX('Asset Register'!$D:$D,MATCH($C254,'Asset Register'!$A:$A,0)),""))</f>
        <v/>
      </c>
      <c r="J254" s="17" t="str">
        <f t="shared" si="36"/>
        <v/>
      </c>
      <c r="K254" s="17" t="str">
        <f t="shared" si="37"/>
        <v/>
      </c>
      <c r="L254" s="17" t="str">
        <f t="shared" si="30"/>
        <v/>
      </c>
      <c r="O254" t="str">
        <f>IF($C254="","",IFERROR(INDEX('Asset Register'!$G:$G,MATCH($C254,'Asset Register'!$A:$A,0)),""))</f>
        <v/>
      </c>
      <c r="Q254" t="str">
        <f t="shared" si="31"/>
        <v/>
      </c>
      <c r="R254" t="str">
        <f t="shared" si="32"/>
        <v/>
      </c>
      <c r="S254" s="17" t="str">
        <f t="shared" si="33"/>
        <v/>
      </c>
      <c r="T254" s="18" t="str">
        <f>IF($C254="","",IFERROR(INDEX('Asset Register'!$H:$H,MATCH($C254,'Asset Register'!$A:$A,0)),""))</f>
        <v/>
      </c>
      <c r="U254" s="18" t="str">
        <f t="shared" si="34"/>
        <v/>
      </c>
      <c r="V254" s="17" t="str">
        <f t="shared" si="35"/>
        <v/>
      </c>
    </row>
    <row r="255" spans="1:22" x14ac:dyDescent="0.25">
      <c r="A255" t="str">
        <f t="shared" si="29"/>
        <v/>
      </c>
      <c r="B255" s="16"/>
      <c r="D255" t="str">
        <f>IF($C255="","",IFERROR(INDEX('Asset Register'!$B:$B,MATCH($C255,'Asset Register'!$A:$A,0)),""))</f>
        <v/>
      </c>
      <c r="E255" t="str">
        <f>IF($C255="","",IFERROR(INDEX('Asset Register'!$C:$C,MATCH($C255,'Asset Register'!$A:$A,0)),""))</f>
        <v/>
      </c>
      <c r="F255" t="str">
        <f>IF($C255="","",IFERROR(INDEX('Asset Register'!$D:$D,MATCH($C255,'Asset Register'!$A:$A,0)),""))</f>
        <v/>
      </c>
      <c r="J255" s="17" t="str">
        <f t="shared" si="36"/>
        <v/>
      </c>
      <c r="K255" s="17" t="str">
        <f t="shared" si="37"/>
        <v/>
      </c>
      <c r="L255" s="17" t="str">
        <f t="shared" si="30"/>
        <v/>
      </c>
      <c r="O255" t="str">
        <f>IF($C255="","",IFERROR(INDEX('Asset Register'!$G:$G,MATCH($C255,'Asset Register'!$A:$A,0)),""))</f>
        <v/>
      </c>
      <c r="Q255" t="str">
        <f t="shared" si="31"/>
        <v/>
      </c>
      <c r="R255" t="str">
        <f t="shared" si="32"/>
        <v/>
      </c>
      <c r="S255" s="17" t="str">
        <f t="shared" si="33"/>
        <v/>
      </c>
      <c r="T255" s="18" t="str">
        <f>IF($C255="","",IFERROR(INDEX('Asset Register'!$H:$H,MATCH($C255,'Asset Register'!$A:$A,0)),""))</f>
        <v/>
      </c>
      <c r="U255" s="18" t="str">
        <f t="shared" si="34"/>
        <v/>
      </c>
      <c r="V255" s="17" t="str">
        <f t="shared" si="35"/>
        <v/>
      </c>
    </row>
    <row r="256" spans="1:22" x14ac:dyDescent="0.25">
      <c r="A256" t="str">
        <f t="shared" si="29"/>
        <v/>
      </c>
      <c r="B256" s="16"/>
      <c r="D256" t="str">
        <f>IF($C256="","",IFERROR(INDEX('Asset Register'!$B:$B,MATCH($C256,'Asset Register'!$A:$A,0)),""))</f>
        <v/>
      </c>
      <c r="E256" t="str">
        <f>IF($C256="","",IFERROR(INDEX('Asset Register'!$C:$C,MATCH($C256,'Asset Register'!$A:$A,0)),""))</f>
        <v/>
      </c>
      <c r="F256" t="str">
        <f>IF($C256="","",IFERROR(INDEX('Asset Register'!$D:$D,MATCH($C256,'Asset Register'!$A:$A,0)),""))</f>
        <v/>
      </c>
      <c r="J256" s="17" t="str">
        <f t="shared" si="36"/>
        <v/>
      </c>
      <c r="K256" s="17" t="str">
        <f t="shared" si="37"/>
        <v/>
      </c>
      <c r="L256" s="17" t="str">
        <f t="shared" si="30"/>
        <v/>
      </c>
      <c r="O256" t="str">
        <f>IF($C256="","",IFERROR(INDEX('Asset Register'!$G:$G,MATCH($C256,'Asset Register'!$A:$A,0)),""))</f>
        <v/>
      </c>
      <c r="Q256" t="str">
        <f t="shared" si="31"/>
        <v/>
      </c>
      <c r="R256" t="str">
        <f t="shared" si="32"/>
        <v/>
      </c>
      <c r="S256" s="17" t="str">
        <f t="shared" si="33"/>
        <v/>
      </c>
      <c r="T256" s="18" t="str">
        <f>IF($C256="","",IFERROR(INDEX('Asset Register'!$H:$H,MATCH($C256,'Asset Register'!$A:$A,0)),""))</f>
        <v/>
      </c>
      <c r="U256" s="18" t="str">
        <f t="shared" si="34"/>
        <v/>
      </c>
      <c r="V256" s="17" t="str">
        <f t="shared" si="35"/>
        <v/>
      </c>
    </row>
    <row r="257" spans="1:22" x14ac:dyDescent="0.25">
      <c r="A257" t="str">
        <f t="shared" si="29"/>
        <v/>
      </c>
      <c r="B257" s="16"/>
      <c r="D257" t="str">
        <f>IF($C257="","",IFERROR(INDEX('Asset Register'!$B:$B,MATCH($C257,'Asset Register'!$A:$A,0)),""))</f>
        <v/>
      </c>
      <c r="E257" t="str">
        <f>IF($C257="","",IFERROR(INDEX('Asset Register'!$C:$C,MATCH($C257,'Asset Register'!$A:$A,0)),""))</f>
        <v/>
      </c>
      <c r="F257" t="str">
        <f>IF($C257="","",IFERROR(INDEX('Asset Register'!$D:$D,MATCH($C257,'Asset Register'!$A:$A,0)),""))</f>
        <v/>
      </c>
      <c r="J257" s="17" t="str">
        <f t="shared" si="36"/>
        <v/>
      </c>
      <c r="K257" s="17" t="str">
        <f t="shared" si="37"/>
        <v/>
      </c>
      <c r="L257" s="17" t="str">
        <f t="shared" si="30"/>
        <v/>
      </c>
      <c r="O257" t="str">
        <f>IF($C257="","",IFERROR(INDEX('Asset Register'!$G:$G,MATCH($C257,'Asset Register'!$A:$A,0)),""))</f>
        <v/>
      </c>
      <c r="Q257" t="str">
        <f t="shared" si="31"/>
        <v/>
      </c>
      <c r="R257" t="str">
        <f t="shared" si="32"/>
        <v/>
      </c>
      <c r="S257" s="17" t="str">
        <f t="shared" si="33"/>
        <v/>
      </c>
      <c r="T257" s="18" t="str">
        <f>IF($C257="","",IFERROR(INDEX('Asset Register'!$H:$H,MATCH($C257,'Asset Register'!$A:$A,0)),""))</f>
        <v/>
      </c>
      <c r="U257" s="18" t="str">
        <f t="shared" si="34"/>
        <v/>
      </c>
      <c r="V257" s="17" t="str">
        <f t="shared" si="35"/>
        <v/>
      </c>
    </row>
    <row r="258" spans="1:22" x14ac:dyDescent="0.25">
      <c r="A258" t="str">
        <f t="shared" ref="A258:A321" si="38">IF(B258="","",ROW()-1)</f>
        <v/>
      </c>
      <c r="B258" s="16"/>
      <c r="D258" t="str">
        <f>IF($C258="","",IFERROR(INDEX('Asset Register'!$B:$B,MATCH($C258,'Asset Register'!$A:$A,0)),""))</f>
        <v/>
      </c>
      <c r="E258" t="str">
        <f>IF($C258="","",IFERROR(INDEX('Asset Register'!$C:$C,MATCH($C258,'Asset Register'!$A:$A,0)),""))</f>
        <v/>
      </c>
      <c r="F258" t="str">
        <f>IF($C258="","",IFERROR(INDEX('Asset Register'!$D:$D,MATCH($C258,'Asset Register'!$A:$A,0)),""))</f>
        <v/>
      </c>
      <c r="J258" s="17" t="str">
        <f t="shared" si="36"/>
        <v/>
      </c>
      <c r="K258" s="17" t="str">
        <f t="shared" si="37"/>
        <v/>
      </c>
      <c r="L258" s="17" t="str">
        <f t="shared" ref="L258:L321" si="39">IF($J258="","",1-$J258)</f>
        <v/>
      </c>
      <c r="O258" t="str">
        <f>IF($C258="","",IFERROR(INDEX('Asset Register'!$G:$G,MATCH($C258,'Asset Register'!$A:$A,0)),""))</f>
        <v/>
      </c>
      <c r="Q258" t="str">
        <f t="shared" ref="Q258:Q321" si="40">IF($O258="","",$O258*$G258)</f>
        <v/>
      </c>
      <c r="R258" t="str">
        <f t="shared" ref="R258:R321" si="41">IF(OR($P258="",$Q258=""),"",$P258-$Q258)</f>
        <v/>
      </c>
      <c r="S258" s="17" t="str">
        <f t="shared" ref="S258:S321" si="42">IF(OR($R258="",$Q258="",$Q258=0),"",$R258/$Q258)</f>
        <v/>
      </c>
      <c r="T258" s="18" t="str">
        <f>IF($C258="","",IFERROR(INDEX('Asset Register'!$H:$H,MATCH($C258,'Asset Register'!$A:$A,0)),""))</f>
        <v/>
      </c>
      <c r="U258" s="18" t="str">
        <f t="shared" ref="U258:U321" si="43">IF($T258="","",$G258*$T258)</f>
        <v/>
      </c>
      <c r="V258" s="17" t="str">
        <f t="shared" ref="V258:V321" si="44">IFERROR($H258/$G258,"")</f>
        <v/>
      </c>
    </row>
    <row r="259" spans="1:22" x14ac:dyDescent="0.25">
      <c r="A259" t="str">
        <f t="shared" si="38"/>
        <v/>
      </c>
      <c r="B259" s="16"/>
      <c r="D259" t="str">
        <f>IF($C259="","",IFERROR(INDEX('Asset Register'!$B:$B,MATCH($C259,'Asset Register'!$A:$A,0)),""))</f>
        <v/>
      </c>
      <c r="E259" t="str">
        <f>IF($C259="","",IFERROR(INDEX('Asset Register'!$C:$C,MATCH($C259,'Asset Register'!$A:$A,0)),""))</f>
        <v/>
      </c>
      <c r="F259" t="str">
        <f>IF($C259="","",IFERROR(INDEX('Asset Register'!$D:$D,MATCH($C259,'Asset Register'!$A:$A,0)),""))</f>
        <v/>
      </c>
      <c r="J259" s="17" t="str">
        <f t="shared" si="36"/>
        <v/>
      </c>
      <c r="K259" s="17" t="str">
        <f t="shared" si="37"/>
        <v/>
      </c>
      <c r="L259" s="17" t="str">
        <f t="shared" si="39"/>
        <v/>
      </c>
      <c r="O259" t="str">
        <f>IF($C259="","",IFERROR(INDEX('Asset Register'!$G:$G,MATCH($C259,'Asset Register'!$A:$A,0)),""))</f>
        <v/>
      </c>
      <c r="Q259" t="str">
        <f t="shared" si="40"/>
        <v/>
      </c>
      <c r="R259" t="str">
        <f t="shared" si="41"/>
        <v/>
      </c>
      <c r="S259" s="17" t="str">
        <f t="shared" si="42"/>
        <v/>
      </c>
      <c r="T259" s="18" t="str">
        <f>IF($C259="","",IFERROR(INDEX('Asset Register'!$H:$H,MATCH($C259,'Asset Register'!$A:$A,0)),""))</f>
        <v/>
      </c>
      <c r="U259" s="18" t="str">
        <f t="shared" si="43"/>
        <v/>
      </c>
      <c r="V259" s="17" t="str">
        <f t="shared" si="44"/>
        <v/>
      </c>
    </row>
    <row r="260" spans="1:22" x14ac:dyDescent="0.25">
      <c r="A260" t="str">
        <f t="shared" si="38"/>
        <v/>
      </c>
      <c r="B260" s="16"/>
      <c r="D260" t="str">
        <f>IF($C260="","",IFERROR(INDEX('Asset Register'!$B:$B,MATCH($C260,'Asset Register'!$A:$A,0)),""))</f>
        <v/>
      </c>
      <c r="E260" t="str">
        <f>IF($C260="","",IFERROR(INDEX('Asset Register'!$C:$C,MATCH($C260,'Asset Register'!$A:$A,0)),""))</f>
        <v/>
      </c>
      <c r="F260" t="str">
        <f>IF($C260="","",IFERROR(INDEX('Asset Register'!$D:$D,MATCH($C260,'Asset Register'!$A:$A,0)),""))</f>
        <v/>
      </c>
      <c r="J260" s="17" t="str">
        <f t="shared" si="36"/>
        <v/>
      </c>
      <c r="K260" s="17" t="str">
        <f t="shared" si="37"/>
        <v/>
      </c>
      <c r="L260" s="17" t="str">
        <f t="shared" si="39"/>
        <v/>
      </c>
      <c r="O260" t="str">
        <f>IF($C260="","",IFERROR(INDEX('Asset Register'!$G:$G,MATCH($C260,'Asset Register'!$A:$A,0)),""))</f>
        <v/>
      </c>
      <c r="Q260" t="str">
        <f t="shared" si="40"/>
        <v/>
      </c>
      <c r="R260" t="str">
        <f t="shared" si="41"/>
        <v/>
      </c>
      <c r="S260" s="17" t="str">
        <f t="shared" si="42"/>
        <v/>
      </c>
      <c r="T260" s="18" t="str">
        <f>IF($C260="","",IFERROR(INDEX('Asset Register'!$H:$H,MATCH($C260,'Asset Register'!$A:$A,0)),""))</f>
        <v/>
      </c>
      <c r="U260" s="18" t="str">
        <f t="shared" si="43"/>
        <v/>
      </c>
      <c r="V260" s="17" t="str">
        <f t="shared" si="44"/>
        <v/>
      </c>
    </row>
    <row r="261" spans="1:22" x14ac:dyDescent="0.25">
      <c r="A261" t="str">
        <f t="shared" si="38"/>
        <v/>
      </c>
      <c r="B261" s="16"/>
      <c r="D261" t="str">
        <f>IF($C261="","",IFERROR(INDEX('Asset Register'!$B:$B,MATCH($C261,'Asset Register'!$A:$A,0)),""))</f>
        <v/>
      </c>
      <c r="E261" t="str">
        <f>IF($C261="","",IFERROR(INDEX('Asset Register'!$C:$C,MATCH($C261,'Asset Register'!$A:$A,0)),""))</f>
        <v/>
      </c>
      <c r="F261" t="str">
        <f>IF($C261="","",IFERROR(INDEX('Asset Register'!$D:$D,MATCH($C261,'Asset Register'!$A:$A,0)),""))</f>
        <v/>
      </c>
      <c r="J261" s="17" t="str">
        <f t="shared" si="36"/>
        <v/>
      </c>
      <c r="K261" s="17" t="str">
        <f t="shared" si="37"/>
        <v/>
      </c>
      <c r="L261" s="17" t="str">
        <f t="shared" si="39"/>
        <v/>
      </c>
      <c r="O261" t="str">
        <f>IF($C261="","",IFERROR(INDEX('Asset Register'!$G:$G,MATCH($C261,'Asset Register'!$A:$A,0)),""))</f>
        <v/>
      </c>
      <c r="Q261" t="str">
        <f t="shared" si="40"/>
        <v/>
      </c>
      <c r="R261" t="str">
        <f t="shared" si="41"/>
        <v/>
      </c>
      <c r="S261" s="17" t="str">
        <f t="shared" si="42"/>
        <v/>
      </c>
      <c r="T261" s="18" t="str">
        <f>IF($C261="","",IFERROR(INDEX('Asset Register'!$H:$H,MATCH($C261,'Asset Register'!$A:$A,0)),""))</f>
        <v/>
      </c>
      <c r="U261" s="18" t="str">
        <f t="shared" si="43"/>
        <v/>
      </c>
      <c r="V261" s="17" t="str">
        <f t="shared" si="44"/>
        <v/>
      </c>
    </row>
    <row r="262" spans="1:22" x14ac:dyDescent="0.25">
      <c r="A262" t="str">
        <f t="shared" si="38"/>
        <v/>
      </c>
      <c r="B262" s="16"/>
      <c r="D262" t="str">
        <f>IF($C262="","",IFERROR(INDEX('Asset Register'!$B:$B,MATCH($C262,'Asset Register'!$A:$A,0)),""))</f>
        <v/>
      </c>
      <c r="E262" t="str">
        <f>IF($C262="","",IFERROR(INDEX('Asset Register'!$C:$C,MATCH($C262,'Asset Register'!$A:$A,0)),""))</f>
        <v/>
      </c>
      <c r="F262" t="str">
        <f>IF($C262="","",IFERROR(INDEX('Asset Register'!$D:$D,MATCH($C262,'Asset Register'!$A:$A,0)),""))</f>
        <v/>
      </c>
      <c r="J262" s="17" t="str">
        <f t="shared" si="36"/>
        <v/>
      </c>
      <c r="K262" s="17" t="str">
        <f t="shared" si="37"/>
        <v/>
      </c>
      <c r="L262" s="17" t="str">
        <f t="shared" si="39"/>
        <v/>
      </c>
      <c r="O262" t="str">
        <f>IF($C262="","",IFERROR(INDEX('Asset Register'!$G:$G,MATCH($C262,'Asset Register'!$A:$A,0)),""))</f>
        <v/>
      </c>
      <c r="Q262" t="str">
        <f t="shared" si="40"/>
        <v/>
      </c>
      <c r="R262" t="str">
        <f t="shared" si="41"/>
        <v/>
      </c>
      <c r="S262" s="17" t="str">
        <f t="shared" si="42"/>
        <v/>
      </c>
      <c r="T262" s="18" t="str">
        <f>IF($C262="","",IFERROR(INDEX('Asset Register'!$H:$H,MATCH($C262,'Asset Register'!$A:$A,0)),""))</f>
        <v/>
      </c>
      <c r="U262" s="18" t="str">
        <f t="shared" si="43"/>
        <v/>
      </c>
      <c r="V262" s="17" t="str">
        <f t="shared" si="44"/>
        <v/>
      </c>
    </row>
    <row r="263" spans="1:22" x14ac:dyDescent="0.25">
      <c r="A263" t="str">
        <f t="shared" si="38"/>
        <v/>
      </c>
      <c r="B263" s="16"/>
      <c r="D263" t="str">
        <f>IF($C263="","",IFERROR(INDEX('Asset Register'!$B:$B,MATCH($C263,'Asset Register'!$A:$A,0)),""))</f>
        <v/>
      </c>
      <c r="E263" t="str">
        <f>IF($C263="","",IFERROR(INDEX('Asset Register'!$C:$C,MATCH($C263,'Asset Register'!$A:$A,0)),""))</f>
        <v/>
      </c>
      <c r="F263" t="str">
        <f>IF($C263="","",IFERROR(INDEX('Asset Register'!$D:$D,MATCH($C263,'Asset Register'!$A:$A,0)),""))</f>
        <v/>
      </c>
      <c r="J263" s="17" t="str">
        <f t="shared" si="36"/>
        <v/>
      </c>
      <c r="K263" s="17" t="str">
        <f t="shared" si="37"/>
        <v/>
      </c>
      <c r="L263" s="17" t="str">
        <f t="shared" si="39"/>
        <v/>
      </c>
      <c r="O263" t="str">
        <f>IF($C263="","",IFERROR(INDEX('Asset Register'!$G:$G,MATCH($C263,'Asset Register'!$A:$A,0)),""))</f>
        <v/>
      </c>
      <c r="Q263" t="str">
        <f t="shared" si="40"/>
        <v/>
      </c>
      <c r="R263" t="str">
        <f t="shared" si="41"/>
        <v/>
      </c>
      <c r="S263" s="17" t="str">
        <f t="shared" si="42"/>
        <v/>
      </c>
      <c r="T263" s="18" t="str">
        <f>IF($C263="","",IFERROR(INDEX('Asset Register'!$H:$H,MATCH($C263,'Asset Register'!$A:$A,0)),""))</f>
        <v/>
      </c>
      <c r="U263" s="18" t="str">
        <f t="shared" si="43"/>
        <v/>
      </c>
      <c r="V263" s="17" t="str">
        <f t="shared" si="44"/>
        <v/>
      </c>
    </row>
    <row r="264" spans="1:22" x14ac:dyDescent="0.25">
      <c r="A264" t="str">
        <f t="shared" si="38"/>
        <v/>
      </c>
      <c r="B264" s="16"/>
      <c r="D264" t="str">
        <f>IF($C264="","",IFERROR(INDEX('Asset Register'!$B:$B,MATCH($C264,'Asset Register'!$A:$A,0)),""))</f>
        <v/>
      </c>
      <c r="E264" t="str">
        <f>IF($C264="","",IFERROR(INDEX('Asset Register'!$C:$C,MATCH($C264,'Asset Register'!$A:$A,0)),""))</f>
        <v/>
      </c>
      <c r="F264" t="str">
        <f>IF($C264="","",IFERROR(INDEX('Asset Register'!$D:$D,MATCH($C264,'Asset Register'!$A:$A,0)),""))</f>
        <v/>
      </c>
      <c r="J264" s="17" t="str">
        <f t="shared" si="36"/>
        <v/>
      </c>
      <c r="K264" s="17" t="str">
        <f t="shared" si="37"/>
        <v/>
      </c>
      <c r="L264" s="17" t="str">
        <f t="shared" si="39"/>
        <v/>
      </c>
      <c r="O264" t="str">
        <f>IF($C264="","",IFERROR(INDEX('Asset Register'!$G:$G,MATCH($C264,'Asset Register'!$A:$A,0)),""))</f>
        <v/>
      </c>
      <c r="Q264" t="str">
        <f t="shared" si="40"/>
        <v/>
      </c>
      <c r="R264" t="str">
        <f t="shared" si="41"/>
        <v/>
      </c>
      <c r="S264" s="17" t="str">
        <f t="shared" si="42"/>
        <v/>
      </c>
      <c r="T264" s="18" t="str">
        <f>IF($C264="","",IFERROR(INDEX('Asset Register'!$H:$H,MATCH($C264,'Asset Register'!$A:$A,0)),""))</f>
        <v/>
      </c>
      <c r="U264" s="18" t="str">
        <f t="shared" si="43"/>
        <v/>
      </c>
      <c r="V264" s="17" t="str">
        <f t="shared" si="44"/>
        <v/>
      </c>
    </row>
    <row r="265" spans="1:22" x14ac:dyDescent="0.25">
      <c r="A265" t="str">
        <f t="shared" si="38"/>
        <v/>
      </c>
      <c r="B265" s="16"/>
      <c r="D265" t="str">
        <f>IF($C265="","",IFERROR(INDEX('Asset Register'!$B:$B,MATCH($C265,'Asset Register'!$A:$A,0)),""))</f>
        <v/>
      </c>
      <c r="E265" t="str">
        <f>IF($C265="","",IFERROR(INDEX('Asset Register'!$C:$C,MATCH($C265,'Asset Register'!$A:$A,0)),""))</f>
        <v/>
      </c>
      <c r="F265" t="str">
        <f>IF($C265="","",IFERROR(INDEX('Asset Register'!$D:$D,MATCH($C265,'Asset Register'!$A:$A,0)),""))</f>
        <v/>
      </c>
      <c r="J265" s="17" t="str">
        <f t="shared" si="36"/>
        <v/>
      </c>
      <c r="K265" s="17" t="str">
        <f t="shared" si="37"/>
        <v/>
      </c>
      <c r="L265" s="17" t="str">
        <f t="shared" si="39"/>
        <v/>
      </c>
      <c r="O265" t="str">
        <f>IF($C265="","",IFERROR(INDEX('Asset Register'!$G:$G,MATCH($C265,'Asset Register'!$A:$A,0)),""))</f>
        <v/>
      </c>
      <c r="Q265" t="str">
        <f t="shared" si="40"/>
        <v/>
      </c>
      <c r="R265" t="str">
        <f t="shared" si="41"/>
        <v/>
      </c>
      <c r="S265" s="17" t="str">
        <f t="shared" si="42"/>
        <v/>
      </c>
      <c r="T265" s="18" t="str">
        <f>IF($C265="","",IFERROR(INDEX('Asset Register'!$H:$H,MATCH($C265,'Asset Register'!$A:$A,0)),""))</f>
        <v/>
      </c>
      <c r="U265" s="18" t="str">
        <f t="shared" si="43"/>
        <v/>
      </c>
      <c r="V265" s="17" t="str">
        <f t="shared" si="44"/>
        <v/>
      </c>
    </row>
    <row r="266" spans="1:22" x14ac:dyDescent="0.25">
      <c r="A266" t="str">
        <f t="shared" si="38"/>
        <v/>
      </c>
      <c r="B266" s="16"/>
      <c r="D266" t="str">
        <f>IF($C266="","",IFERROR(INDEX('Asset Register'!$B:$B,MATCH($C266,'Asset Register'!$A:$A,0)),""))</f>
        <v/>
      </c>
      <c r="E266" t="str">
        <f>IF($C266="","",IFERROR(INDEX('Asset Register'!$C:$C,MATCH($C266,'Asset Register'!$A:$A,0)),""))</f>
        <v/>
      </c>
      <c r="F266" t="str">
        <f>IF($C266="","",IFERROR(INDEX('Asset Register'!$D:$D,MATCH($C266,'Asset Register'!$A:$A,0)),""))</f>
        <v/>
      </c>
      <c r="J266" s="17" t="str">
        <f t="shared" si="36"/>
        <v/>
      </c>
      <c r="K266" s="17" t="str">
        <f t="shared" si="37"/>
        <v/>
      </c>
      <c r="L266" s="17" t="str">
        <f t="shared" si="39"/>
        <v/>
      </c>
      <c r="O266" t="str">
        <f>IF($C266="","",IFERROR(INDEX('Asset Register'!$G:$G,MATCH($C266,'Asset Register'!$A:$A,0)),""))</f>
        <v/>
      </c>
      <c r="Q266" t="str">
        <f t="shared" si="40"/>
        <v/>
      </c>
      <c r="R266" t="str">
        <f t="shared" si="41"/>
        <v/>
      </c>
      <c r="S266" s="17" t="str">
        <f t="shared" si="42"/>
        <v/>
      </c>
      <c r="T266" s="18" t="str">
        <f>IF($C266="","",IFERROR(INDEX('Asset Register'!$H:$H,MATCH($C266,'Asset Register'!$A:$A,0)),""))</f>
        <v/>
      </c>
      <c r="U266" s="18" t="str">
        <f t="shared" si="43"/>
        <v/>
      </c>
      <c r="V266" s="17" t="str">
        <f t="shared" si="44"/>
        <v/>
      </c>
    </row>
    <row r="267" spans="1:22" x14ac:dyDescent="0.25">
      <c r="A267" t="str">
        <f t="shared" si="38"/>
        <v/>
      </c>
      <c r="B267" s="16"/>
      <c r="D267" t="str">
        <f>IF($C267="","",IFERROR(INDEX('Asset Register'!$B:$B,MATCH($C267,'Asset Register'!$A:$A,0)),""))</f>
        <v/>
      </c>
      <c r="E267" t="str">
        <f>IF($C267="","",IFERROR(INDEX('Asset Register'!$C:$C,MATCH($C267,'Asset Register'!$A:$A,0)),""))</f>
        <v/>
      </c>
      <c r="F267" t="str">
        <f>IF($C267="","",IFERROR(INDEX('Asset Register'!$D:$D,MATCH($C267,'Asset Register'!$A:$A,0)),""))</f>
        <v/>
      </c>
      <c r="J267" s="17" t="str">
        <f t="shared" si="36"/>
        <v/>
      </c>
      <c r="K267" s="17" t="str">
        <f t="shared" si="37"/>
        <v/>
      </c>
      <c r="L267" s="17" t="str">
        <f t="shared" si="39"/>
        <v/>
      </c>
      <c r="O267" t="str">
        <f>IF($C267="","",IFERROR(INDEX('Asset Register'!$G:$G,MATCH($C267,'Asset Register'!$A:$A,0)),""))</f>
        <v/>
      </c>
      <c r="Q267" t="str">
        <f t="shared" si="40"/>
        <v/>
      </c>
      <c r="R267" t="str">
        <f t="shared" si="41"/>
        <v/>
      </c>
      <c r="S267" s="17" t="str">
        <f t="shared" si="42"/>
        <v/>
      </c>
      <c r="T267" s="18" t="str">
        <f>IF($C267="","",IFERROR(INDEX('Asset Register'!$H:$H,MATCH($C267,'Asset Register'!$A:$A,0)),""))</f>
        <v/>
      </c>
      <c r="U267" s="18" t="str">
        <f t="shared" si="43"/>
        <v/>
      </c>
      <c r="V267" s="17" t="str">
        <f t="shared" si="44"/>
        <v/>
      </c>
    </row>
    <row r="268" spans="1:22" x14ac:dyDescent="0.25">
      <c r="A268" t="str">
        <f t="shared" si="38"/>
        <v/>
      </c>
      <c r="B268" s="16"/>
      <c r="D268" t="str">
        <f>IF($C268="","",IFERROR(INDEX('Asset Register'!$B:$B,MATCH($C268,'Asset Register'!$A:$A,0)),""))</f>
        <v/>
      </c>
      <c r="E268" t="str">
        <f>IF($C268="","",IFERROR(INDEX('Asset Register'!$C:$C,MATCH($C268,'Asset Register'!$A:$A,0)),""))</f>
        <v/>
      </c>
      <c r="F268" t="str">
        <f>IF($C268="","",IFERROR(INDEX('Asset Register'!$D:$D,MATCH($C268,'Asset Register'!$A:$A,0)),""))</f>
        <v/>
      </c>
      <c r="J268" s="17" t="str">
        <f t="shared" si="36"/>
        <v/>
      </c>
      <c r="K268" s="17" t="str">
        <f t="shared" si="37"/>
        <v/>
      </c>
      <c r="L268" s="17" t="str">
        <f t="shared" si="39"/>
        <v/>
      </c>
      <c r="O268" t="str">
        <f>IF($C268="","",IFERROR(INDEX('Asset Register'!$G:$G,MATCH($C268,'Asset Register'!$A:$A,0)),""))</f>
        <v/>
      </c>
      <c r="Q268" t="str">
        <f t="shared" si="40"/>
        <v/>
      </c>
      <c r="R268" t="str">
        <f t="shared" si="41"/>
        <v/>
      </c>
      <c r="S268" s="17" t="str">
        <f t="shared" si="42"/>
        <v/>
      </c>
      <c r="T268" s="18" t="str">
        <f>IF($C268="","",IFERROR(INDEX('Asset Register'!$H:$H,MATCH($C268,'Asset Register'!$A:$A,0)),""))</f>
        <v/>
      </c>
      <c r="U268" s="18" t="str">
        <f t="shared" si="43"/>
        <v/>
      </c>
      <c r="V268" s="17" t="str">
        <f t="shared" si="44"/>
        <v/>
      </c>
    </row>
    <row r="269" spans="1:22" x14ac:dyDescent="0.25">
      <c r="A269" t="str">
        <f t="shared" si="38"/>
        <v/>
      </c>
      <c r="B269" s="16"/>
      <c r="D269" t="str">
        <f>IF($C269="","",IFERROR(INDEX('Asset Register'!$B:$B,MATCH($C269,'Asset Register'!$A:$A,0)),""))</f>
        <v/>
      </c>
      <c r="E269" t="str">
        <f>IF($C269="","",IFERROR(INDEX('Asset Register'!$C:$C,MATCH($C269,'Asset Register'!$A:$A,0)),""))</f>
        <v/>
      </c>
      <c r="F269" t="str">
        <f>IF($C269="","",IFERROR(INDEX('Asset Register'!$D:$D,MATCH($C269,'Asset Register'!$A:$A,0)),""))</f>
        <v/>
      </c>
      <c r="J269" s="17" t="str">
        <f t="shared" si="36"/>
        <v/>
      </c>
      <c r="K269" s="17" t="str">
        <f t="shared" si="37"/>
        <v/>
      </c>
      <c r="L269" s="17" t="str">
        <f t="shared" si="39"/>
        <v/>
      </c>
      <c r="O269" t="str">
        <f>IF($C269="","",IFERROR(INDEX('Asset Register'!$G:$G,MATCH($C269,'Asset Register'!$A:$A,0)),""))</f>
        <v/>
      </c>
      <c r="Q269" t="str">
        <f t="shared" si="40"/>
        <v/>
      </c>
      <c r="R269" t="str">
        <f t="shared" si="41"/>
        <v/>
      </c>
      <c r="S269" s="17" t="str">
        <f t="shared" si="42"/>
        <v/>
      </c>
      <c r="T269" s="18" t="str">
        <f>IF($C269="","",IFERROR(INDEX('Asset Register'!$H:$H,MATCH($C269,'Asset Register'!$A:$A,0)),""))</f>
        <v/>
      </c>
      <c r="U269" s="18" t="str">
        <f t="shared" si="43"/>
        <v/>
      </c>
      <c r="V269" s="17" t="str">
        <f t="shared" si="44"/>
        <v/>
      </c>
    </row>
    <row r="270" spans="1:22" x14ac:dyDescent="0.25">
      <c r="A270" t="str">
        <f t="shared" si="38"/>
        <v/>
      </c>
      <c r="B270" s="16"/>
      <c r="D270" t="str">
        <f>IF($C270="","",IFERROR(INDEX('Asset Register'!$B:$B,MATCH($C270,'Asset Register'!$A:$A,0)),""))</f>
        <v/>
      </c>
      <c r="E270" t="str">
        <f>IF($C270="","",IFERROR(INDEX('Asset Register'!$C:$C,MATCH($C270,'Asset Register'!$A:$A,0)),""))</f>
        <v/>
      </c>
      <c r="F270" t="str">
        <f>IF($C270="","",IFERROR(INDEX('Asset Register'!$D:$D,MATCH($C270,'Asset Register'!$A:$A,0)),""))</f>
        <v/>
      </c>
      <c r="J270" s="17" t="str">
        <f t="shared" si="36"/>
        <v/>
      </c>
      <c r="K270" s="17" t="str">
        <f t="shared" si="37"/>
        <v/>
      </c>
      <c r="L270" s="17" t="str">
        <f t="shared" si="39"/>
        <v/>
      </c>
      <c r="O270" t="str">
        <f>IF($C270="","",IFERROR(INDEX('Asset Register'!$G:$G,MATCH($C270,'Asset Register'!$A:$A,0)),""))</f>
        <v/>
      </c>
      <c r="Q270" t="str">
        <f t="shared" si="40"/>
        <v/>
      </c>
      <c r="R270" t="str">
        <f t="shared" si="41"/>
        <v/>
      </c>
      <c r="S270" s="17" t="str">
        <f t="shared" si="42"/>
        <v/>
      </c>
      <c r="T270" s="18" t="str">
        <f>IF($C270="","",IFERROR(INDEX('Asset Register'!$H:$H,MATCH($C270,'Asset Register'!$A:$A,0)),""))</f>
        <v/>
      </c>
      <c r="U270" s="18" t="str">
        <f t="shared" si="43"/>
        <v/>
      </c>
      <c r="V270" s="17" t="str">
        <f t="shared" si="44"/>
        <v/>
      </c>
    </row>
    <row r="271" spans="1:22" x14ac:dyDescent="0.25">
      <c r="A271" t="str">
        <f t="shared" si="38"/>
        <v/>
      </c>
      <c r="B271" s="16"/>
      <c r="D271" t="str">
        <f>IF($C271="","",IFERROR(INDEX('Asset Register'!$B:$B,MATCH($C271,'Asset Register'!$A:$A,0)),""))</f>
        <v/>
      </c>
      <c r="E271" t="str">
        <f>IF($C271="","",IFERROR(INDEX('Asset Register'!$C:$C,MATCH($C271,'Asset Register'!$A:$A,0)),""))</f>
        <v/>
      </c>
      <c r="F271" t="str">
        <f>IF($C271="","",IFERROR(INDEX('Asset Register'!$D:$D,MATCH($C271,'Asset Register'!$A:$A,0)),""))</f>
        <v/>
      </c>
      <c r="J271" s="17" t="str">
        <f t="shared" si="36"/>
        <v/>
      </c>
      <c r="K271" s="17" t="str">
        <f t="shared" si="37"/>
        <v/>
      </c>
      <c r="L271" s="17" t="str">
        <f t="shared" si="39"/>
        <v/>
      </c>
      <c r="O271" t="str">
        <f>IF($C271="","",IFERROR(INDEX('Asset Register'!$G:$G,MATCH($C271,'Asset Register'!$A:$A,0)),""))</f>
        <v/>
      </c>
      <c r="Q271" t="str">
        <f t="shared" si="40"/>
        <v/>
      </c>
      <c r="R271" t="str">
        <f t="shared" si="41"/>
        <v/>
      </c>
      <c r="S271" s="17" t="str">
        <f t="shared" si="42"/>
        <v/>
      </c>
      <c r="T271" s="18" t="str">
        <f>IF($C271="","",IFERROR(INDEX('Asset Register'!$H:$H,MATCH($C271,'Asset Register'!$A:$A,0)),""))</f>
        <v/>
      </c>
      <c r="U271" s="18" t="str">
        <f t="shared" si="43"/>
        <v/>
      </c>
      <c r="V271" s="17" t="str">
        <f t="shared" si="44"/>
        <v/>
      </c>
    </row>
    <row r="272" spans="1:22" x14ac:dyDescent="0.25">
      <c r="A272" t="str">
        <f t="shared" si="38"/>
        <v/>
      </c>
      <c r="B272" s="16"/>
      <c r="D272" t="str">
        <f>IF($C272="","",IFERROR(INDEX('Asset Register'!$B:$B,MATCH($C272,'Asset Register'!$A:$A,0)),""))</f>
        <v/>
      </c>
      <c r="E272" t="str">
        <f>IF($C272="","",IFERROR(INDEX('Asset Register'!$C:$C,MATCH($C272,'Asset Register'!$A:$A,0)),""))</f>
        <v/>
      </c>
      <c r="F272" t="str">
        <f>IF($C272="","",IFERROR(INDEX('Asset Register'!$D:$D,MATCH($C272,'Asset Register'!$A:$A,0)),""))</f>
        <v/>
      </c>
      <c r="J272" s="17" t="str">
        <f t="shared" si="36"/>
        <v/>
      </c>
      <c r="K272" s="17" t="str">
        <f t="shared" si="37"/>
        <v/>
      </c>
      <c r="L272" s="17" t="str">
        <f t="shared" si="39"/>
        <v/>
      </c>
      <c r="O272" t="str">
        <f>IF($C272="","",IFERROR(INDEX('Asset Register'!$G:$G,MATCH($C272,'Asset Register'!$A:$A,0)),""))</f>
        <v/>
      </c>
      <c r="Q272" t="str">
        <f t="shared" si="40"/>
        <v/>
      </c>
      <c r="R272" t="str">
        <f t="shared" si="41"/>
        <v/>
      </c>
      <c r="S272" s="17" t="str">
        <f t="shared" si="42"/>
        <v/>
      </c>
      <c r="T272" s="18" t="str">
        <f>IF($C272="","",IFERROR(INDEX('Asset Register'!$H:$H,MATCH($C272,'Asset Register'!$A:$A,0)),""))</f>
        <v/>
      </c>
      <c r="U272" s="18" t="str">
        <f t="shared" si="43"/>
        <v/>
      </c>
      <c r="V272" s="17" t="str">
        <f t="shared" si="44"/>
        <v/>
      </c>
    </row>
    <row r="273" spans="1:22" x14ac:dyDescent="0.25">
      <c r="A273" t="str">
        <f t="shared" si="38"/>
        <v/>
      </c>
      <c r="B273" s="16"/>
      <c r="D273" t="str">
        <f>IF($C273="","",IFERROR(INDEX('Asset Register'!$B:$B,MATCH($C273,'Asset Register'!$A:$A,0)),""))</f>
        <v/>
      </c>
      <c r="E273" t="str">
        <f>IF($C273="","",IFERROR(INDEX('Asset Register'!$C:$C,MATCH($C273,'Asset Register'!$A:$A,0)),""))</f>
        <v/>
      </c>
      <c r="F273" t="str">
        <f>IF($C273="","",IFERROR(INDEX('Asset Register'!$D:$D,MATCH($C273,'Asset Register'!$A:$A,0)),""))</f>
        <v/>
      </c>
      <c r="J273" s="17" t="str">
        <f t="shared" ref="J273:J336" si="45">IF(OR($G273="",$G273+$I273=0),"",$G273/($G273+$I273))</f>
        <v/>
      </c>
      <c r="K273" s="17" t="str">
        <f t="shared" ref="K273:K336" si="46">IF(OR($G273="",$G273+$H273+$I273=0),"",$G273/($G273+$H273+$I273))</f>
        <v/>
      </c>
      <c r="L273" s="17" t="str">
        <f t="shared" si="39"/>
        <v/>
      </c>
      <c r="O273" t="str">
        <f>IF($C273="","",IFERROR(INDEX('Asset Register'!$G:$G,MATCH($C273,'Asset Register'!$A:$A,0)),""))</f>
        <v/>
      </c>
      <c r="Q273" t="str">
        <f t="shared" si="40"/>
        <v/>
      </c>
      <c r="R273" t="str">
        <f t="shared" si="41"/>
        <v/>
      </c>
      <c r="S273" s="17" t="str">
        <f t="shared" si="42"/>
        <v/>
      </c>
      <c r="T273" s="18" t="str">
        <f>IF($C273="","",IFERROR(INDEX('Asset Register'!$H:$H,MATCH($C273,'Asset Register'!$A:$A,0)),""))</f>
        <v/>
      </c>
      <c r="U273" s="18" t="str">
        <f t="shared" si="43"/>
        <v/>
      </c>
      <c r="V273" s="17" t="str">
        <f t="shared" si="44"/>
        <v/>
      </c>
    </row>
    <row r="274" spans="1:22" x14ac:dyDescent="0.25">
      <c r="A274" t="str">
        <f t="shared" si="38"/>
        <v/>
      </c>
      <c r="B274" s="16"/>
      <c r="D274" t="str">
        <f>IF($C274="","",IFERROR(INDEX('Asset Register'!$B:$B,MATCH($C274,'Asset Register'!$A:$A,0)),""))</f>
        <v/>
      </c>
      <c r="E274" t="str">
        <f>IF($C274="","",IFERROR(INDEX('Asset Register'!$C:$C,MATCH($C274,'Asset Register'!$A:$A,0)),""))</f>
        <v/>
      </c>
      <c r="F274" t="str">
        <f>IF($C274="","",IFERROR(INDEX('Asset Register'!$D:$D,MATCH($C274,'Asset Register'!$A:$A,0)),""))</f>
        <v/>
      </c>
      <c r="J274" s="17" t="str">
        <f t="shared" si="45"/>
        <v/>
      </c>
      <c r="K274" s="17" t="str">
        <f t="shared" si="46"/>
        <v/>
      </c>
      <c r="L274" s="17" t="str">
        <f t="shared" si="39"/>
        <v/>
      </c>
      <c r="O274" t="str">
        <f>IF($C274="","",IFERROR(INDEX('Asset Register'!$G:$G,MATCH($C274,'Asset Register'!$A:$A,0)),""))</f>
        <v/>
      </c>
      <c r="Q274" t="str">
        <f t="shared" si="40"/>
        <v/>
      </c>
      <c r="R274" t="str">
        <f t="shared" si="41"/>
        <v/>
      </c>
      <c r="S274" s="17" t="str">
        <f t="shared" si="42"/>
        <v/>
      </c>
      <c r="T274" s="18" t="str">
        <f>IF($C274="","",IFERROR(INDEX('Asset Register'!$H:$H,MATCH($C274,'Asset Register'!$A:$A,0)),""))</f>
        <v/>
      </c>
      <c r="U274" s="18" t="str">
        <f t="shared" si="43"/>
        <v/>
      </c>
      <c r="V274" s="17" t="str">
        <f t="shared" si="44"/>
        <v/>
      </c>
    </row>
    <row r="275" spans="1:22" x14ac:dyDescent="0.25">
      <c r="A275" t="str">
        <f t="shared" si="38"/>
        <v/>
      </c>
      <c r="B275" s="16"/>
      <c r="D275" t="str">
        <f>IF($C275="","",IFERROR(INDEX('Asset Register'!$B:$B,MATCH($C275,'Asset Register'!$A:$A,0)),""))</f>
        <v/>
      </c>
      <c r="E275" t="str">
        <f>IF($C275="","",IFERROR(INDEX('Asset Register'!$C:$C,MATCH($C275,'Asset Register'!$A:$A,0)),""))</f>
        <v/>
      </c>
      <c r="F275" t="str">
        <f>IF($C275="","",IFERROR(INDEX('Asset Register'!$D:$D,MATCH($C275,'Asset Register'!$A:$A,0)),""))</f>
        <v/>
      </c>
      <c r="J275" s="17" t="str">
        <f t="shared" si="45"/>
        <v/>
      </c>
      <c r="K275" s="17" t="str">
        <f t="shared" si="46"/>
        <v/>
      </c>
      <c r="L275" s="17" t="str">
        <f t="shared" si="39"/>
        <v/>
      </c>
      <c r="O275" t="str">
        <f>IF($C275="","",IFERROR(INDEX('Asset Register'!$G:$G,MATCH($C275,'Asset Register'!$A:$A,0)),""))</f>
        <v/>
      </c>
      <c r="Q275" t="str">
        <f t="shared" si="40"/>
        <v/>
      </c>
      <c r="R275" t="str">
        <f t="shared" si="41"/>
        <v/>
      </c>
      <c r="S275" s="17" t="str">
        <f t="shared" si="42"/>
        <v/>
      </c>
      <c r="T275" s="18" t="str">
        <f>IF($C275="","",IFERROR(INDEX('Asset Register'!$H:$H,MATCH($C275,'Asset Register'!$A:$A,0)),""))</f>
        <v/>
      </c>
      <c r="U275" s="18" t="str">
        <f t="shared" si="43"/>
        <v/>
      </c>
      <c r="V275" s="17" t="str">
        <f t="shared" si="44"/>
        <v/>
      </c>
    </row>
    <row r="276" spans="1:22" x14ac:dyDescent="0.25">
      <c r="A276" t="str">
        <f t="shared" si="38"/>
        <v/>
      </c>
      <c r="B276" s="16"/>
      <c r="D276" t="str">
        <f>IF($C276="","",IFERROR(INDEX('Asset Register'!$B:$B,MATCH($C276,'Asset Register'!$A:$A,0)),""))</f>
        <v/>
      </c>
      <c r="E276" t="str">
        <f>IF($C276="","",IFERROR(INDEX('Asset Register'!$C:$C,MATCH($C276,'Asset Register'!$A:$A,0)),""))</f>
        <v/>
      </c>
      <c r="F276" t="str">
        <f>IF($C276="","",IFERROR(INDEX('Asset Register'!$D:$D,MATCH($C276,'Asset Register'!$A:$A,0)),""))</f>
        <v/>
      </c>
      <c r="J276" s="17" t="str">
        <f t="shared" si="45"/>
        <v/>
      </c>
      <c r="K276" s="17" t="str">
        <f t="shared" si="46"/>
        <v/>
      </c>
      <c r="L276" s="17" t="str">
        <f t="shared" si="39"/>
        <v/>
      </c>
      <c r="O276" t="str">
        <f>IF($C276="","",IFERROR(INDEX('Asset Register'!$G:$G,MATCH($C276,'Asset Register'!$A:$A,0)),""))</f>
        <v/>
      </c>
      <c r="Q276" t="str">
        <f t="shared" si="40"/>
        <v/>
      </c>
      <c r="R276" t="str">
        <f t="shared" si="41"/>
        <v/>
      </c>
      <c r="S276" s="17" t="str">
        <f t="shared" si="42"/>
        <v/>
      </c>
      <c r="T276" s="18" t="str">
        <f>IF($C276="","",IFERROR(INDEX('Asset Register'!$H:$H,MATCH($C276,'Asset Register'!$A:$A,0)),""))</f>
        <v/>
      </c>
      <c r="U276" s="18" t="str">
        <f t="shared" si="43"/>
        <v/>
      </c>
      <c r="V276" s="17" t="str">
        <f t="shared" si="44"/>
        <v/>
      </c>
    </row>
    <row r="277" spans="1:22" x14ac:dyDescent="0.25">
      <c r="A277" t="str">
        <f t="shared" si="38"/>
        <v/>
      </c>
      <c r="B277" s="16"/>
      <c r="D277" t="str">
        <f>IF($C277="","",IFERROR(INDEX('Asset Register'!$B:$B,MATCH($C277,'Asset Register'!$A:$A,0)),""))</f>
        <v/>
      </c>
      <c r="E277" t="str">
        <f>IF($C277="","",IFERROR(INDEX('Asset Register'!$C:$C,MATCH($C277,'Asset Register'!$A:$A,0)),""))</f>
        <v/>
      </c>
      <c r="F277" t="str">
        <f>IF($C277="","",IFERROR(INDEX('Asset Register'!$D:$D,MATCH($C277,'Asset Register'!$A:$A,0)),""))</f>
        <v/>
      </c>
      <c r="J277" s="17" t="str">
        <f t="shared" si="45"/>
        <v/>
      </c>
      <c r="K277" s="17" t="str">
        <f t="shared" si="46"/>
        <v/>
      </c>
      <c r="L277" s="17" t="str">
        <f t="shared" si="39"/>
        <v/>
      </c>
      <c r="O277" t="str">
        <f>IF($C277="","",IFERROR(INDEX('Asset Register'!$G:$G,MATCH($C277,'Asset Register'!$A:$A,0)),""))</f>
        <v/>
      </c>
      <c r="Q277" t="str">
        <f t="shared" si="40"/>
        <v/>
      </c>
      <c r="R277" t="str">
        <f t="shared" si="41"/>
        <v/>
      </c>
      <c r="S277" s="17" t="str">
        <f t="shared" si="42"/>
        <v/>
      </c>
      <c r="T277" s="18" t="str">
        <f>IF($C277="","",IFERROR(INDEX('Asset Register'!$H:$H,MATCH($C277,'Asset Register'!$A:$A,0)),""))</f>
        <v/>
      </c>
      <c r="U277" s="18" t="str">
        <f t="shared" si="43"/>
        <v/>
      </c>
      <c r="V277" s="17" t="str">
        <f t="shared" si="44"/>
        <v/>
      </c>
    </row>
    <row r="278" spans="1:22" x14ac:dyDescent="0.25">
      <c r="A278" t="str">
        <f t="shared" si="38"/>
        <v/>
      </c>
      <c r="B278" s="16"/>
      <c r="D278" t="str">
        <f>IF($C278="","",IFERROR(INDEX('Asset Register'!$B:$B,MATCH($C278,'Asset Register'!$A:$A,0)),""))</f>
        <v/>
      </c>
      <c r="E278" t="str">
        <f>IF($C278="","",IFERROR(INDEX('Asset Register'!$C:$C,MATCH($C278,'Asset Register'!$A:$A,0)),""))</f>
        <v/>
      </c>
      <c r="F278" t="str">
        <f>IF($C278="","",IFERROR(INDEX('Asset Register'!$D:$D,MATCH($C278,'Asset Register'!$A:$A,0)),""))</f>
        <v/>
      </c>
      <c r="J278" s="17" t="str">
        <f t="shared" si="45"/>
        <v/>
      </c>
      <c r="K278" s="17" t="str">
        <f t="shared" si="46"/>
        <v/>
      </c>
      <c r="L278" s="17" t="str">
        <f t="shared" si="39"/>
        <v/>
      </c>
      <c r="O278" t="str">
        <f>IF($C278="","",IFERROR(INDEX('Asset Register'!$G:$G,MATCH($C278,'Asset Register'!$A:$A,0)),""))</f>
        <v/>
      </c>
      <c r="Q278" t="str">
        <f t="shared" si="40"/>
        <v/>
      </c>
      <c r="R278" t="str">
        <f t="shared" si="41"/>
        <v/>
      </c>
      <c r="S278" s="17" t="str">
        <f t="shared" si="42"/>
        <v/>
      </c>
      <c r="T278" s="18" t="str">
        <f>IF($C278="","",IFERROR(INDEX('Asset Register'!$H:$H,MATCH($C278,'Asset Register'!$A:$A,0)),""))</f>
        <v/>
      </c>
      <c r="U278" s="18" t="str">
        <f t="shared" si="43"/>
        <v/>
      </c>
      <c r="V278" s="17" t="str">
        <f t="shared" si="44"/>
        <v/>
      </c>
    </row>
    <row r="279" spans="1:22" x14ac:dyDescent="0.25">
      <c r="A279" t="str">
        <f t="shared" si="38"/>
        <v/>
      </c>
      <c r="B279" s="16"/>
      <c r="D279" t="str">
        <f>IF($C279="","",IFERROR(INDEX('Asset Register'!$B:$B,MATCH($C279,'Asset Register'!$A:$A,0)),""))</f>
        <v/>
      </c>
      <c r="E279" t="str">
        <f>IF($C279="","",IFERROR(INDEX('Asset Register'!$C:$C,MATCH($C279,'Asset Register'!$A:$A,0)),""))</f>
        <v/>
      </c>
      <c r="F279" t="str">
        <f>IF($C279="","",IFERROR(INDEX('Asset Register'!$D:$D,MATCH($C279,'Asset Register'!$A:$A,0)),""))</f>
        <v/>
      </c>
      <c r="J279" s="17" t="str">
        <f t="shared" si="45"/>
        <v/>
      </c>
      <c r="K279" s="17" t="str">
        <f t="shared" si="46"/>
        <v/>
      </c>
      <c r="L279" s="17" t="str">
        <f t="shared" si="39"/>
        <v/>
      </c>
      <c r="O279" t="str">
        <f>IF($C279="","",IFERROR(INDEX('Asset Register'!$G:$G,MATCH($C279,'Asset Register'!$A:$A,0)),""))</f>
        <v/>
      </c>
      <c r="Q279" t="str">
        <f t="shared" si="40"/>
        <v/>
      </c>
      <c r="R279" t="str">
        <f t="shared" si="41"/>
        <v/>
      </c>
      <c r="S279" s="17" t="str">
        <f t="shared" si="42"/>
        <v/>
      </c>
      <c r="T279" s="18" t="str">
        <f>IF($C279="","",IFERROR(INDEX('Asset Register'!$H:$H,MATCH($C279,'Asset Register'!$A:$A,0)),""))</f>
        <v/>
      </c>
      <c r="U279" s="18" t="str">
        <f t="shared" si="43"/>
        <v/>
      </c>
      <c r="V279" s="17" t="str">
        <f t="shared" si="44"/>
        <v/>
      </c>
    </row>
    <row r="280" spans="1:22" x14ac:dyDescent="0.25">
      <c r="A280" t="str">
        <f t="shared" si="38"/>
        <v/>
      </c>
      <c r="B280" s="16"/>
      <c r="D280" t="str">
        <f>IF($C280="","",IFERROR(INDEX('Asset Register'!$B:$B,MATCH($C280,'Asset Register'!$A:$A,0)),""))</f>
        <v/>
      </c>
      <c r="E280" t="str">
        <f>IF($C280="","",IFERROR(INDEX('Asset Register'!$C:$C,MATCH($C280,'Asset Register'!$A:$A,0)),""))</f>
        <v/>
      </c>
      <c r="F280" t="str">
        <f>IF($C280="","",IFERROR(INDEX('Asset Register'!$D:$D,MATCH($C280,'Asset Register'!$A:$A,0)),""))</f>
        <v/>
      </c>
      <c r="J280" s="17" t="str">
        <f t="shared" si="45"/>
        <v/>
      </c>
      <c r="K280" s="17" t="str">
        <f t="shared" si="46"/>
        <v/>
      </c>
      <c r="L280" s="17" t="str">
        <f t="shared" si="39"/>
        <v/>
      </c>
      <c r="O280" t="str">
        <f>IF($C280="","",IFERROR(INDEX('Asset Register'!$G:$G,MATCH($C280,'Asset Register'!$A:$A,0)),""))</f>
        <v/>
      </c>
      <c r="Q280" t="str">
        <f t="shared" si="40"/>
        <v/>
      </c>
      <c r="R280" t="str">
        <f t="shared" si="41"/>
        <v/>
      </c>
      <c r="S280" s="17" t="str">
        <f t="shared" si="42"/>
        <v/>
      </c>
      <c r="T280" s="18" t="str">
        <f>IF($C280="","",IFERROR(INDEX('Asset Register'!$H:$H,MATCH($C280,'Asset Register'!$A:$A,0)),""))</f>
        <v/>
      </c>
      <c r="U280" s="18" t="str">
        <f t="shared" si="43"/>
        <v/>
      </c>
      <c r="V280" s="17" t="str">
        <f t="shared" si="44"/>
        <v/>
      </c>
    </row>
    <row r="281" spans="1:22" x14ac:dyDescent="0.25">
      <c r="A281" t="str">
        <f t="shared" si="38"/>
        <v/>
      </c>
      <c r="B281" s="16"/>
      <c r="D281" t="str">
        <f>IF($C281="","",IFERROR(INDEX('Asset Register'!$B:$B,MATCH($C281,'Asset Register'!$A:$A,0)),""))</f>
        <v/>
      </c>
      <c r="E281" t="str">
        <f>IF($C281="","",IFERROR(INDEX('Asset Register'!$C:$C,MATCH($C281,'Asset Register'!$A:$A,0)),""))</f>
        <v/>
      </c>
      <c r="F281" t="str">
        <f>IF($C281="","",IFERROR(INDEX('Asset Register'!$D:$D,MATCH($C281,'Asset Register'!$A:$A,0)),""))</f>
        <v/>
      </c>
      <c r="J281" s="17" t="str">
        <f t="shared" si="45"/>
        <v/>
      </c>
      <c r="K281" s="17" t="str">
        <f t="shared" si="46"/>
        <v/>
      </c>
      <c r="L281" s="17" t="str">
        <f t="shared" si="39"/>
        <v/>
      </c>
      <c r="O281" t="str">
        <f>IF($C281="","",IFERROR(INDEX('Asset Register'!$G:$G,MATCH($C281,'Asset Register'!$A:$A,0)),""))</f>
        <v/>
      </c>
      <c r="Q281" t="str">
        <f t="shared" si="40"/>
        <v/>
      </c>
      <c r="R281" t="str">
        <f t="shared" si="41"/>
        <v/>
      </c>
      <c r="S281" s="17" t="str">
        <f t="shared" si="42"/>
        <v/>
      </c>
      <c r="T281" s="18" t="str">
        <f>IF($C281="","",IFERROR(INDEX('Asset Register'!$H:$H,MATCH($C281,'Asset Register'!$A:$A,0)),""))</f>
        <v/>
      </c>
      <c r="U281" s="18" t="str">
        <f t="shared" si="43"/>
        <v/>
      </c>
      <c r="V281" s="17" t="str">
        <f t="shared" si="44"/>
        <v/>
      </c>
    </row>
    <row r="282" spans="1:22" x14ac:dyDescent="0.25">
      <c r="A282" t="str">
        <f t="shared" si="38"/>
        <v/>
      </c>
      <c r="B282" s="16"/>
      <c r="D282" t="str">
        <f>IF($C282="","",IFERROR(INDEX('Asset Register'!$B:$B,MATCH($C282,'Asset Register'!$A:$A,0)),""))</f>
        <v/>
      </c>
      <c r="E282" t="str">
        <f>IF($C282="","",IFERROR(INDEX('Asset Register'!$C:$C,MATCH($C282,'Asset Register'!$A:$A,0)),""))</f>
        <v/>
      </c>
      <c r="F282" t="str">
        <f>IF($C282="","",IFERROR(INDEX('Asset Register'!$D:$D,MATCH($C282,'Asset Register'!$A:$A,0)),""))</f>
        <v/>
      </c>
      <c r="J282" s="17" t="str">
        <f t="shared" si="45"/>
        <v/>
      </c>
      <c r="K282" s="17" t="str">
        <f t="shared" si="46"/>
        <v/>
      </c>
      <c r="L282" s="17" t="str">
        <f t="shared" si="39"/>
        <v/>
      </c>
      <c r="O282" t="str">
        <f>IF($C282="","",IFERROR(INDEX('Asset Register'!$G:$G,MATCH($C282,'Asset Register'!$A:$A,0)),""))</f>
        <v/>
      </c>
      <c r="Q282" t="str">
        <f t="shared" si="40"/>
        <v/>
      </c>
      <c r="R282" t="str">
        <f t="shared" si="41"/>
        <v/>
      </c>
      <c r="S282" s="17" t="str">
        <f t="shared" si="42"/>
        <v/>
      </c>
      <c r="T282" s="18" t="str">
        <f>IF($C282="","",IFERROR(INDEX('Asset Register'!$H:$H,MATCH($C282,'Asset Register'!$A:$A,0)),""))</f>
        <v/>
      </c>
      <c r="U282" s="18" t="str">
        <f t="shared" si="43"/>
        <v/>
      </c>
      <c r="V282" s="17" t="str">
        <f t="shared" si="44"/>
        <v/>
      </c>
    </row>
    <row r="283" spans="1:22" x14ac:dyDescent="0.25">
      <c r="A283" t="str">
        <f t="shared" si="38"/>
        <v/>
      </c>
      <c r="B283" s="16"/>
      <c r="D283" t="str">
        <f>IF($C283="","",IFERROR(INDEX('Asset Register'!$B:$B,MATCH($C283,'Asset Register'!$A:$A,0)),""))</f>
        <v/>
      </c>
      <c r="E283" t="str">
        <f>IF($C283="","",IFERROR(INDEX('Asset Register'!$C:$C,MATCH($C283,'Asset Register'!$A:$A,0)),""))</f>
        <v/>
      </c>
      <c r="F283" t="str">
        <f>IF($C283="","",IFERROR(INDEX('Asset Register'!$D:$D,MATCH($C283,'Asset Register'!$A:$A,0)),""))</f>
        <v/>
      </c>
      <c r="J283" s="17" t="str">
        <f t="shared" si="45"/>
        <v/>
      </c>
      <c r="K283" s="17" t="str">
        <f t="shared" si="46"/>
        <v/>
      </c>
      <c r="L283" s="17" t="str">
        <f t="shared" si="39"/>
        <v/>
      </c>
      <c r="O283" t="str">
        <f>IF($C283="","",IFERROR(INDEX('Asset Register'!$G:$G,MATCH($C283,'Asset Register'!$A:$A,0)),""))</f>
        <v/>
      </c>
      <c r="Q283" t="str">
        <f t="shared" si="40"/>
        <v/>
      </c>
      <c r="R283" t="str">
        <f t="shared" si="41"/>
        <v/>
      </c>
      <c r="S283" s="17" t="str">
        <f t="shared" si="42"/>
        <v/>
      </c>
      <c r="T283" s="18" t="str">
        <f>IF($C283="","",IFERROR(INDEX('Asset Register'!$H:$H,MATCH($C283,'Asset Register'!$A:$A,0)),""))</f>
        <v/>
      </c>
      <c r="U283" s="18" t="str">
        <f t="shared" si="43"/>
        <v/>
      </c>
      <c r="V283" s="17" t="str">
        <f t="shared" si="44"/>
        <v/>
      </c>
    </row>
    <row r="284" spans="1:22" x14ac:dyDescent="0.25">
      <c r="A284" t="str">
        <f t="shared" si="38"/>
        <v/>
      </c>
      <c r="B284" s="16"/>
      <c r="D284" t="str">
        <f>IF($C284="","",IFERROR(INDEX('Asset Register'!$B:$B,MATCH($C284,'Asset Register'!$A:$A,0)),""))</f>
        <v/>
      </c>
      <c r="E284" t="str">
        <f>IF($C284="","",IFERROR(INDEX('Asset Register'!$C:$C,MATCH($C284,'Asset Register'!$A:$A,0)),""))</f>
        <v/>
      </c>
      <c r="F284" t="str">
        <f>IF($C284="","",IFERROR(INDEX('Asset Register'!$D:$D,MATCH($C284,'Asset Register'!$A:$A,0)),""))</f>
        <v/>
      </c>
      <c r="J284" s="17" t="str">
        <f t="shared" si="45"/>
        <v/>
      </c>
      <c r="K284" s="17" t="str">
        <f t="shared" si="46"/>
        <v/>
      </c>
      <c r="L284" s="17" t="str">
        <f t="shared" si="39"/>
        <v/>
      </c>
      <c r="O284" t="str">
        <f>IF($C284="","",IFERROR(INDEX('Asset Register'!$G:$G,MATCH($C284,'Asset Register'!$A:$A,0)),""))</f>
        <v/>
      </c>
      <c r="Q284" t="str">
        <f t="shared" si="40"/>
        <v/>
      </c>
      <c r="R284" t="str">
        <f t="shared" si="41"/>
        <v/>
      </c>
      <c r="S284" s="17" t="str">
        <f t="shared" si="42"/>
        <v/>
      </c>
      <c r="T284" s="18" t="str">
        <f>IF($C284="","",IFERROR(INDEX('Asset Register'!$H:$H,MATCH($C284,'Asset Register'!$A:$A,0)),""))</f>
        <v/>
      </c>
      <c r="U284" s="18" t="str">
        <f t="shared" si="43"/>
        <v/>
      </c>
      <c r="V284" s="17" t="str">
        <f t="shared" si="44"/>
        <v/>
      </c>
    </row>
    <row r="285" spans="1:22" x14ac:dyDescent="0.25">
      <c r="A285" t="str">
        <f t="shared" si="38"/>
        <v/>
      </c>
      <c r="B285" s="16"/>
      <c r="D285" t="str">
        <f>IF($C285="","",IFERROR(INDEX('Asset Register'!$B:$B,MATCH($C285,'Asset Register'!$A:$A,0)),""))</f>
        <v/>
      </c>
      <c r="E285" t="str">
        <f>IF($C285="","",IFERROR(INDEX('Asset Register'!$C:$C,MATCH($C285,'Asset Register'!$A:$A,0)),""))</f>
        <v/>
      </c>
      <c r="F285" t="str">
        <f>IF($C285="","",IFERROR(INDEX('Asset Register'!$D:$D,MATCH($C285,'Asset Register'!$A:$A,0)),""))</f>
        <v/>
      </c>
      <c r="J285" s="17" t="str">
        <f t="shared" si="45"/>
        <v/>
      </c>
      <c r="K285" s="17" t="str">
        <f t="shared" si="46"/>
        <v/>
      </c>
      <c r="L285" s="17" t="str">
        <f t="shared" si="39"/>
        <v/>
      </c>
      <c r="O285" t="str">
        <f>IF($C285="","",IFERROR(INDEX('Asset Register'!$G:$G,MATCH($C285,'Asset Register'!$A:$A,0)),""))</f>
        <v/>
      </c>
      <c r="Q285" t="str">
        <f t="shared" si="40"/>
        <v/>
      </c>
      <c r="R285" t="str">
        <f t="shared" si="41"/>
        <v/>
      </c>
      <c r="S285" s="17" t="str">
        <f t="shared" si="42"/>
        <v/>
      </c>
      <c r="T285" s="18" t="str">
        <f>IF($C285="","",IFERROR(INDEX('Asset Register'!$H:$H,MATCH($C285,'Asset Register'!$A:$A,0)),""))</f>
        <v/>
      </c>
      <c r="U285" s="18" t="str">
        <f t="shared" si="43"/>
        <v/>
      </c>
      <c r="V285" s="17" t="str">
        <f t="shared" si="44"/>
        <v/>
      </c>
    </row>
    <row r="286" spans="1:22" x14ac:dyDescent="0.25">
      <c r="A286" t="str">
        <f t="shared" si="38"/>
        <v/>
      </c>
      <c r="B286" s="16"/>
      <c r="D286" t="str">
        <f>IF($C286="","",IFERROR(INDEX('Asset Register'!$B:$B,MATCH($C286,'Asset Register'!$A:$A,0)),""))</f>
        <v/>
      </c>
      <c r="E286" t="str">
        <f>IF($C286="","",IFERROR(INDEX('Asset Register'!$C:$C,MATCH($C286,'Asset Register'!$A:$A,0)),""))</f>
        <v/>
      </c>
      <c r="F286" t="str">
        <f>IF($C286="","",IFERROR(INDEX('Asset Register'!$D:$D,MATCH($C286,'Asset Register'!$A:$A,0)),""))</f>
        <v/>
      </c>
      <c r="J286" s="17" t="str">
        <f t="shared" si="45"/>
        <v/>
      </c>
      <c r="K286" s="17" t="str">
        <f t="shared" si="46"/>
        <v/>
      </c>
      <c r="L286" s="17" t="str">
        <f t="shared" si="39"/>
        <v/>
      </c>
      <c r="O286" t="str">
        <f>IF($C286="","",IFERROR(INDEX('Asset Register'!$G:$G,MATCH($C286,'Asset Register'!$A:$A,0)),""))</f>
        <v/>
      </c>
      <c r="Q286" t="str">
        <f t="shared" si="40"/>
        <v/>
      </c>
      <c r="R286" t="str">
        <f t="shared" si="41"/>
        <v/>
      </c>
      <c r="S286" s="17" t="str">
        <f t="shared" si="42"/>
        <v/>
      </c>
      <c r="T286" s="18" t="str">
        <f>IF($C286="","",IFERROR(INDEX('Asset Register'!$H:$H,MATCH($C286,'Asset Register'!$A:$A,0)),""))</f>
        <v/>
      </c>
      <c r="U286" s="18" t="str">
        <f t="shared" si="43"/>
        <v/>
      </c>
      <c r="V286" s="17" t="str">
        <f t="shared" si="44"/>
        <v/>
      </c>
    </row>
    <row r="287" spans="1:22" x14ac:dyDescent="0.25">
      <c r="A287" t="str">
        <f t="shared" si="38"/>
        <v/>
      </c>
      <c r="B287" s="16"/>
      <c r="D287" t="str">
        <f>IF($C287="","",IFERROR(INDEX('Asset Register'!$B:$B,MATCH($C287,'Asset Register'!$A:$A,0)),""))</f>
        <v/>
      </c>
      <c r="E287" t="str">
        <f>IF($C287="","",IFERROR(INDEX('Asset Register'!$C:$C,MATCH($C287,'Asset Register'!$A:$A,0)),""))</f>
        <v/>
      </c>
      <c r="F287" t="str">
        <f>IF($C287="","",IFERROR(INDEX('Asset Register'!$D:$D,MATCH($C287,'Asset Register'!$A:$A,0)),""))</f>
        <v/>
      </c>
      <c r="J287" s="17" t="str">
        <f t="shared" si="45"/>
        <v/>
      </c>
      <c r="K287" s="17" t="str">
        <f t="shared" si="46"/>
        <v/>
      </c>
      <c r="L287" s="17" t="str">
        <f t="shared" si="39"/>
        <v/>
      </c>
      <c r="O287" t="str">
        <f>IF($C287="","",IFERROR(INDEX('Asset Register'!$G:$G,MATCH($C287,'Asset Register'!$A:$A,0)),""))</f>
        <v/>
      </c>
      <c r="Q287" t="str">
        <f t="shared" si="40"/>
        <v/>
      </c>
      <c r="R287" t="str">
        <f t="shared" si="41"/>
        <v/>
      </c>
      <c r="S287" s="17" t="str">
        <f t="shared" si="42"/>
        <v/>
      </c>
      <c r="T287" s="18" t="str">
        <f>IF($C287="","",IFERROR(INDEX('Asset Register'!$H:$H,MATCH($C287,'Asset Register'!$A:$A,0)),""))</f>
        <v/>
      </c>
      <c r="U287" s="18" t="str">
        <f t="shared" si="43"/>
        <v/>
      </c>
      <c r="V287" s="17" t="str">
        <f t="shared" si="44"/>
        <v/>
      </c>
    </row>
    <row r="288" spans="1:22" x14ac:dyDescent="0.25">
      <c r="A288" t="str">
        <f t="shared" si="38"/>
        <v/>
      </c>
      <c r="B288" s="16"/>
      <c r="D288" t="str">
        <f>IF($C288="","",IFERROR(INDEX('Asset Register'!$B:$B,MATCH($C288,'Asset Register'!$A:$A,0)),""))</f>
        <v/>
      </c>
      <c r="E288" t="str">
        <f>IF($C288="","",IFERROR(INDEX('Asset Register'!$C:$C,MATCH($C288,'Asset Register'!$A:$A,0)),""))</f>
        <v/>
      </c>
      <c r="F288" t="str">
        <f>IF($C288="","",IFERROR(INDEX('Asset Register'!$D:$D,MATCH($C288,'Asset Register'!$A:$A,0)),""))</f>
        <v/>
      </c>
      <c r="J288" s="17" t="str">
        <f t="shared" si="45"/>
        <v/>
      </c>
      <c r="K288" s="17" t="str">
        <f t="shared" si="46"/>
        <v/>
      </c>
      <c r="L288" s="17" t="str">
        <f t="shared" si="39"/>
        <v/>
      </c>
      <c r="O288" t="str">
        <f>IF($C288="","",IFERROR(INDEX('Asset Register'!$G:$G,MATCH($C288,'Asset Register'!$A:$A,0)),""))</f>
        <v/>
      </c>
      <c r="Q288" t="str">
        <f t="shared" si="40"/>
        <v/>
      </c>
      <c r="R288" t="str">
        <f t="shared" si="41"/>
        <v/>
      </c>
      <c r="S288" s="17" t="str">
        <f t="shared" si="42"/>
        <v/>
      </c>
      <c r="T288" s="18" t="str">
        <f>IF($C288="","",IFERROR(INDEX('Asset Register'!$H:$H,MATCH($C288,'Asset Register'!$A:$A,0)),""))</f>
        <v/>
      </c>
      <c r="U288" s="18" t="str">
        <f t="shared" si="43"/>
        <v/>
      </c>
      <c r="V288" s="17" t="str">
        <f t="shared" si="44"/>
        <v/>
      </c>
    </row>
    <row r="289" spans="1:22" x14ac:dyDescent="0.25">
      <c r="A289" t="str">
        <f t="shared" si="38"/>
        <v/>
      </c>
      <c r="B289" s="16"/>
      <c r="D289" t="str">
        <f>IF($C289="","",IFERROR(INDEX('Asset Register'!$B:$B,MATCH($C289,'Asset Register'!$A:$A,0)),""))</f>
        <v/>
      </c>
      <c r="E289" t="str">
        <f>IF($C289="","",IFERROR(INDEX('Asset Register'!$C:$C,MATCH($C289,'Asset Register'!$A:$A,0)),""))</f>
        <v/>
      </c>
      <c r="F289" t="str">
        <f>IF($C289="","",IFERROR(INDEX('Asset Register'!$D:$D,MATCH($C289,'Asset Register'!$A:$A,0)),""))</f>
        <v/>
      </c>
      <c r="J289" s="17" t="str">
        <f t="shared" si="45"/>
        <v/>
      </c>
      <c r="K289" s="17" t="str">
        <f t="shared" si="46"/>
        <v/>
      </c>
      <c r="L289" s="17" t="str">
        <f t="shared" si="39"/>
        <v/>
      </c>
      <c r="O289" t="str">
        <f>IF($C289="","",IFERROR(INDEX('Asset Register'!$G:$G,MATCH($C289,'Asset Register'!$A:$A,0)),""))</f>
        <v/>
      </c>
      <c r="Q289" t="str">
        <f t="shared" si="40"/>
        <v/>
      </c>
      <c r="R289" t="str">
        <f t="shared" si="41"/>
        <v/>
      </c>
      <c r="S289" s="17" t="str">
        <f t="shared" si="42"/>
        <v/>
      </c>
      <c r="T289" s="18" t="str">
        <f>IF($C289="","",IFERROR(INDEX('Asset Register'!$H:$H,MATCH($C289,'Asset Register'!$A:$A,0)),""))</f>
        <v/>
      </c>
      <c r="U289" s="18" t="str">
        <f t="shared" si="43"/>
        <v/>
      </c>
      <c r="V289" s="17" t="str">
        <f t="shared" si="44"/>
        <v/>
      </c>
    </row>
    <row r="290" spans="1:22" x14ac:dyDescent="0.25">
      <c r="A290" t="str">
        <f t="shared" si="38"/>
        <v/>
      </c>
      <c r="B290" s="16"/>
      <c r="D290" t="str">
        <f>IF($C290="","",IFERROR(INDEX('Asset Register'!$B:$B,MATCH($C290,'Asset Register'!$A:$A,0)),""))</f>
        <v/>
      </c>
      <c r="E290" t="str">
        <f>IF($C290="","",IFERROR(INDEX('Asset Register'!$C:$C,MATCH($C290,'Asset Register'!$A:$A,0)),""))</f>
        <v/>
      </c>
      <c r="F290" t="str">
        <f>IF($C290="","",IFERROR(INDEX('Asset Register'!$D:$D,MATCH($C290,'Asset Register'!$A:$A,0)),""))</f>
        <v/>
      </c>
      <c r="J290" s="17" t="str">
        <f t="shared" si="45"/>
        <v/>
      </c>
      <c r="K290" s="17" t="str">
        <f t="shared" si="46"/>
        <v/>
      </c>
      <c r="L290" s="17" t="str">
        <f t="shared" si="39"/>
        <v/>
      </c>
      <c r="O290" t="str">
        <f>IF($C290="","",IFERROR(INDEX('Asset Register'!$G:$G,MATCH($C290,'Asset Register'!$A:$A,0)),""))</f>
        <v/>
      </c>
      <c r="Q290" t="str">
        <f t="shared" si="40"/>
        <v/>
      </c>
      <c r="R290" t="str">
        <f t="shared" si="41"/>
        <v/>
      </c>
      <c r="S290" s="17" t="str">
        <f t="shared" si="42"/>
        <v/>
      </c>
      <c r="T290" s="18" t="str">
        <f>IF($C290="","",IFERROR(INDEX('Asset Register'!$H:$H,MATCH($C290,'Asset Register'!$A:$A,0)),""))</f>
        <v/>
      </c>
      <c r="U290" s="18" t="str">
        <f t="shared" si="43"/>
        <v/>
      </c>
      <c r="V290" s="17" t="str">
        <f t="shared" si="44"/>
        <v/>
      </c>
    </row>
    <row r="291" spans="1:22" x14ac:dyDescent="0.25">
      <c r="A291" t="str">
        <f t="shared" si="38"/>
        <v/>
      </c>
      <c r="B291" s="16"/>
      <c r="D291" t="str">
        <f>IF($C291="","",IFERROR(INDEX('Asset Register'!$B:$B,MATCH($C291,'Asset Register'!$A:$A,0)),""))</f>
        <v/>
      </c>
      <c r="E291" t="str">
        <f>IF($C291="","",IFERROR(INDEX('Asset Register'!$C:$C,MATCH($C291,'Asset Register'!$A:$A,0)),""))</f>
        <v/>
      </c>
      <c r="F291" t="str">
        <f>IF($C291="","",IFERROR(INDEX('Asset Register'!$D:$D,MATCH($C291,'Asset Register'!$A:$A,0)),""))</f>
        <v/>
      </c>
      <c r="J291" s="17" t="str">
        <f t="shared" si="45"/>
        <v/>
      </c>
      <c r="K291" s="17" t="str">
        <f t="shared" si="46"/>
        <v/>
      </c>
      <c r="L291" s="17" t="str">
        <f t="shared" si="39"/>
        <v/>
      </c>
      <c r="O291" t="str">
        <f>IF($C291="","",IFERROR(INDEX('Asset Register'!$G:$G,MATCH($C291,'Asset Register'!$A:$A,0)),""))</f>
        <v/>
      </c>
      <c r="Q291" t="str">
        <f t="shared" si="40"/>
        <v/>
      </c>
      <c r="R291" t="str">
        <f t="shared" si="41"/>
        <v/>
      </c>
      <c r="S291" s="17" t="str">
        <f t="shared" si="42"/>
        <v/>
      </c>
      <c r="T291" s="18" t="str">
        <f>IF($C291="","",IFERROR(INDEX('Asset Register'!$H:$H,MATCH($C291,'Asset Register'!$A:$A,0)),""))</f>
        <v/>
      </c>
      <c r="U291" s="18" t="str">
        <f t="shared" si="43"/>
        <v/>
      </c>
      <c r="V291" s="17" t="str">
        <f t="shared" si="44"/>
        <v/>
      </c>
    </row>
    <row r="292" spans="1:22" x14ac:dyDescent="0.25">
      <c r="A292" t="str">
        <f t="shared" si="38"/>
        <v/>
      </c>
      <c r="B292" s="16"/>
      <c r="D292" t="str">
        <f>IF($C292="","",IFERROR(INDEX('Asset Register'!$B:$B,MATCH($C292,'Asset Register'!$A:$A,0)),""))</f>
        <v/>
      </c>
      <c r="E292" t="str">
        <f>IF($C292="","",IFERROR(INDEX('Asset Register'!$C:$C,MATCH($C292,'Asset Register'!$A:$A,0)),""))</f>
        <v/>
      </c>
      <c r="F292" t="str">
        <f>IF($C292="","",IFERROR(INDEX('Asset Register'!$D:$D,MATCH($C292,'Asset Register'!$A:$A,0)),""))</f>
        <v/>
      </c>
      <c r="J292" s="17" t="str">
        <f t="shared" si="45"/>
        <v/>
      </c>
      <c r="K292" s="17" t="str">
        <f t="shared" si="46"/>
        <v/>
      </c>
      <c r="L292" s="17" t="str">
        <f t="shared" si="39"/>
        <v/>
      </c>
      <c r="O292" t="str">
        <f>IF($C292="","",IFERROR(INDEX('Asset Register'!$G:$G,MATCH($C292,'Asset Register'!$A:$A,0)),""))</f>
        <v/>
      </c>
      <c r="Q292" t="str">
        <f t="shared" si="40"/>
        <v/>
      </c>
      <c r="R292" t="str">
        <f t="shared" si="41"/>
        <v/>
      </c>
      <c r="S292" s="17" t="str">
        <f t="shared" si="42"/>
        <v/>
      </c>
      <c r="T292" s="18" t="str">
        <f>IF($C292="","",IFERROR(INDEX('Asset Register'!$H:$H,MATCH($C292,'Asset Register'!$A:$A,0)),""))</f>
        <v/>
      </c>
      <c r="U292" s="18" t="str">
        <f t="shared" si="43"/>
        <v/>
      </c>
      <c r="V292" s="17" t="str">
        <f t="shared" si="44"/>
        <v/>
      </c>
    </row>
    <row r="293" spans="1:22" x14ac:dyDescent="0.25">
      <c r="A293" t="str">
        <f t="shared" si="38"/>
        <v/>
      </c>
      <c r="B293" s="16"/>
      <c r="D293" t="str">
        <f>IF($C293="","",IFERROR(INDEX('Asset Register'!$B:$B,MATCH($C293,'Asset Register'!$A:$A,0)),""))</f>
        <v/>
      </c>
      <c r="E293" t="str">
        <f>IF($C293="","",IFERROR(INDEX('Asset Register'!$C:$C,MATCH($C293,'Asset Register'!$A:$A,0)),""))</f>
        <v/>
      </c>
      <c r="F293" t="str">
        <f>IF($C293="","",IFERROR(INDEX('Asset Register'!$D:$D,MATCH($C293,'Asset Register'!$A:$A,0)),""))</f>
        <v/>
      </c>
      <c r="J293" s="17" t="str">
        <f t="shared" si="45"/>
        <v/>
      </c>
      <c r="K293" s="17" t="str">
        <f t="shared" si="46"/>
        <v/>
      </c>
      <c r="L293" s="17" t="str">
        <f t="shared" si="39"/>
        <v/>
      </c>
      <c r="O293" t="str">
        <f>IF($C293="","",IFERROR(INDEX('Asset Register'!$G:$G,MATCH($C293,'Asset Register'!$A:$A,0)),""))</f>
        <v/>
      </c>
      <c r="Q293" t="str">
        <f t="shared" si="40"/>
        <v/>
      </c>
      <c r="R293" t="str">
        <f t="shared" si="41"/>
        <v/>
      </c>
      <c r="S293" s="17" t="str">
        <f t="shared" si="42"/>
        <v/>
      </c>
      <c r="T293" s="18" t="str">
        <f>IF($C293="","",IFERROR(INDEX('Asset Register'!$H:$H,MATCH($C293,'Asset Register'!$A:$A,0)),""))</f>
        <v/>
      </c>
      <c r="U293" s="18" t="str">
        <f t="shared" si="43"/>
        <v/>
      </c>
      <c r="V293" s="17" t="str">
        <f t="shared" si="44"/>
        <v/>
      </c>
    </row>
    <row r="294" spans="1:22" x14ac:dyDescent="0.25">
      <c r="A294" t="str">
        <f t="shared" si="38"/>
        <v/>
      </c>
      <c r="B294" s="16"/>
      <c r="D294" t="str">
        <f>IF($C294="","",IFERROR(INDEX('Asset Register'!$B:$B,MATCH($C294,'Asset Register'!$A:$A,0)),""))</f>
        <v/>
      </c>
      <c r="E294" t="str">
        <f>IF($C294="","",IFERROR(INDEX('Asset Register'!$C:$C,MATCH($C294,'Asset Register'!$A:$A,0)),""))</f>
        <v/>
      </c>
      <c r="F294" t="str">
        <f>IF($C294="","",IFERROR(INDEX('Asset Register'!$D:$D,MATCH($C294,'Asset Register'!$A:$A,0)),""))</f>
        <v/>
      </c>
      <c r="J294" s="17" t="str">
        <f t="shared" si="45"/>
        <v/>
      </c>
      <c r="K294" s="17" t="str">
        <f t="shared" si="46"/>
        <v/>
      </c>
      <c r="L294" s="17" t="str">
        <f t="shared" si="39"/>
        <v/>
      </c>
      <c r="O294" t="str">
        <f>IF($C294="","",IFERROR(INDEX('Asset Register'!$G:$G,MATCH($C294,'Asset Register'!$A:$A,0)),""))</f>
        <v/>
      </c>
      <c r="Q294" t="str">
        <f t="shared" si="40"/>
        <v/>
      </c>
      <c r="R294" t="str">
        <f t="shared" si="41"/>
        <v/>
      </c>
      <c r="S294" s="17" t="str">
        <f t="shared" si="42"/>
        <v/>
      </c>
      <c r="T294" s="18" t="str">
        <f>IF($C294="","",IFERROR(INDEX('Asset Register'!$H:$H,MATCH($C294,'Asset Register'!$A:$A,0)),""))</f>
        <v/>
      </c>
      <c r="U294" s="18" t="str">
        <f t="shared" si="43"/>
        <v/>
      </c>
      <c r="V294" s="17" t="str">
        <f t="shared" si="44"/>
        <v/>
      </c>
    </row>
    <row r="295" spans="1:22" x14ac:dyDescent="0.25">
      <c r="A295" t="str">
        <f t="shared" si="38"/>
        <v/>
      </c>
      <c r="B295" s="16"/>
      <c r="D295" t="str">
        <f>IF($C295="","",IFERROR(INDEX('Asset Register'!$B:$B,MATCH($C295,'Asset Register'!$A:$A,0)),""))</f>
        <v/>
      </c>
      <c r="E295" t="str">
        <f>IF($C295="","",IFERROR(INDEX('Asset Register'!$C:$C,MATCH($C295,'Asset Register'!$A:$A,0)),""))</f>
        <v/>
      </c>
      <c r="F295" t="str">
        <f>IF($C295="","",IFERROR(INDEX('Asset Register'!$D:$D,MATCH($C295,'Asset Register'!$A:$A,0)),""))</f>
        <v/>
      </c>
      <c r="J295" s="17" t="str">
        <f t="shared" si="45"/>
        <v/>
      </c>
      <c r="K295" s="17" t="str">
        <f t="shared" si="46"/>
        <v/>
      </c>
      <c r="L295" s="17" t="str">
        <f t="shared" si="39"/>
        <v/>
      </c>
      <c r="O295" t="str">
        <f>IF($C295="","",IFERROR(INDEX('Asset Register'!$G:$G,MATCH($C295,'Asset Register'!$A:$A,0)),""))</f>
        <v/>
      </c>
      <c r="Q295" t="str">
        <f t="shared" si="40"/>
        <v/>
      </c>
      <c r="R295" t="str">
        <f t="shared" si="41"/>
        <v/>
      </c>
      <c r="S295" s="17" t="str">
        <f t="shared" si="42"/>
        <v/>
      </c>
      <c r="T295" s="18" t="str">
        <f>IF($C295="","",IFERROR(INDEX('Asset Register'!$H:$H,MATCH($C295,'Asset Register'!$A:$A,0)),""))</f>
        <v/>
      </c>
      <c r="U295" s="18" t="str">
        <f t="shared" si="43"/>
        <v/>
      </c>
      <c r="V295" s="17" t="str">
        <f t="shared" si="44"/>
        <v/>
      </c>
    </row>
    <row r="296" spans="1:22" x14ac:dyDescent="0.25">
      <c r="A296" t="str">
        <f t="shared" si="38"/>
        <v/>
      </c>
      <c r="B296" s="16"/>
      <c r="D296" t="str">
        <f>IF($C296="","",IFERROR(INDEX('Asset Register'!$B:$B,MATCH($C296,'Asset Register'!$A:$A,0)),""))</f>
        <v/>
      </c>
      <c r="E296" t="str">
        <f>IF($C296="","",IFERROR(INDEX('Asset Register'!$C:$C,MATCH($C296,'Asset Register'!$A:$A,0)),""))</f>
        <v/>
      </c>
      <c r="F296" t="str">
        <f>IF($C296="","",IFERROR(INDEX('Asset Register'!$D:$D,MATCH($C296,'Asset Register'!$A:$A,0)),""))</f>
        <v/>
      </c>
      <c r="J296" s="17" t="str">
        <f t="shared" si="45"/>
        <v/>
      </c>
      <c r="K296" s="17" t="str">
        <f t="shared" si="46"/>
        <v/>
      </c>
      <c r="L296" s="17" t="str">
        <f t="shared" si="39"/>
        <v/>
      </c>
      <c r="O296" t="str">
        <f>IF($C296="","",IFERROR(INDEX('Asset Register'!$G:$G,MATCH($C296,'Asset Register'!$A:$A,0)),""))</f>
        <v/>
      </c>
      <c r="Q296" t="str">
        <f t="shared" si="40"/>
        <v/>
      </c>
      <c r="R296" t="str">
        <f t="shared" si="41"/>
        <v/>
      </c>
      <c r="S296" s="17" t="str">
        <f t="shared" si="42"/>
        <v/>
      </c>
      <c r="T296" s="18" t="str">
        <f>IF($C296="","",IFERROR(INDEX('Asset Register'!$H:$H,MATCH($C296,'Asset Register'!$A:$A,0)),""))</f>
        <v/>
      </c>
      <c r="U296" s="18" t="str">
        <f t="shared" si="43"/>
        <v/>
      </c>
      <c r="V296" s="17" t="str">
        <f t="shared" si="44"/>
        <v/>
      </c>
    </row>
    <row r="297" spans="1:22" x14ac:dyDescent="0.25">
      <c r="A297" t="str">
        <f t="shared" si="38"/>
        <v/>
      </c>
      <c r="B297" s="16"/>
      <c r="D297" t="str">
        <f>IF($C297="","",IFERROR(INDEX('Asset Register'!$B:$B,MATCH($C297,'Asset Register'!$A:$A,0)),""))</f>
        <v/>
      </c>
      <c r="E297" t="str">
        <f>IF($C297="","",IFERROR(INDEX('Asset Register'!$C:$C,MATCH($C297,'Asset Register'!$A:$A,0)),""))</f>
        <v/>
      </c>
      <c r="F297" t="str">
        <f>IF($C297="","",IFERROR(INDEX('Asset Register'!$D:$D,MATCH($C297,'Asset Register'!$A:$A,0)),""))</f>
        <v/>
      </c>
      <c r="J297" s="17" t="str">
        <f t="shared" si="45"/>
        <v/>
      </c>
      <c r="K297" s="17" t="str">
        <f t="shared" si="46"/>
        <v/>
      </c>
      <c r="L297" s="17" t="str">
        <f t="shared" si="39"/>
        <v/>
      </c>
      <c r="O297" t="str">
        <f>IF($C297="","",IFERROR(INDEX('Asset Register'!$G:$G,MATCH($C297,'Asset Register'!$A:$A,0)),""))</f>
        <v/>
      </c>
      <c r="Q297" t="str">
        <f t="shared" si="40"/>
        <v/>
      </c>
      <c r="R297" t="str">
        <f t="shared" si="41"/>
        <v/>
      </c>
      <c r="S297" s="17" t="str">
        <f t="shared" si="42"/>
        <v/>
      </c>
      <c r="T297" s="18" t="str">
        <f>IF($C297="","",IFERROR(INDEX('Asset Register'!$H:$H,MATCH($C297,'Asset Register'!$A:$A,0)),""))</f>
        <v/>
      </c>
      <c r="U297" s="18" t="str">
        <f t="shared" si="43"/>
        <v/>
      </c>
      <c r="V297" s="17" t="str">
        <f t="shared" si="44"/>
        <v/>
      </c>
    </row>
    <row r="298" spans="1:22" x14ac:dyDescent="0.25">
      <c r="A298" t="str">
        <f t="shared" si="38"/>
        <v/>
      </c>
      <c r="B298" s="16"/>
      <c r="D298" t="str">
        <f>IF($C298="","",IFERROR(INDEX('Asset Register'!$B:$B,MATCH($C298,'Asset Register'!$A:$A,0)),""))</f>
        <v/>
      </c>
      <c r="E298" t="str">
        <f>IF($C298="","",IFERROR(INDEX('Asset Register'!$C:$C,MATCH($C298,'Asset Register'!$A:$A,0)),""))</f>
        <v/>
      </c>
      <c r="F298" t="str">
        <f>IF($C298="","",IFERROR(INDEX('Asset Register'!$D:$D,MATCH($C298,'Asset Register'!$A:$A,0)),""))</f>
        <v/>
      </c>
      <c r="J298" s="17" t="str">
        <f t="shared" si="45"/>
        <v/>
      </c>
      <c r="K298" s="17" t="str">
        <f t="shared" si="46"/>
        <v/>
      </c>
      <c r="L298" s="17" t="str">
        <f t="shared" si="39"/>
        <v/>
      </c>
      <c r="O298" t="str">
        <f>IF($C298="","",IFERROR(INDEX('Asset Register'!$G:$G,MATCH($C298,'Asset Register'!$A:$A,0)),""))</f>
        <v/>
      </c>
      <c r="Q298" t="str">
        <f t="shared" si="40"/>
        <v/>
      </c>
      <c r="R298" t="str">
        <f t="shared" si="41"/>
        <v/>
      </c>
      <c r="S298" s="17" t="str">
        <f t="shared" si="42"/>
        <v/>
      </c>
      <c r="T298" s="18" t="str">
        <f>IF($C298="","",IFERROR(INDEX('Asset Register'!$H:$H,MATCH($C298,'Asset Register'!$A:$A,0)),""))</f>
        <v/>
      </c>
      <c r="U298" s="18" t="str">
        <f t="shared" si="43"/>
        <v/>
      </c>
      <c r="V298" s="17" t="str">
        <f t="shared" si="44"/>
        <v/>
      </c>
    </row>
    <row r="299" spans="1:22" x14ac:dyDescent="0.25">
      <c r="A299" t="str">
        <f t="shared" si="38"/>
        <v/>
      </c>
      <c r="B299" s="16"/>
      <c r="D299" t="str">
        <f>IF($C299="","",IFERROR(INDEX('Asset Register'!$B:$B,MATCH($C299,'Asset Register'!$A:$A,0)),""))</f>
        <v/>
      </c>
      <c r="E299" t="str">
        <f>IF($C299="","",IFERROR(INDEX('Asset Register'!$C:$C,MATCH($C299,'Asset Register'!$A:$A,0)),""))</f>
        <v/>
      </c>
      <c r="F299" t="str">
        <f>IF($C299="","",IFERROR(INDEX('Asset Register'!$D:$D,MATCH($C299,'Asset Register'!$A:$A,0)),""))</f>
        <v/>
      </c>
      <c r="J299" s="17" t="str">
        <f t="shared" si="45"/>
        <v/>
      </c>
      <c r="K299" s="17" t="str">
        <f t="shared" si="46"/>
        <v/>
      </c>
      <c r="L299" s="17" t="str">
        <f t="shared" si="39"/>
        <v/>
      </c>
      <c r="O299" t="str">
        <f>IF($C299="","",IFERROR(INDEX('Asset Register'!$G:$G,MATCH($C299,'Asset Register'!$A:$A,0)),""))</f>
        <v/>
      </c>
      <c r="Q299" t="str">
        <f t="shared" si="40"/>
        <v/>
      </c>
      <c r="R299" t="str">
        <f t="shared" si="41"/>
        <v/>
      </c>
      <c r="S299" s="17" t="str">
        <f t="shared" si="42"/>
        <v/>
      </c>
      <c r="T299" s="18" t="str">
        <f>IF($C299="","",IFERROR(INDEX('Asset Register'!$H:$H,MATCH($C299,'Asset Register'!$A:$A,0)),""))</f>
        <v/>
      </c>
      <c r="U299" s="18" t="str">
        <f t="shared" si="43"/>
        <v/>
      </c>
      <c r="V299" s="17" t="str">
        <f t="shared" si="44"/>
        <v/>
      </c>
    </row>
    <row r="300" spans="1:22" x14ac:dyDescent="0.25">
      <c r="A300" t="str">
        <f t="shared" si="38"/>
        <v/>
      </c>
      <c r="B300" s="16"/>
      <c r="D300" t="str">
        <f>IF($C300="","",IFERROR(INDEX('Asset Register'!$B:$B,MATCH($C300,'Asset Register'!$A:$A,0)),""))</f>
        <v/>
      </c>
      <c r="E300" t="str">
        <f>IF($C300="","",IFERROR(INDEX('Asset Register'!$C:$C,MATCH($C300,'Asset Register'!$A:$A,0)),""))</f>
        <v/>
      </c>
      <c r="F300" t="str">
        <f>IF($C300="","",IFERROR(INDEX('Asset Register'!$D:$D,MATCH($C300,'Asset Register'!$A:$A,0)),""))</f>
        <v/>
      </c>
      <c r="J300" s="17" t="str">
        <f t="shared" si="45"/>
        <v/>
      </c>
      <c r="K300" s="17" t="str">
        <f t="shared" si="46"/>
        <v/>
      </c>
      <c r="L300" s="17" t="str">
        <f t="shared" si="39"/>
        <v/>
      </c>
      <c r="O300" t="str">
        <f>IF($C300="","",IFERROR(INDEX('Asset Register'!$G:$G,MATCH($C300,'Asset Register'!$A:$A,0)),""))</f>
        <v/>
      </c>
      <c r="Q300" t="str">
        <f t="shared" si="40"/>
        <v/>
      </c>
      <c r="R300" t="str">
        <f t="shared" si="41"/>
        <v/>
      </c>
      <c r="S300" s="17" t="str">
        <f t="shared" si="42"/>
        <v/>
      </c>
      <c r="T300" s="18" t="str">
        <f>IF($C300="","",IFERROR(INDEX('Asset Register'!$H:$H,MATCH($C300,'Asset Register'!$A:$A,0)),""))</f>
        <v/>
      </c>
      <c r="U300" s="18" t="str">
        <f t="shared" si="43"/>
        <v/>
      </c>
      <c r="V300" s="17" t="str">
        <f t="shared" si="44"/>
        <v/>
      </c>
    </row>
    <row r="301" spans="1:22" x14ac:dyDescent="0.25">
      <c r="A301" t="str">
        <f t="shared" si="38"/>
        <v/>
      </c>
      <c r="B301" s="16"/>
      <c r="D301" t="str">
        <f>IF($C301="","",IFERROR(INDEX('Asset Register'!$B:$B,MATCH($C301,'Asset Register'!$A:$A,0)),""))</f>
        <v/>
      </c>
      <c r="E301" t="str">
        <f>IF($C301="","",IFERROR(INDEX('Asset Register'!$C:$C,MATCH($C301,'Asset Register'!$A:$A,0)),""))</f>
        <v/>
      </c>
      <c r="F301" t="str">
        <f>IF($C301="","",IFERROR(INDEX('Asset Register'!$D:$D,MATCH($C301,'Asset Register'!$A:$A,0)),""))</f>
        <v/>
      </c>
      <c r="J301" s="17" t="str">
        <f t="shared" si="45"/>
        <v/>
      </c>
      <c r="K301" s="17" t="str">
        <f t="shared" si="46"/>
        <v/>
      </c>
      <c r="L301" s="17" t="str">
        <f t="shared" si="39"/>
        <v/>
      </c>
      <c r="O301" t="str">
        <f>IF($C301="","",IFERROR(INDEX('Asset Register'!$G:$G,MATCH($C301,'Asset Register'!$A:$A,0)),""))</f>
        <v/>
      </c>
      <c r="Q301" t="str">
        <f t="shared" si="40"/>
        <v/>
      </c>
      <c r="R301" t="str">
        <f t="shared" si="41"/>
        <v/>
      </c>
      <c r="S301" s="17" t="str">
        <f t="shared" si="42"/>
        <v/>
      </c>
      <c r="T301" s="18" t="str">
        <f>IF($C301="","",IFERROR(INDEX('Asset Register'!$H:$H,MATCH($C301,'Asset Register'!$A:$A,0)),""))</f>
        <v/>
      </c>
      <c r="U301" s="18" t="str">
        <f t="shared" si="43"/>
        <v/>
      </c>
      <c r="V301" s="17" t="str">
        <f t="shared" si="44"/>
        <v/>
      </c>
    </row>
    <row r="302" spans="1:22" x14ac:dyDescent="0.25">
      <c r="A302" t="str">
        <f t="shared" si="38"/>
        <v/>
      </c>
      <c r="B302" s="16"/>
      <c r="D302" t="str">
        <f>IF($C302="","",IFERROR(INDEX('Asset Register'!$B:$B,MATCH($C302,'Asset Register'!$A:$A,0)),""))</f>
        <v/>
      </c>
      <c r="E302" t="str">
        <f>IF($C302="","",IFERROR(INDEX('Asset Register'!$C:$C,MATCH($C302,'Asset Register'!$A:$A,0)),""))</f>
        <v/>
      </c>
      <c r="F302" t="str">
        <f>IF($C302="","",IFERROR(INDEX('Asset Register'!$D:$D,MATCH($C302,'Asset Register'!$A:$A,0)),""))</f>
        <v/>
      </c>
      <c r="J302" s="17" t="str">
        <f t="shared" si="45"/>
        <v/>
      </c>
      <c r="K302" s="17" t="str">
        <f t="shared" si="46"/>
        <v/>
      </c>
      <c r="L302" s="17" t="str">
        <f t="shared" si="39"/>
        <v/>
      </c>
      <c r="O302" t="str">
        <f>IF($C302="","",IFERROR(INDEX('Asset Register'!$G:$G,MATCH($C302,'Asset Register'!$A:$A,0)),""))</f>
        <v/>
      </c>
      <c r="Q302" t="str">
        <f t="shared" si="40"/>
        <v/>
      </c>
      <c r="R302" t="str">
        <f t="shared" si="41"/>
        <v/>
      </c>
      <c r="S302" s="17" t="str">
        <f t="shared" si="42"/>
        <v/>
      </c>
      <c r="T302" s="18" t="str">
        <f>IF($C302="","",IFERROR(INDEX('Asset Register'!$H:$H,MATCH($C302,'Asset Register'!$A:$A,0)),""))</f>
        <v/>
      </c>
      <c r="U302" s="18" t="str">
        <f t="shared" si="43"/>
        <v/>
      </c>
      <c r="V302" s="17" t="str">
        <f t="shared" si="44"/>
        <v/>
      </c>
    </row>
    <row r="303" spans="1:22" x14ac:dyDescent="0.25">
      <c r="A303" t="str">
        <f t="shared" si="38"/>
        <v/>
      </c>
      <c r="B303" s="16"/>
      <c r="D303" t="str">
        <f>IF($C303="","",IFERROR(INDEX('Asset Register'!$B:$B,MATCH($C303,'Asset Register'!$A:$A,0)),""))</f>
        <v/>
      </c>
      <c r="E303" t="str">
        <f>IF($C303="","",IFERROR(INDEX('Asset Register'!$C:$C,MATCH($C303,'Asset Register'!$A:$A,0)),""))</f>
        <v/>
      </c>
      <c r="F303" t="str">
        <f>IF($C303="","",IFERROR(INDEX('Asset Register'!$D:$D,MATCH($C303,'Asset Register'!$A:$A,0)),""))</f>
        <v/>
      </c>
      <c r="J303" s="17" t="str">
        <f t="shared" si="45"/>
        <v/>
      </c>
      <c r="K303" s="17" t="str">
        <f t="shared" si="46"/>
        <v/>
      </c>
      <c r="L303" s="17" t="str">
        <f t="shared" si="39"/>
        <v/>
      </c>
      <c r="O303" t="str">
        <f>IF($C303="","",IFERROR(INDEX('Asset Register'!$G:$G,MATCH($C303,'Asset Register'!$A:$A,0)),""))</f>
        <v/>
      </c>
      <c r="Q303" t="str">
        <f t="shared" si="40"/>
        <v/>
      </c>
      <c r="R303" t="str">
        <f t="shared" si="41"/>
        <v/>
      </c>
      <c r="S303" s="17" t="str">
        <f t="shared" si="42"/>
        <v/>
      </c>
      <c r="T303" s="18" t="str">
        <f>IF($C303="","",IFERROR(INDEX('Asset Register'!$H:$H,MATCH($C303,'Asset Register'!$A:$A,0)),""))</f>
        <v/>
      </c>
      <c r="U303" s="18" t="str">
        <f t="shared" si="43"/>
        <v/>
      </c>
      <c r="V303" s="17" t="str">
        <f t="shared" si="44"/>
        <v/>
      </c>
    </row>
    <row r="304" spans="1:22" x14ac:dyDescent="0.25">
      <c r="A304" t="str">
        <f t="shared" si="38"/>
        <v/>
      </c>
      <c r="B304" s="16"/>
      <c r="D304" t="str">
        <f>IF($C304="","",IFERROR(INDEX('Asset Register'!$B:$B,MATCH($C304,'Asset Register'!$A:$A,0)),""))</f>
        <v/>
      </c>
      <c r="E304" t="str">
        <f>IF($C304="","",IFERROR(INDEX('Asset Register'!$C:$C,MATCH($C304,'Asset Register'!$A:$A,0)),""))</f>
        <v/>
      </c>
      <c r="F304" t="str">
        <f>IF($C304="","",IFERROR(INDEX('Asset Register'!$D:$D,MATCH($C304,'Asset Register'!$A:$A,0)),""))</f>
        <v/>
      </c>
      <c r="J304" s="17" t="str">
        <f t="shared" si="45"/>
        <v/>
      </c>
      <c r="K304" s="17" t="str">
        <f t="shared" si="46"/>
        <v/>
      </c>
      <c r="L304" s="17" t="str">
        <f t="shared" si="39"/>
        <v/>
      </c>
      <c r="O304" t="str">
        <f>IF($C304="","",IFERROR(INDEX('Asset Register'!$G:$G,MATCH($C304,'Asset Register'!$A:$A,0)),""))</f>
        <v/>
      </c>
      <c r="Q304" t="str">
        <f t="shared" si="40"/>
        <v/>
      </c>
      <c r="R304" t="str">
        <f t="shared" si="41"/>
        <v/>
      </c>
      <c r="S304" s="17" t="str">
        <f t="shared" si="42"/>
        <v/>
      </c>
      <c r="T304" s="18" t="str">
        <f>IF($C304="","",IFERROR(INDEX('Asset Register'!$H:$H,MATCH($C304,'Asset Register'!$A:$A,0)),""))</f>
        <v/>
      </c>
      <c r="U304" s="18" t="str">
        <f t="shared" si="43"/>
        <v/>
      </c>
      <c r="V304" s="17" t="str">
        <f t="shared" si="44"/>
        <v/>
      </c>
    </row>
    <row r="305" spans="1:22" x14ac:dyDescent="0.25">
      <c r="A305" t="str">
        <f t="shared" si="38"/>
        <v/>
      </c>
      <c r="B305" s="16"/>
      <c r="D305" t="str">
        <f>IF($C305="","",IFERROR(INDEX('Asset Register'!$B:$B,MATCH($C305,'Asset Register'!$A:$A,0)),""))</f>
        <v/>
      </c>
      <c r="E305" t="str">
        <f>IF($C305="","",IFERROR(INDEX('Asset Register'!$C:$C,MATCH($C305,'Asset Register'!$A:$A,0)),""))</f>
        <v/>
      </c>
      <c r="F305" t="str">
        <f>IF($C305="","",IFERROR(INDEX('Asset Register'!$D:$D,MATCH($C305,'Asset Register'!$A:$A,0)),""))</f>
        <v/>
      </c>
      <c r="J305" s="17" t="str">
        <f t="shared" si="45"/>
        <v/>
      </c>
      <c r="K305" s="17" t="str">
        <f t="shared" si="46"/>
        <v/>
      </c>
      <c r="L305" s="17" t="str">
        <f t="shared" si="39"/>
        <v/>
      </c>
      <c r="O305" t="str">
        <f>IF($C305="","",IFERROR(INDEX('Asset Register'!$G:$G,MATCH($C305,'Asset Register'!$A:$A,0)),""))</f>
        <v/>
      </c>
      <c r="Q305" t="str">
        <f t="shared" si="40"/>
        <v/>
      </c>
      <c r="R305" t="str">
        <f t="shared" si="41"/>
        <v/>
      </c>
      <c r="S305" s="17" t="str">
        <f t="shared" si="42"/>
        <v/>
      </c>
      <c r="T305" s="18" t="str">
        <f>IF($C305="","",IFERROR(INDEX('Asset Register'!$H:$H,MATCH($C305,'Asset Register'!$A:$A,0)),""))</f>
        <v/>
      </c>
      <c r="U305" s="18" t="str">
        <f t="shared" si="43"/>
        <v/>
      </c>
      <c r="V305" s="17" t="str">
        <f t="shared" si="44"/>
        <v/>
      </c>
    </row>
    <row r="306" spans="1:22" x14ac:dyDescent="0.25">
      <c r="A306" t="str">
        <f t="shared" si="38"/>
        <v/>
      </c>
      <c r="B306" s="16"/>
      <c r="D306" t="str">
        <f>IF($C306="","",IFERROR(INDEX('Asset Register'!$B:$B,MATCH($C306,'Asset Register'!$A:$A,0)),""))</f>
        <v/>
      </c>
      <c r="E306" t="str">
        <f>IF($C306="","",IFERROR(INDEX('Asset Register'!$C:$C,MATCH($C306,'Asset Register'!$A:$A,0)),""))</f>
        <v/>
      </c>
      <c r="F306" t="str">
        <f>IF($C306="","",IFERROR(INDEX('Asset Register'!$D:$D,MATCH($C306,'Asset Register'!$A:$A,0)),""))</f>
        <v/>
      </c>
      <c r="J306" s="17" t="str">
        <f t="shared" si="45"/>
        <v/>
      </c>
      <c r="K306" s="17" t="str">
        <f t="shared" si="46"/>
        <v/>
      </c>
      <c r="L306" s="17" t="str">
        <f t="shared" si="39"/>
        <v/>
      </c>
      <c r="O306" t="str">
        <f>IF($C306="","",IFERROR(INDEX('Asset Register'!$G:$G,MATCH($C306,'Asset Register'!$A:$A,0)),""))</f>
        <v/>
      </c>
      <c r="Q306" t="str">
        <f t="shared" si="40"/>
        <v/>
      </c>
      <c r="R306" t="str">
        <f t="shared" si="41"/>
        <v/>
      </c>
      <c r="S306" s="17" t="str">
        <f t="shared" si="42"/>
        <v/>
      </c>
      <c r="T306" s="18" t="str">
        <f>IF($C306="","",IFERROR(INDEX('Asset Register'!$H:$H,MATCH($C306,'Asset Register'!$A:$A,0)),""))</f>
        <v/>
      </c>
      <c r="U306" s="18" t="str">
        <f t="shared" si="43"/>
        <v/>
      </c>
      <c r="V306" s="17" t="str">
        <f t="shared" si="44"/>
        <v/>
      </c>
    </row>
    <row r="307" spans="1:22" x14ac:dyDescent="0.25">
      <c r="A307" t="str">
        <f t="shared" si="38"/>
        <v/>
      </c>
      <c r="B307" s="16"/>
      <c r="D307" t="str">
        <f>IF($C307="","",IFERROR(INDEX('Asset Register'!$B:$B,MATCH($C307,'Asset Register'!$A:$A,0)),""))</f>
        <v/>
      </c>
      <c r="E307" t="str">
        <f>IF($C307="","",IFERROR(INDEX('Asset Register'!$C:$C,MATCH($C307,'Asset Register'!$A:$A,0)),""))</f>
        <v/>
      </c>
      <c r="F307" t="str">
        <f>IF($C307="","",IFERROR(INDEX('Asset Register'!$D:$D,MATCH($C307,'Asset Register'!$A:$A,0)),""))</f>
        <v/>
      </c>
      <c r="J307" s="17" t="str">
        <f t="shared" si="45"/>
        <v/>
      </c>
      <c r="K307" s="17" t="str">
        <f t="shared" si="46"/>
        <v/>
      </c>
      <c r="L307" s="17" t="str">
        <f t="shared" si="39"/>
        <v/>
      </c>
      <c r="O307" t="str">
        <f>IF($C307="","",IFERROR(INDEX('Asset Register'!$G:$G,MATCH($C307,'Asset Register'!$A:$A,0)),""))</f>
        <v/>
      </c>
      <c r="Q307" t="str">
        <f t="shared" si="40"/>
        <v/>
      </c>
      <c r="R307" t="str">
        <f t="shared" si="41"/>
        <v/>
      </c>
      <c r="S307" s="17" t="str">
        <f t="shared" si="42"/>
        <v/>
      </c>
      <c r="T307" s="18" t="str">
        <f>IF($C307="","",IFERROR(INDEX('Asset Register'!$H:$H,MATCH($C307,'Asset Register'!$A:$A,0)),""))</f>
        <v/>
      </c>
      <c r="U307" s="18" t="str">
        <f t="shared" si="43"/>
        <v/>
      </c>
      <c r="V307" s="17" t="str">
        <f t="shared" si="44"/>
        <v/>
      </c>
    </row>
    <row r="308" spans="1:22" x14ac:dyDescent="0.25">
      <c r="A308" t="str">
        <f t="shared" si="38"/>
        <v/>
      </c>
      <c r="B308" s="16"/>
      <c r="D308" t="str">
        <f>IF($C308="","",IFERROR(INDEX('Asset Register'!$B:$B,MATCH($C308,'Asset Register'!$A:$A,0)),""))</f>
        <v/>
      </c>
      <c r="E308" t="str">
        <f>IF($C308="","",IFERROR(INDEX('Asset Register'!$C:$C,MATCH($C308,'Asset Register'!$A:$A,0)),""))</f>
        <v/>
      </c>
      <c r="F308" t="str">
        <f>IF($C308="","",IFERROR(INDEX('Asset Register'!$D:$D,MATCH($C308,'Asset Register'!$A:$A,0)),""))</f>
        <v/>
      </c>
      <c r="J308" s="17" t="str">
        <f t="shared" si="45"/>
        <v/>
      </c>
      <c r="K308" s="17" t="str">
        <f t="shared" si="46"/>
        <v/>
      </c>
      <c r="L308" s="17" t="str">
        <f t="shared" si="39"/>
        <v/>
      </c>
      <c r="O308" t="str">
        <f>IF($C308="","",IFERROR(INDEX('Asset Register'!$G:$G,MATCH($C308,'Asset Register'!$A:$A,0)),""))</f>
        <v/>
      </c>
      <c r="Q308" t="str">
        <f t="shared" si="40"/>
        <v/>
      </c>
      <c r="R308" t="str">
        <f t="shared" si="41"/>
        <v/>
      </c>
      <c r="S308" s="17" t="str">
        <f t="shared" si="42"/>
        <v/>
      </c>
      <c r="T308" s="18" t="str">
        <f>IF($C308="","",IFERROR(INDEX('Asset Register'!$H:$H,MATCH($C308,'Asset Register'!$A:$A,0)),""))</f>
        <v/>
      </c>
      <c r="U308" s="18" t="str">
        <f t="shared" si="43"/>
        <v/>
      </c>
      <c r="V308" s="17" t="str">
        <f t="shared" si="44"/>
        <v/>
      </c>
    </row>
    <row r="309" spans="1:22" x14ac:dyDescent="0.25">
      <c r="A309" t="str">
        <f t="shared" si="38"/>
        <v/>
      </c>
      <c r="B309" s="16"/>
      <c r="D309" t="str">
        <f>IF($C309="","",IFERROR(INDEX('Asset Register'!$B:$B,MATCH($C309,'Asset Register'!$A:$A,0)),""))</f>
        <v/>
      </c>
      <c r="E309" t="str">
        <f>IF($C309="","",IFERROR(INDEX('Asset Register'!$C:$C,MATCH($C309,'Asset Register'!$A:$A,0)),""))</f>
        <v/>
      </c>
      <c r="F309" t="str">
        <f>IF($C309="","",IFERROR(INDEX('Asset Register'!$D:$D,MATCH($C309,'Asset Register'!$A:$A,0)),""))</f>
        <v/>
      </c>
      <c r="J309" s="17" t="str">
        <f t="shared" si="45"/>
        <v/>
      </c>
      <c r="K309" s="17" t="str">
        <f t="shared" si="46"/>
        <v/>
      </c>
      <c r="L309" s="17" t="str">
        <f t="shared" si="39"/>
        <v/>
      </c>
      <c r="O309" t="str">
        <f>IF($C309="","",IFERROR(INDEX('Asset Register'!$G:$G,MATCH($C309,'Asset Register'!$A:$A,0)),""))</f>
        <v/>
      </c>
      <c r="Q309" t="str">
        <f t="shared" si="40"/>
        <v/>
      </c>
      <c r="R309" t="str">
        <f t="shared" si="41"/>
        <v/>
      </c>
      <c r="S309" s="17" t="str">
        <f t="shared" si="42"/>
        <v/>
      </c>
      <c r="T309" s="18" t="str">
        <f>IF($C309="","",IFERROR(INDEX('Asset Register'!$H:$H,MATCH($C309,'Asset Register'!$A:$A,0)),""))</f>
        <v/>
      </c>
      <c r="U309" s="18" t="str">
        <f t="shared" si="43"/>
        <v/>
      </c>
      <c r="V309" s="17" t="str">
        <f t="shared" si="44"/>
        <v/>
      </c>
    </row>
    <row r="310" spans="1:22" x14ac:dyDescent="0.25">
      <c r="A310" t="str">
        <f t="shared" si="38"/>
        <v/>
      </c>
      <c r="B310" s="16"/>
      <c r="D310" t="str">
        <f>IF($C310="","",IFERROR(INDEX('Asset Register'!$B:$B,MATCH($C310,'Asset Register'!$A:$A,0)),""))</f>
        <v/>
      </c>
      <c r="E310" t="str">
        <f>IF($C310="","",IFERROR(INDEX('Asset Register'!$C:$C,MATCH($C310,'Asset Register'!$A:$A,0)),""))</f>
        <v/>
      </c>
      <c r="F310" t="str">
        <f>IF($C310="","",IFERROR(INDEX('Asset Register'!$D:$D,MATCH($C310,'Asset Register'!$A:$A,0)),""))</f>
        <v/>
      </c>
      <c r="J310" s="17" t="str">
        <f t="shared" si="45"/>
        <v/>
      </c>
      <c r="K310" s="17" t="str">
        <f t="shared" si="46"/>
        <v/>
      </c>
      <c r="L310" s="17" t="str">
        <f t="shared" si="39"/>
        <v/>
      </c>
      <c r="O310" t="str">
        <f>IF($C310="","",IFERROR(INDEX('Asset Register'!$G:$G,MATCH($C310,'Asset Register'!$A:$A,0)),""))</f>
        <v/>
      </c>
      <c r="Q310" t="str">
        <f t="shared" si="40"/>
        <v/>
      </c>
      <c r="R310" t="str">
        <f t="shared" si="41"/>
        <v/>
      </c>
      <c r="S310" s="17" t="str">
        <f t="shared" si="42"/>
        <v/>
      </c>
      <c r="T310" s="18" t="str">
        <f>IF($C310="","",IFERROR(INDEX('Asset Register'!$H:$H,MATCH($C310,'Asset Register'!$A:$A,0)),""))</f>
        <v/>
      </c>
      <c r="U310" s="18" t="str">
        <f t="shared" si="43"/>
        <v/>
      </c>
      <c r="V310" s="17" t="str">
        <f t="shared" si="44"/>
        <v/>
      </c>
    </row>
    <row r="311" spans="1:22" x14ac:dyDescent="0.25">
      <c r="A311" t="str">
        <f t="shared" si="38"/>
        <v/>
      </c>
      <c r="B311" s="16"/>
      <c r="D311" t="str">
        <f>IF($C311="","",IFERROR(INDEX('Asset Register'!$B:$B,MATCH($C311,'Asset Register'!$A:$A,0)),""))</f>
        <v/>
      </c>
      <c r="E311" t="str">
        <f>IF($C311="","",IFERROR(INDEX('Asset Register'!$C:$C,MATCH($C311,'Asset Register'!$A:$A,0)),""))</f>
        <v/>
      </c>
      <c r="F311" t="str">
        <f>IF($C311="","",IFERROR(INDEX('Asset Register'!$D:$D,MATCH($C311,'Asset Register'!$A:$A,0)),""))</f>
        <v/>
      </c>
      <c r="J311" s="17" t="str">
        <f t="shared" si="45"/>
        <v/>
      </c>
      <c r="K311" s="17" t="str">
        <f t="shared" si="46"/>
        <v/>
      </c>
      <c r="L311" s="17" t="str">
        <f t="shared" si="39"/>
        <v/>
      </c>
      <c r="O311" t="str">
        <f>IF($C311="","",IFERROR(INDEX('Asset Register'!$G:$G,MATCH($C311,'Asset Register'!$A:$A,0)),""))</f>
        <v/>
      </c>
      <c r="Q311" t="str">
        <f t="shared" si="40"/>
        <v/>
      </c>
      <c r="R311" t="str">
        <f t="shared" si="41"/>
        <v/>
      </c>
      <c r="S311" s="17" t="str">
        <f t="shared" si="42"/>
        <v/>
      </c>
      <c r="T311" s="18" t="str">
        <f>IF($C311="","",IFERROR(INDEX('Asset Register'!$H:$H,MATCH($C311,'Asset Register'!$A:$A,0)),""))</f>
        <v/>
      </c>
      <c r="U311" s="18" t="str">
        <f t="shared" si="43"/>
        <v/>
      </c>
      <c r="V311" s="17" t="str">
        <f t="shared" si="44"/>
        <v/>
      </c>
    </row>
    <row r="312" spans="1:22" x14ac:dyDescent="0.25">
      <c r="A312" t="str">
        <f t="shared" si="38"/>
        <v/>
      </c>
      <c r="B312" s="16"/>
      <c r="D312" t="str">
        <f>IF($C312="","",IFERROR(INDEX('Asset Register'!$B:$B,MATCH($C312,'Asset Register'!$A:$A,0)),""))</f>
        <v/>
      </c>
      <c r="E312" t="str">
        <f>IF($C312="","",IFERROR(INDEX('Asset Register'!$C:$C,MATCH($C312,'Asset Register'!$A:$A,0)),""))</f>
        <v/>
      </c>
      <c r="F312" t="str">
        <f>IF($C312="","",IFERROR(INDEX('Asset Register'!$D:$D,MATCH($C312,'Asset Register'!$A:$A,0)),""))</f>
        <v/>
      </c>
      <c r="J312" s="17" t="str">
        <f t="shared" si="45"/>
        <v/>
      </c>
      <c r="K312" s="17" t="str">
        <f t="shared" si="46"/>
        <v/>
      </c>
      <c r="L312" s="17" t="str">
        <f t="shared" si="39"/>
        <v/>
      </c>
      <c r="O312" t="str">
        <f>IF($C312="","",IFERROR(INDEX('Asset Register'!$G:$G,MATCH($C312,'Asset Register'!$A:$A,0)),""))</f>
        <v/>
      </c>
      <c r="Q312" t="str">
        <f t="shared" si="40"/>
        <v/>
      </c>
      <c r="R312" t="str">
        <f t="shared" si="41"/>
        <v/>
      </c>
      <c r="S312" s="17" t="str">
        <f t="shared" si="42"/>
        <v/>
      </c>
      <c r="T312" s="18" t="str">
        <f>IF($C312="","",IFERROR(INDEX('Asset Register'!$H:$H,MATCH($C312,'Asset Register'!$A:$A,0)),""))</f>
        <v/>
      </c>
      <c r="U312" s="18" t="str">
        <f t="shared" si="43"/>
        <v/>
      </c>
      <c r="V312" s="17" t="str">
        <f t="shared" si="44"/>
        <v/>
      </c>
    </row>
    <row r="313" spans="1:22" x14ac:dyDescent="0.25">
      <c r="A313" t="str">
        <f t="shared" si="38"/>
        <v/>
      </c>
      <c r="B313" s="16"/>
      <c r="D313" t="str">
        <f>IF($C313="","",IFERROR(INDEX('Asset Register'!$B:$B,MATCH($C313,'Asset Register'!$A:$A,0)),""))</f>
        <v/>
      </c>
      <c r="E313" t="str">
        <f>IF($C313="","",IFERROR(INDEX('Asset Register'!$C:$C,MATCH($C313,'Asset Register'!$A:$A,0)),""))</f>
        <v/>
      </c>
      <c r="F313" t="str">
        <f>IF($C313="","",IFERROR(INDEX('Asset Register'!$D:$D,MATCH($C313,'Asset Register'!$A:$A,0)),""))</f>
        <v/>
      </c>
      <c r="J313" s="17" t="str">
        <f t="shared" si="45"/>
        <v/>
      </c>
      <c r="K313" s="17" t="str">
        <f t="shared" si="46"/>
        <v/>
      </c>
      <c r="L313" s="17" t="str">
        <f t="shared" si="39"/>
        <v/>
      </c>
      <c r="O313" t="str">
        <f>IF($C313="","",IFERROR(INDEX('Asset Register'!$G:$G,MATCH($C313,'Asset Register'!$A:$A,0)),""))</f>
        <v/>
      </c>
      <c r="Q313" t="str">
        <f t="shared" si="40"/>
        <v/>
      </c>
      <c r="R313" t="str">
        <f t="shared" si="41"/>
        <v/>
      </c>
      <c r="S313" s="17" t="str">
        <f t="shared" si="42"/>
        <v/>
      </c>
      <c r="T313" s="18" t="str">
        <f>IF($C313="","",IFERROR(INDEX('Asset Register'!$H:$H,MATCH($C313,'Asset Register'!$A:$A,0)),""))</f>
        <v/>
      </c>
      <c r="U313" s="18" t="str">
        <f t="shared" si="43"/>
        <v/>
      </c>
      <c r="V313" s="17" t="str">
        <f t="shared" si="44"/>
        <v/>
      </c>
    </row>
    <row r="314" spans="1:22" x14ac:dyDescent="0.25">
      <c r="A314" t="str">
        <f t="shared" si="38"/>
        <v/>
      </c>
      <c r="B314" s="16"/>
      <c r="D314" t="str">
        <f>IF($C314="","",IFERROR(INDEX('Asset Register'!$B:$B,MATCH($C314,'Asset Register'!$A:$A,0)),""))</f>
        <v/>
      </c>
      <c r="E314" t="str">
        <f>IF($C314="","",IFERROR(INDEX('Asset Register'!$C:$C,MATCH($C314,'Asset Register'!$A:$A,0)),""))</f>
        <v/>
      </c>
      <c r="F314" t="str">
        <f>IF($C314="","",IFERROR(INDEX('Asset Register'!$D:$D,MATCH($C314,'Asset Register'!$A:$A,0)),""))</f>
        <v/>
      </c>
      <c r="J314" s="17" t="str">
        <f t="shared" si="45"/>
        <v/>
      </c>
      <c r="K314" s="17" t="str">
        <f t="shared" si="46"/>
        <v/>
      </c>
      <c r="L314" s="17" t="str">
        <f t="shared" si="39"/>
        <v/>
      </c>
      <c r="O314" t="str">
        <f>IF($C314="","",IFERROR(INDEX('Asset Register'!$G:$G,MATCH($C314,'Asset Register'!$A:$A,0)),""))</f>
        <v/>
      </c>
      <c r="Q314" t="str">
        <f t="shared" si="40"/>
        <v/>
      </c>
      <c r="R314" t="str">
        <f t="shared" si="41"/>
        <v/>
      </c>
      <c r="S314" s="17" t="str">
        <f t="shared" si="42"/>
        <v/>
      </c>
      <c r="T314" s="18" t="str">
        <f>IF($C314="","",IFERROR(INDEX('Asset Register'!$H:$H,MATCH($C314,'Asset Register'!$A:$A,0)),""))</f>
        <v/>
      </c>
      <c r="U314" s="18" t="str">
        <f t="shared" si="43"/>
        <v/>
      </c>
      <c r="V314" s="17" t="str">
        <f t="shared" si="44"/>
        <v/>
      </c>
    </row>
    <row r="315" spans="1:22" x14ac:dyDescent="0.25">
      <c r="A315" t="str">
        <f t="shared" si="38"/>
        <v/>
      </c>
      <c r="B315" s="16"/>
      <c r="D315" t="str">
        <f>IF($C315="","",IFERROR(INDEX('Asset Register'!$B:$B,MATCH($C315,'Asset Register'!$A:$A,0)),""))</f>
        <v/>
      </c>
      <c r="E315" t="str">
        <f>IF($C315="","",IFERROR(INDEX('Asset Register'!$C:$C,MATCH($C315,'Asset Register'!$A:$A,0)),""))</f>
        <v/>
      </c>
      <c r="F315" t="str">
        <f>IF($C315="","",IFERROR(INDEX('Asset Register'!$D:$D,MATCH($C315,'Asset Register'!$A:$A,0)),""))</f>
        <v/>
      </c>
      <c r="J315" s="17" t="str">
        <f t="shared" si="45"/>
        <v/>
      </c>
      <c r="K315" s="17" t="str">
        <f t="shared" si="46"/>
        <v/>
      </c>
      <c r="L315" s="17" t="str">
        <f t="shared" si="39"/>
        <v/>
      </c>
      <c r="O315" t="str">
        <f>IF($C315="","",IFERROR(INDEX('Asset Register'!$G:$G,MATCH($C315,'Asset Register'!$A:$A,0)),""))</f>
        <v/>
      </c>
      <c r="Q315" t="str">
        <f t="shared" si="40"/>
        <v/>
      </c>
      <c r="R315" t="str">
        <f t="shared" si="41"/>
        <v/>
      </c>
      <c r="S315" s="17" t="str">
        <f t="shared" si="42"/>
        <v/>
      </c>
      <c r="T315" s="18" t="str">
        <f>IF($C315="","",IFERROR(INDEX('Asset Register'!$H:$H,MATCH($C315,'Asset Register'!$A:$A,0)),""))</f>
        <v/>
      </c>
      <c r="U315" s="18" t="str">
        <f t="shared" si="43"/>
        <v/>
      </c>
      <c r="V315" s="17" t="str">
        <f t="shared" si="44"/>
        <v/>
      </c>
    </row>
    <row r="316" spans="1:22" x14ac:dyDescent="0.25">
      <c r="A316" t="str">
        <f t="shared" si="38"/>
        <v/>
      </c>
      <c r="B316" s="16"/>
      <c r="D316" t="str">
        <f>IF($C316="","",IFERROR(INDEX('Asset Register'!$B:$B,MATCH($C316,'Asset Register'!$A:$A,0)),""))</f>
        <v/>
      </c>
      <c r="E316" t="str">
        <f>IF($C316="","",IFERROR(INDEX('Asset Register'!$C:$C,MATCH($C316,'Asset Register'!$A:$A,0)),""))</f>
        <v/>
      </c>
      <c r="F316" t="str">
        <f>IF($C316="","",IFERROR(INDEX('Asset Register'!$D:$D,MATCH($C316,'Asset Register'!$A:$A,0)),""))</f>
        <v/>
      </c>
      <c r="J316" s="17" t="str">
        <f t="shared" si="45"/>
        <v/>
      </c>
      <c r="K316" s="17" t="str">
        <f t="shared" si="46"/>
        <v/>
      </c>
      <c r="L316" s="17" t="str">
        <f t="shared" si="39"/>
        <v/>
      </c>
      <c r="O316" t="str">
        <f>IF($C316="","",IFERROR(INDEX('Asset Register'!$G:$G,MATCH($C316,'Asset Register'!$A:$A,0)),""))</f>
        <v/>
      </c>
      <c r="Q316" t="str">
        <f t="shared" si="40"/>
        <v/>
      </c>
      <c r="R316" t="str">
        <f t="shared" si="41"/>
        <v/>
      </c>
      <c r="S316" s="17" t="str">
        <f t="shared" si="42"/>
        <v/>
      </c>
      <c r="T316" s="18" t="str">
        <f>IF($C316="","",IFERROR(INDEX('Asset Register'!$H:$H,MATCH($C316,'Asset Register'!$A:$A,0)),""))</f>
        <v/>
      </c>
      <c r="U316" s="18" t="str">
        <f t="shared" si="43"/>
        <v/>
      </c>
      <c r="V316" s="17" t="str">
        <f t="shared" si="44"/>
        <v/>
      </c>
    </row>
    <row r="317" spans="1:22" x14ac:dyDescent="0.25">
      <c r="A317" t="str">
        <f t="shared" si="38"/>
        <v/>
      </c>
      <c r="B317" s="16"/>
      <c r="D317" t="str">
        <f>IF($C317="","",IFERROR(INDEX('Asset Register'!$B:$B,MATCH($C317,'Asset Register'!$A:$A,0)),""))</f>
        <v/>
      </c>
      <c r="E317" t="str">
        <f>IF($C317="","",IFERROR(INDEX('Asset Register'!$C:$C,MATCH($C317,'Asset Register'!$A:$A,0)),""))</f>
        <v/>
      </c>
      <c r="F317" t="str">
        <f>IF($C317="","",IFERROR(INDEX('Asset Register'!$D:$D,MATCH($C317,'Asset Register'!$A:$A,0)),""))</f>
        <v/>
      </c>
      <c r="J317" s="17" t="str">
        <f t="shared" si="45"/>
        <v/>
      </c>
      <c r="K317" s="17" t="str">
        <f t="shared" si="46"/>
        <v/>
      </c>
      <c r="L317" s="17" t="str">
        <f t="shared" si="39"/>
        <v/>
      </c>
      <c r="O317" t="str">
        <f>IF($C317="","",IFERROR(INDEX('Asset Register'!$G:$G,MATCH($C317,'Asset Register'!$A:$A,0)),""))</f>
        <v/>
      </c>
      <c r="Q317" t="str">
        <f t="shared" si="40"/>
        <v/>
      </c>
      <c r="R317" t="str">
        <f t="shared" si="41"/>
        <v/>
      </c>
      <c r="S317" s="17" t="str">
        <f t="shared" si="42"/>
        <v/>
      </c>
      <c r="T317" s="18" t="str">
        <f>IF($C317="","",IFERROR(INDEX('Asset Register'!$H:$H,MATCH($C317,'Asset Register'!$A:$A,0)),""))</f>
        <v/>
      </c>
      <c r="U317" s="18" t="str">
        <f t="shared" si="43"/>
        <v/>
      </c>
      <c r="V317" s="17" t="str">
        <f t="shared" si="44"/>
        <v/>
      </c>
    </row>
    <row r="318" spans="1:22" x14ac:dyDescent="0.25">
      <c r="A318" t="str">
        <f t="shared" si="38"/>
        <v/>
      </c>
      <c r="B318" s="16"/>
      <c r="D318" t="str">
        <f>IF($C318="","",IFERROR(INDEX('Asset Register'!$B:$B,MATCH($C318,'Asset Register'!$A:$A,0)),""))</f>
        <v/>
      </c>
      <c r="E318" t="str">
        <f>IF($C318="","",IFERROR(INDEX('Asset Register'!$C:$C,MATCH($C318,'Asset Register'!$A:$A,0)),""))</f>
        <v/>
      </c>
      <c r="F318" t="str">
        <f>IF($C318="","",IFERROR(INDEX('Asset Register'!$D:$D,MATCH($C318,'Asset Register'!$A:$A,0)),""))</f>
        <v/>
      </c>
      <c r="J318" s="17" t="str">
        <f t="shared" si="45"/>
        <v/>
      </c>
      <c r="K318" s="17" t="str">
        <f t="shared" si="46"/>
        <v/>
      </c>
      <c r="L318" s="17" t="str">
        <f t="shared" si="39"/>
        <v/>
      </c>
      <c r="O318" t="str">
        <f>IF($C318="","",IFERROR(INDEX('Asset Register'!$G:$G,MATCH($C318,'Asset Register'!$A:$A,0)),""))</f>
        <v/>
      </c>
      <c r="Q318" t="str">
        <f t="shared" si="40"/>
        <v/>
      </c>
      <c r="R318" t="str">
        <f t="shared" si="41"/>
        <v/>
      </c>
      <c r="S318" s="17" t="str">
        <f t="shared" si="42"/>
        <v/>
      </c>
      <c r="T318" s="18" t="str">
        <f>IF($C318="","",IFERROR(INDEX('Asset Register'!$H:$H,MATCH($C318,'Asset Register'!$A:$A,0)),""))</f>
        <v/>
      </c>
      <c r="U318" s="18" t="str">
        <f t="shared" si="43"/>
        <v/>
      </c>
      <c r="V318" s="17" t="str">
        <f t="shared" si="44"/>
        <v/>
      </c>
    </row>
    <row r="319" spans="1:22" x14ac:dyDescent="0.25">
      <c r="A319" t="str">
        <f t="shared" si="38"/>
        <v/>
      </c>
      <c r="B319" s="16"/>
      <c r="D319" t="str">
        <f>IF($C319="","",IFERROR(INDEX('Asset Register'!$B:$B,MATCH($C319,'Asset Register'!$A:$A,0)),""))</f>
        <v/>
      </c>
      <c r="E319" t="str">
        <f>IF($C319="","",IFERROR(INDEX('Asset Register'!$C:$C,MATCH($C319,'Asset Register'!$A:$A,0)),""))</f>
        <v/>
      </c>
      <c r="F319" t="str">
        <f>IF($C319="","",IFERROR(INDEX('Asset Register'!$D:$D,MATCH($C319,'Asset Register'!$A:$A,0)),""))</f>
        <v/>
      </c>
      <c r="J319" s="17" t="str">
        <f t="shared" si="45"/>
        <v/>
      </c>
      <c r="K319" s="17" t="str">
        <f t="shared" si="46"/>
        <v/>
      </c>
      <c r="L319" s="17" t="str">
        <f t="shared" si="39"/>
        <v/>
      </c>
      <c r="O319" t="str">
        <f>IF($C319="","",IFERROR(INDEX('Asset Register'!$G:$G,MATCH($C319,'Asset Register'!$A:$A,0)),""))</f>
        <v/>
      </c>
      <c r="Q319" t="str">
        <f t="shared" si="40"/>
        <v/>
      </c>
      <c r="R319" t="str">
        <f t="shared" si="41"/>
        <v/>
      </c>
      <c r="S319" s="17" t="str">
        <f t="shared" si="42"/>
        <v/>
      </c>
      <c r="T319" s="18" t="str">
        <f>IF($C319="","",IFERROR(INDEX('Asset Register'!$H:$H,MATCH($C319,'Asset Register'!$A:$A,0)),""))</f>
        <v/>
      </c>
      <c r="U319" s="18" t="str">
        <f t="shared" si="43"/>
        <v/>
      </c>
      <c r="V319" s="17" t="str">
        <f t="shared" si="44"/>
        <v/>
      </c>
    </row>
    <row r="320" spans="1:22" x14ac:dyDescent="0.25">
      <c r="A320" t="str">
        <f t="shared" si="38"/>
        <v/>
      </c>
      <c r="B320" s="16"/>
      <c r="D320" t="str">
        <f>IF($C320="","",IFERROR(INDEX('Asset Register'!$B:$B,MATCH($C320,'Asset Register'!$A:$A,0)),""))</f>
        <v/>
      </c>
      <c r="E320" t="str">
        <f>IF($C320="","",IFERROR(INDEX('Asset Register'!$C:$C,MATCH($C320,'Asset Register'!$A:$A,0)),""))</f>
        <v/>
      </c>
      <c r="F320" t="str">
        <f>IF($C320="","",IFERROR(INDEX('Asset Register'!$D:$D,MATCH($C320,'Asset Register'!$A:$A,0)),""))</f>
        <v/>
      </c>
      <c r="J320" s="17" t="str">
        <f t="shared" si="45"/>
        <v/>
      </c>
      <c r="K320" s="17" t="str">
        <f t="shared" si="46"/>
        <v/>
      </c>
      <c r="L320" s="17" t="str">
        <f t="shared" si="39"/>
        <v/>
      </c>
      <c r="O320" t="str">
        <f>IF($C320="","",IFERROR(INDEX('Asset Register'!$G:$G,MATCH($C320,'Asset Register'!$A:$A,0)),""))</f>
        <v/>
      </c>
      <c r="Q320" t="str">
        <f t="shared" si="40"/>
        <v/>
      </c>
      <c r="R320" t="str">
        <f t="shared" si="41"/>
        <v/>
      </c>
      <c r="S320" s="17" t="str">
        <f t="shared" si="42"/>
        <v/>
      </c>
      <c r="T320" s="18" t="str">
        <f>IF($C320="","",IFERROR(INDEX('Asset Register'!$H:$H,MATCH($C320,'Asset Register'!$A:$A,0)),""))</f>
        <v/>
      </c>
      <c r="U320" s="18" t="str">
        <f t="shared" si="43"/>
        <v/>
      </c>
      <c r="V320" s="17" t="str">
        <f t="shared" si="44"/>
        <v/>
      </c>
    </row>
    <row r="321" spans="1:22" x14ac:dyDescent="0.25">
      <c r="A321" t="str">
        <f t="shared" si="38"/>
        <v/>
      </c>
      <c r="B321" s="16"/>
      <c r="D321" t="str">
        <f>IF($C321="","",IFERROR(INDEX('Asset Register'!$B:$B,MATCH($C321,'Asset Register'!$A:$A,0)),""))</f>
        <v/>
      </c>
      <c r="E321" t="str">
        <f>IF($C321="","",IFERROR(INDEX('Asset Register'!$C:$C,MATCH($C321,'Asset Register'!$A:$A,0)),""))</f>
        <v/>
      </c>
      <c r="F321" t="str">
        <f>IF($C321="","",IFERROR(INDEX('Asset Register'!$D:$D,MATCH($C321,'Asset Register'!$A:$A,0)),""))</f>
        <v/>
      </c>
      <c r="J321" s="17" t="str">
        <f t="shared" si="45"/>
        <v/>
      </c>
      <c r="K321" s="17" t="str">
        <f t="shared" si="46"/>
        <v/>
      </c>
      <c r="L321" s="17" t="str">
        <f t="shared" si="39"/>
        <v/>
      </c>
      <c r="O321" t="str">
        <f>IF($C321="","",IFERROR(INDEX('Asset Register'!$G:$G,MATCH($C321,'Asset Register'!$A:$A,0)),""))</f>
        <v/>
      </c>
      <c r="Q321" t="str">
        <f t="shared" si="40"/>
        <v/>
      </c>
      <c r="R321" t="str">
        <f t="shared" si="41"/>
        <v/>
      </c>
      <c r="S321" s="17" t="str">
        <f t="shared" si="42"/>
        <v/>
      </c>
      <c r="T321" s="18" t="str">
        <f>IF($C321="","",IFERROR(INDEX('Asset Register'!$H:$H,MATCH($C321,'Asset Register'!$A:$A,0)),""))</f>
        <v/>
      </c>
      <c r="U321" s="18" t="str">
        <f t="shared" si="43"/>
        <v/>
      </c>
      <c r="V321" s="17" t="str">
        <f t="shared" si="44"/>
        <v/>
      </c>
    </row>
    <row r="322" spans="1:22" x14ac:dyDescent="0.25">
      <c r="A322" t="str">
        <f t="shared" ref="A322:A385" si="47">IF(B322="","",ROW()-1)</f>
        <v/>
      </c>
      <c r="B322" s="16"/>
      <c r="D322" t="str">
        <f>IF($C322="","",IFERROR(INDEX('Asset Register'!$B:$B,MATCH($C322,'Asset Register'!$A:$A,0)),""))</f>
        <v/>
      </c>
      <c r="E322" t="str">
        <f>IF($C322="","",IFERROR(INDEX('Asset Register'!$C:$C,MATCH($C322,'Asset Register'!$A:$A,0)),""))</f>
        <v/>
      </c>
      <c r="F322" t="str">
        <f>IF($C322="","",IFERROR(INDEX('Asset Register'!$D:$D,MATCH($C322,'Asset Register'!$A:$A,0)),""))</f>
        <v/>
      </c>
      <c r="J322" s="17" t="str">
        <f t="shared" si="45"/>
        <v/>
      </c>
      <c r="K322" s="17" t="str">
        <f t="shared" si="46"/>
        <v/>
      </c>
      <c r="L322" s="17" t="str">
        <f t="shared" ref="L322:L385" si="48">IF($J322="","",1-$J322)</f>
        <v/>
      </c>
      <c r="O322" t="str">
        <f>IF($C322="","",IFERROR(INDEX('Asset Register'!$G:$G,MATCH($C322,'Asset Register'!$A:$A,0)),""))</f>
        <v/>
      </c>
      <c r="Q322" t="str">
        <f t="shared" ref="Q322:Q385" si="49">IF($O322="","",$O322*$G322)</f>
        <v/>
      </c>
      <c r="R322" t="str">
        <f t="shared" ref="R322:R385" si="50">IF(OR($P322="",$Q322=""),"",$P322-$Q322)</f>
        <v/>
      </c>
      <c r="S322" s="17" t="str">
        <f t="shared" ref="S322:S385" si="51">IF(OR($R322="",$Q322="",$Q322=0),"",$R322/$Q322)</f>
        <v/>
      </c>
      <c r="T322" s="18" t="str">
        <f>IF($C322="","",IFERROR(INDEX('Asset Register'!$H:$H,MATCH($C322,'Asset Register'!$A:$A,0)),""))</f>
        <v/>
      </c>
      <c r="U322" s="18" t="str">
        <f t="shared" ref="U322:U385" si="52">IF($T322="","",$G322*$T322)</f>
        <v/>
      </c>
      <c r="V322" s="17" t="str">
        <f t="shared" ref="V322:V385" si="53">IFERROR($H322/$G322,"")</f>
        <v/>
      </c>
    </row>
    <row r="323" spans="1:22" x14ac:dyDescent="0.25">
      <c r="A323" t="str">
        <f t="shared" si="47"/>
        <v/>
      </c>
      <c r="B323" s="16"/>
      <c r="D323" t="str">
        <f>IF($C323="","",IFERROR(INDEX('Asset Register'!$B:$B,MATCH($C323,'Asset Register'!$A:$A,0)),""))</f>
        <v/>
      </c>
      <c r="E323" t="str">
        <f>IF($C323="","",IFERROR(INDEX('Asset Register'!$C:$C,MATCH($C323,'Asset Register'!$A:$A,0)),""))</f>
        <v/>
      </c>
      <c r="F323" t="str">
        <f>IF($C323="","",IFERROR(INDEX('Asset Register'!$D:$D,MATCH($C323,'Asset Register'!$A:$A,0)),""))</f>
        <v/>
      </c>
      <c r="J323" s="17" t="str">
        <f t="shared" si="45"/>
        <v/>
      </c>
      <c r="K323" s="17" t="str">
        <f t="shared" si="46"/>
        <v/>
      </c>
      <c r="L323" s="17" t="str">
        <f t="shared" si="48"/>
        <v/>
      </c>
      <c r="O323" t="str">
        <f>IF($C323="","",IFERROR(INDEX('Asset Register'!$G:$G,MATCH($C323,'Asset Register'!$A:$A,0)),""))</f>
        <v/>
      </c>
      <c r="Q323" t="str">
        <f t="shared" si="49"/>
        <v/>
      </c>
      <c r="R323" t="str">
        <f t="shared" si="50"/>
        <v/>
      </c>
      <c r="S323" s="17" t="str">
        <f t="shared" si="51"/>
        <v/>
      </c>
      <c r="T323" s="18" t="str">
        <f>IF($C323="","",IFERROR(INDEX('Asset Register'!$H:$H,MATCH($C323,'Asset Register'!$A:$A,0)),""))</f>
        <v/>
      </c>
      <c r="U323" s="18" t="str">
        <f t="shared" si="52"/>
        <v/>
      </c>
      <c r="V323" s="17" t="str">
        <f t="shared" si="53"/>
        <v/>
      </c>
    </row>
    <row r="324" spans="1:22" x14ac:dyDescent="0.25">
      <c r="A324" t="str">
        <f t="shared" si="47"/>
        <v/>
      </c>
      <c r="B324" s="16"/>
      <c r="D324" t="str">
        <f>IF($C324="","",IFERROR(INDEX('Asset Register'!$B:$B,MATCH($C324,'Asset Register'!$A:$A,0)),""))</f>
        <v/>
      </c>
      <c r="E324" t="str">
        <f>IF($C324="","",IFERROR(INDEX('Asset Register'!$C:$C,MATCH($C324,'Asset Register'!$A:$A,0)),""))</f>
        <v/>
      </c>
      <c r="F324" t="str">
        <f>IF($C324="","",IFERROR(INDEX('Asset Register'!$D:$D,MATCH($C324,'Asset Register'!$A:$A,0)),""))</f>
        <v/>
      </c>
      <c r="J324" s="17" t="str">
        <f t="shared" si="45"/>
        <v/>
      </c>
      <c r="K324" s="17" t="str">
        <f t="shared" si="46"/>
        <v/>
      </c>
      <c r="L324" s="17" t="str">
        <f t="shared" si="48"/>
        <v/>
      </c>
      <c r="O324" t="str">
        <f>IF($C324="","",IFERROR(INDEX('Asset Register'!$G:$G,MATCH($C324,'Asset Register'!$A:$A,0)),""))</f>
        <v/>
      </c>
      <c r="Q324" t="str">
        <f t="shared" si="49"/>
        <v/>
      </c>
      <c r="R324" t="str">
        <f t="shared" si="50"/>
        <v/>
      </c>
      <c r="S324" s="17" t="str">
        <f t="shared" si="51"/>
        <v/>
      </c>
      <c r="T324" s="18" t="str">
        <f>IF($C324="","",IFERROR(INDEX('Asset Register'!$H:$H,MATCH($C324,'Asset Register'!$A:$A,0)),""))</f>
        <v/>
      </c>
      <c r="U324" s="18" t="str">
        <f t="shared" si="52"/>
        <v/>
      </c>
      <c r="V324" s="17" t="str">
        <f t="shared" si="53"/>
        <v/>
      </c>
    </row>
    <row r="325" spans="1:22" x14ac:dyDescent="0.25">
      <c r="A325" t="str">
        <f t="shared" si="47"/>
        <v/>
      </c>
      <c r="B325" s="16"/>
      <c r="D325" t="str">
        <f>IF($C325="","",IFERROR(INDEX('Asset Register'!$B:$B,MATCH($C325,'Asset Register'!$A:$A,0)),""))</f>
        <v/>
      </c>
      <c r="E325" t="str">
        <f>IF($C325="","",IFERROR(INDEX('Asset Register'!$C:$C,MATCH($C325,'Asset Register'!$A:$A,0)),""))</f>
        <v/>
      </c>
      <c r="F325" t="str">
        <f>IF($C325="","",IFERROR(INDEX('Asset Register'!$D:$D,MATCH($C325,'Asset Register'!$A:$A,0)),""))</f>
        <v/>
      </c>
      <c r="J325" s="17" t="str">
        <f t="shared" si="45"/>
        <v/>
      </c>
      <c r="K325" s="17" t="str">
        <f t="shared" si="46"/>
        <v/>
      </c>
      <c r="L325" s="17" t="str">
        <f t="shared" si="48"/>
        <v/>
      </c>
      <c r="O325" t="str">
        <f>IF($C325="","",IFERROR(INDEX('Asset Register'!$G:$G,MATCH($C325,'Asset Register'!$A:$A,0)),""))</f>
        <v/>
      </c>
      <c r="Q325" t="str">
        <f t="shared" si="49"/>
        <v/>
      </c>
      <c r="R325" t="str">
        <f t="shared" si="50"/>
        <v/>
      </c>
      <c r="S325" s="17" t="str">
        <f t="shared" si="51"/>
        <v/>
      </c>
      <c r="T325" s="18" t="str">
        <f>IF($C325="","",IFERROR(INDEX('Asset Register'!$H:$H,MATCH($C325,'Asset Register'!$A:$A,0)),""))</f>
        <v/>
      </c>
      <c r="U325" s="18" t="str">
        <f t="shared" si="52"/>
        <v/>
      </c>
      <c r="V325" s="17" t="str">
        <f t="shared" si="53"/>
        <v/>
      </c>
    </row>
    <row r="326" spans="1:22" x14ac:dyDescent="0.25">
      <c r="A326" t="str">
        <f t="shared" si="47"/>
        <v/>
      </c>
      <c r="B326" s="16"/>
      <c r="D326" t="str">
        <f>IF($C326="","",IFERROR(INDEX('Asset Register'!$B:$B,MATCH($C326,'Asset Register'!$A:$A,0)),""))</f>
        <v/>
      </c>
      <c r="E326" t="str">
        <f>IF($C326="","",IFERROR(INDEX('Asset Register'!$C:$C,MATCH($C326,'Asset Register'!$A:$A,0)),""))</f>
        <v/>
      </c>
      <c r="F326" t="str">
        <f>IF($C326="","",IFERROR(INDEX('Asset Register'!$D:$D,MATCH($C326,'Asset Register'!$A:$A,0)),""))</f>
        <v/>
      </c>
      <c r="J326" s="17" t="str">
        <f t="shared" si="45"/>
        <v/>
      </c>
      <c r="K326" s="17" t="str">
        <f t="shared" si="46"/>
        <v/>
      </c>
      <c r="L326" s="17" t="str">
        <f t="shared" si="48"/>
        <v/>
      </c>
      <c r="O326" t="str">
        <f>IF($C326="","",IFERROR(INDEX('Asset Register'!$G:$G,MATCH($C326,'Asset Register'!$A:$A,0)),""))</f>
        <v/>
      </c>
      <c r="Q326" t="str">
        <f t="shared" si="49"/>
        <v/>
      </c>
      <c r="R326" t="str">
        <f t="shared" si="50"/>
        <v/>
      </c>
      <c r="S326" s="17" t="str">
        <f t="shared" si="51"/>
        <v/>
      </c>
      <c r="T326" s="18" t="str">
        <f>IF($C326="","",IFERROR(INDEX('Asset Register'!$H:$H,MATCH($C326,'Asset Register'!$A:$A,0)),""))</f>
        <v/>
      </c>
      <c r="U326" s="18" t="str">
        <f t="shared" si="52"/>
        <v/>
      </c>
      <c r="V326" s="17" t="str">
        <f t="shared" si="53"/>
        <v/>
      </c>
    </row>
    <row r="327" spans="1:22" x14ac:dyDescent="0.25">
      <c r="A327" t="str">
        <f t="shared" si="47"/>
        <v/>
      </c>
      <c r="B327" s="16"/>
      <c r="D327" t="str">
        <f>IF($C327="","",IFERROR(INDEX('Asset Register'!$B:$B,MATCH($C327,'Asset Register'!$A:$A,0)),""))</f>
        <v/>
      </c>
      <c r="E327" t="str">
        <f>IF($C327="","",IFERROR(INDEX('Asset Register'!$C:$C,MATCH($C327,'Asset Register'!$A:$A,0)),""))</f>
        <v/>
      </c>
      <c r="F327" t="str">
        <f>IF($C327="","",IFERROR(INDEX('Asset Register'!$D:$D,MATCH($C327,'Asset Register'!$A:$A,0)),""))</f>
        <v/>
      </c>
      <c r="J327" s="17" t="str">
        <f t="shared" si="45"/>
        <v/>
      </c>
      <c r="K327" s="17" t="str">
        <f t="shared" si="46"/>
        <v/>
      </c>
      <c r="L327" s="17" t="str">
        <f t="shared" si="48"/>
        <v/>
      </c>
      <c r="O327" t="str">
        <f>IF($C327="","",IFERROR(INDEX('Asset Register'!$G:$G,MATCH($C327,'Asset Register'!$A:$A,0)),""))</f>
        <v/>
      </c>
      <c r="Q327" t="str">
        <f t="shared" si="49"/>
        <v/>
      </c>
      <c r="R327" t="str">
        <f t="shared" si="50"/>
        <v/>
      </c>
      <c r="S327" s="17" t="str">
        <f t="shared" si="51"/>
        <v/>
      </c>
      <c r="T327" s="18" t="str">
        <f>IF($C327="","",IFERROR(INDEX('Asset Register'!$H:$H,MATCH($C327,'Asset Register'!$A:$A,0)),""))</f>
        <v/>
      </c>
      <c r="U327" s="18" t="str">
        <f t="shared" si="52"/>
        <v/>
      </c>
      <c r="V327" s="17" t="str">
        <f t="shared" si="53"/>
        <v/>
      </c>
    </row>
    <row r="328" spans="1:22" x14ac:dyDescent="0.25">
      <c r="A328" t="str">
        <f t="shared" si="47"/>
        <v/>
      </c>
      <c r="B328" s="16"/>
      <c r="D328" t="str">
        <f>IF($C328="","",IFERROR(INDEX('Asset Register'!$B:$B,MATCH($C328,'Asset Register'!$A:$A,0)),""))</f>
        <v/>
      </c>
      <c r="E328" t="str">
        <f>IF($C328="","",IFERROR(INDEX('Asset Register'!$C:$C,MATCH($C328,'Asset Register'!$A:$A,0)),""))</f>
        <v/>
      </c>
      <c r="F328" t="str">
        <f>IF($C328="","",IFERROR(INDEX('Asset Register'!$D:$D,MATCH($C328,'Asset Register'!$A:$A,0)),""))</f>
        <v/>
      </c>
      <c r="J328" s="17" t="str">
        <f t="shared" si="45"/>
        <v/>
      </c>
      <c r="K328" s="17" t="str">
        <f t="shared" si="46"/>
        <v/>
      </c>
      <c r="L328" s="17" t="str">
        <f t="shared" si="48"/>
        <v/>
      </c>
      <c r="O328" t="str">
        <f>IF($C328="","",IFERROR(INDEX('Asset Register'!$G:$G,MATCH($C328,'Asset Register'!$A:$A,0)),""))</f>
        <v/>
      </c>
      <c r="Q328" t="str">
        <f t="shared" si="49"/>
        <v/>
      </c>
      <c r="R328" t="str">
        <f t="shared" si="50"/>
        <v/>
      </c>
      <c r="S328" s="17" t="str">
        <f t="shared" si="51"/>
        <v/>
      </c>
      <c r="T328" s="18" t="str">
        <f>IF($C328="","",IFERROR(INDEX('Asset Register'!$H:$H,MATCH($C328,'Asset Register'!$A:$A,0)),""))</f>
        <v/>
      </c>
      <c r="U328" s="18" t="str">
        <f t="shared" si="52"/>
        <v/>
      </c>
      <c r="V328" s="17" t="str">
        <f t="shared" si="53"/>
        <v/>
      </c>
    </row>
    <row r="329" spans="1:22" x14ac:dyDescent="0.25">
      <c r="A329" t="str">
        <f t="shared" si="47"/>
        <v/>
      </c>
      <c r="B329" s="16"/>
      <c r="D329" t="str">
        <f>IF($C329="","",IFERROR(INDEX('Asset Register'!$B:$B,MATCH($C329,'Asset Register'!$A:$A,0)),""))</f>
        <v/>
      </c>
      <c r="E329" t="str">
        <f>IF($C329="","",IFERROR(INDEX('Asset Register'!$C:$C,MATCH($C329,'Asset Register'!$A:$A,0)),""))</f>
        <v/>
      </c>
      <c r="F329" t="str">
        <f>IF($C329="","",IFERROR(INDEX('Asset Register'!$D:$D,MATCH($C329,'Asset Register'!$A:$A,0)),""))</f>
        <v/>
      </c>
      <c r="J329" s="17" t="str">
        <f t="shared" si="45"/>
        <v/>
      </c>
      <c r="K329" s="17" t="str">
        <f t="shared" si="46"/>
        <v/>
      </c>
      <c r="L329" s="17" t="str">
        <f t="shared" si="48"/>
        <v/>
      </c>
      <c r="O329" t="str">
        <f>IF($C329="","",IFERROR(INDEX('Asset Register'!$G:$G,MATCH($C329,'Asset Register'!$A:$A,0)),""))</f>
        <v/>
      </c>
      <c r="Q329" t="str">
        <f t="shared" si="49"/>
        <v/>
      </c>
      <c r="R329" t="str">
        <f t="shared" si="50"/>
        <v/>
      </c>
      <c r="S329" s="17" t="str">
        <f t="shared" si="51"/>
        <v/>
      </c>
      <c r="T329" s="18" t="str">
        <f>IF($C329="","",IFERROR(INDEX('Asset Register'!$H:$H,MATCH($C329,'Asset Register'!$A:$A,0)),""))</f>
        <v/>
      </c>
      <c r="U329" s="18" t="str">
        <f t="shared" si="52"/>
        <v/>
      </c>
      <c r="V329" s="17" t="str">
        <f t="shared" si="53"/>
        <v/>
      </c>
    </row>
    <row r="330" spans="1:22" x14ac:dyDescent="0.25">
      <c r="A330" t="str">
        <f t="shared" si="47"/>
        <v/>
      </c>
      <c r="B330" s="16"/>
      <c r="D330" t="str">
        <f>IF($C330="","",IFERROR(INDEX('Asset Register'!$B:$B,MATCH($C330,'Asset Register'!$A:$A,0)),""))</f>
        <v/>
      </c>
      <c r="E330" t="str">
        <f>IF($C330="","",IFERROR(INDEX('Asset Register'!$C:$C,MATCH($C330,'Asset Register'!$A:$A,0)),""))</f>
        <v/>
      </c>
      <c r="F330" t="str">
        <f>IF($C330="","",IFERROR(INDEX('Asset Register'!$D:$D,MATCH($C330,'Asset Register'!$A:$A,0)),""))</f>
        <v/>
      </c>
      <c r="J330" s="17" t="str">
        <f t="shared" si="45"/>
        <v/>
      </c>
      <c r="K330" s="17" t="str">
        <f t="shared" si="46"/>
        <v/>
      </c>
      <c r="L330" s="17" t="str">
        <f t="shared" si="48"/>
        <v/>
      </c>
      <c r="O330" t="str">
        <f>IF($C330="","",IFERROR(INDEX('Asset Register'!$G:$G,MATCH($C330,'Asset Register'!$A:$A,0)),""))</f>
        <v/>
      </c>
      <c r="Q330" t="str">
        <f t="shared" si="49"/>
        <v/>
      </c>
      <c r="R330" t="str">
        <f t="shared" si="50"/>
        <v/>
      </c>
      <c r="S330" s="17" t="str">
        <f t="shared" si="51"/>
        <v/>
      </c>
      <c r="T330" s="18" t="str">
        <f>IF($C330="","",IFERROR(INDEX('Asset Register'!$H:$H,MATCH($C330,'Asset Register'!$A:$A,0)),""))</f>
        <v/>
      </c>
      <c r="U330" s="18" t="str">
        <f t="shared" si="52"/>
        <v/>
      </c>
      <c r="V330" s="17" t="str">
        <f t="shared" si="53"/>
        <v/>
      </c>
    </row>
    <row r="331" spans="1:22" x14ac:dyDescent="0.25">
      <c r="A331" t="str">
        <f t="shared" si="47"/>
        <v/>
      </c>
      <c r="B331" s="16"/>
      <c r="D331" t="str">
        <f>IF($C331="","",IFERROR(INDEX('Asset Register'!$B:$B,MATCH($C331,'Asset Register'!$A:$A,0)),""))</f>
        <v/>
      </c>
      <c r="E331" t="str">
        <f>IF($C331="","",IFERROR(INDEX('Asset Register'!$C:$C,MATCH($C331,'Asset Register'!$A:$A,0)),""))</f>
        <v/>
      </c>
      <c r="F331" t="str">
        <f>IF($C331="","",IFERROR(INDEX('Asset Register'!$D:$D,MATCH($C331,'Asset Register'!$A:$A,0)),""))</f>
        <v/>
      </c>
      <c r="J331" s="17" t="str">
        <f t="shared" si="45"/>
        <v/>
      </c>
      <c r="K331" s="17" t="str">
        <f t="shared" si="46"/>
        <v/>
      </c>
      <c r="L331" s="17" t="str">
        <f t="shared" si="48"/>
        <v/>
      </c>
      <c r="O331" t="str">
        <f>IF($C331="","",IFERROR(INDEX('Asset Register'!$G:$G,MATCH($C331,'Asset Register'!$A:$A,0)),""))</f>
        <v/>
      </c>
      <c r="Q331" t="str">
        <f t="shared" si="49"/>
        <v/>
      </c>
      <c r="R331" t="str">
        <f t="shared" si="50"/>
        <v/>
      </c>
      <c r="S331" s="17" t="str">
        <f t="shared" si="51"/>
        <v/>
      </c>
      <c r="T331" s="18" t="str">
        <f>IF($C331="","",IFERROR(INDEX('Asset Register'!$H:$H,MATCH($C331,'Asset Register'!$A:$A,0)),""))</f>
        <v/>
      </c>
      <c r="U331" s="18" t="str">
        <f t="shared" si="52"/>
        <v/>
      </c>
      <c r="V331" s="17" t="str">
        <f t="shared" si="53"/>
        <v/>
      </c>
    </row>
    <row r="332" spans="1:22" x14ac:dyDescent="0.25">
      <c r="A332" t="str">
        <f t="shared" si="47"/>
        <v/>
      </c>
      <c r="B332" s="16"/>
      <c r="D332" t="str">
        <f>IF($C332="","",IFERROR(INDEX('Asset Register'!$B:$B,MATCH($C332,'Asset Register'!$A:$A,0)),""))</f>
        <v/>
      </c>
      <c r="E332" t="str">
        <f>IF($C332="","",IFERROR(INDEX('Asset Register'!$C:$C,MATCH($C332,'Asset Register'!$A:$A,0)),""))</f>
        <v/>
      </c>
      <c r="F332" t="str">
        <f>IF($C332="","",IFERROR(INDEX('Asset Register'!$D:$D,MATCH($C332,'Asset Register'!$A:$A,0)),""))</f>
        <v/>
      </c>
      <c r="J332" s="17" t="str">
        <f t="shared" si="45"/>
        <v/>
      </c>
      <c r="K332" s="17" t="str">
        <f t="shared" si="46"/>
        <v/>
      </c>
      <c r="L332" s="17" t="str">
        <f t="shared" si="48"/>
        <v/>
      </c>
      <c r="O332" t="str">
        <f>IF($C332="","",IFERROR(INDEX('Asset Register'!$G:$G,MATCH($C332,'Asset Register'!$A:$A,0)),""))</f>
        <v/>
      </c>
      <c r="Q332" t="str">
        <f t="shared" si="49"/>
        <v/>
      </c>
      <c r="R332" t="str">
        <f t="shared" si="50"/>
        <v/>
      </c>
      <c r="S332" s="17" t="str">
        <f t="shared" si="51"/>
        <v/>
      </c>
      <c r="T332" s="18" t="str">
        <f>IF($C332="","",IFERROR(INDEX('Asset Register'!$H:$H,MATCH($C332,'Asset Register'!$A:$A,0)),""))</f>
        <v/>
      </c>
      <c r="U332" s="18" t="str">
        <f t="shared" si="52"/>
        <v/>
      </c>
      <c r="V332" s="17" t="str">
        <f t="shared" si="53"/>
        <v/>
      </c>
    </row>
    <row r="333" spans="1:22" x14ac:dyDescent="0.25">
      <c r="A333" t="str">
        <f t="shared" si="47"/>
        <v/>
      </c>
      <c r="B333" s="16"/>
      <c r="D333" t="str">
        <f>IF($C333="","",IFERROR(INDEX('Asset Register'!$B:$B,MATCH($C333,'Asset Register'!$A:$A,0)),""))</f>
        <v/>
      </c>
      <c r="E333" t="str">
        <f>IF($C333="","",IFERROR(INDEX('Asset Register'!$C:$C,MATCH($C333,'Asset Register'!$A:$A,0)),""))</f>
        <v/>
      </c>
      <c r="F333" t="str">
        <f>IF($C333="","",IFERROR(INDEX('Asset Register'!$D:$D,MATCH($C333,'Asset Register'!$A:$A,0)),""))</f>
        <v/>
      </c>
      <c r="J333" s="17" t="str">
        <f t="shared" si="45"/>
        <v/>
      </c>
      <c r="K333" s="17" t="str">
        <f t="shared" si="46"/>
        <v/>
      </c>
      <c r="L333" s="17" t="str">
        <f t="shared" si="48"/>
        <v/>
      </c>
      <c r="O333" t="str">
        <f>IF($C333="","",IFERROR(INDEX('Asset Register'!$G:$G,MATCH($C333,'Asset Register'!$A:$A,0)),""))</f>
        <v/>
      </c>
      <c r="Q333" t="str">
        <f t="shared" si="49"/>
        <v/>
      </c>
      <c r="R333" t="str">
        <f t="shared" si="50"/>
        <v/>
      </c>
      <c r="S333" s="17" t="str">
        <f t="shared" si="51"/>
        <v/>
      </c>
      <c r="T333" s="18" t="str">
        <f>IF($C333="","",IFERROR(INDEX('Asset Register'!$H:$H,MATCH($C333,'Asset Register'!$A:$A,0)),""))</f>
        <v/>
      </c>
      <c r="U333" s="18" t="str">
        <f t="shared" si="52"/>
        <v/>
      </c>
      <c r="V333" s="17" t="str">
        <f t="shared" si="53"/>
        <v/>
      </c>
    </row>
    <row r="334" spans="1:22" x14ac:dyDescent="0.25">
      <c r="A334" t="str">
        <f t="shared" si="47"/>
        <v/>
      </c>
      <c r="B334" s="16"/>
      <c r="D334" t="str">
        <f>IF($C334="","",IFERROR(INDEX('Asset Register'!$B:$B,MATCH($C334,'Asset Register'!$A:$A,0)),""))</f>
        <v/>
      </c>
      <c r="E334" t="str">
        <f>IF($C334="","",IFERROR(INDEX('Asset Register'!$C:$C,MATCH($C334,'Asset Register'!$A:$A,0)),""))</f>
        <v/>
      </c>
      <c r="F334" t="str">
        <f>IF($C334="","",IFERROR(INDEX('Asset Register'!$D:$D,MATCH($C334,'Asset Register'!$A:$A,0)),""))</f>
        <v/>
      </c>
      <c r="J334" s="17" t="str">
        <f t="shared" si="45"/>
        <v/>
      </c>
      <c r="K334" s="17" t="str">
        <f t="shared" si="46"/>
        <v/>
      </c>
      <c r="L334" s="17" t="str">
        <f t="shared" si="48"/>
        <v/>
      </c>
      <c r="O334" t="str">
        <f>IF($C334="","",IFERROR(INDEX('Asset Register'!$G:$G,MATCH($C334,'Asset Register'!$A:$A,0)),""))</f>
        <v/>
      </c>
      <c r="Q334" t="str">
        <f t="shared" si="49"/>
        <v/>
      </c>
      <c r="R334" t="str">
        <f t="shared" si="50"/>
        <v/>
      </c>
      <c r="S334" s="17" t="str">
        <f t="shared" si="51"/>
        <v/>
      </c>
      <c r="T334" s="18" t="str">
        <f>IF($C334="","",IFERROR(INDEX('Asset Register'!$H:$H,MATCH($C334,'Asset Register'!$A:$A,0)),""))</f>
        <v/>
      </c>
      <c r="U334" s="18" t="str">
        <f t="shared" si="52"/>
        <v/>
      </c>
      <c r="V334" s="17" t="str">
        <f t="shared" si="53"/>
        <v/>
      </c>
    </row>
    <row r="335" spans="1:22" x14ac:dyDescent="0.25">
      <c r="A335" t="str">
        <f t="shared" si="47"/>
        <v/>
      </c>
      <c r="B335" s="16"/>
      <c r="D335" t="str">
        <f>IF($C335="","",IFERROR(INDEX('Asset Register'!$B:$B,MATCH($C335,'Asset Register'!$A:$A,0)),""))</f>
        <v/>
      </c>
      <c r="E335" t="str">
        <f>IF($C335="","",IFERROR(INDEX('Asset Register'!$C:$C,MATCH($C335,'Asset Register'!$A:$A,0)),""))</f>
        <v/>
      </c>
      <c r="F335" t="str">
        <f>IF($C335="","",IFERROR(INDEX('Asset Register'!$D:$D,MATCH($C335,'Asset Register'!$A:$A,0)),""))</f>
        <v/>
      </c>
      <c r="J335" s="17" t="str">
        <f t="shared" si="45"/>
        <v/>
      </c>
      <c r="K335" s="17" t="str">
        <f t="shared" si="46"/>
        <v/>
      </c>
      <c r="L335" s="17" t="str">
        <f t="shared" si="48"/>
        <v/>
      </c>
      <c r="O335" t="str">
        <f>IF($C335="","",IFERROR(INDEX('Asset Register'!$G:$G,MATCH($C335,'Asset Register'!$A:$A,0)),""))</f>
        <v/>
      </c>
      <c r="Q335" t="str">
        <f t="shared" si="49"/>
        <v/>
      </c>
      <c r="R335" t="str">
        <f t="shared" si="50"/>
        <v/>
      </c>
      <c r="S335" s="17" t="str">
        <f t="shared" si="51"/>
        <v/>
      </c>
      <c r="T335" s="18" t="str">
        <f>IF($C335="","",IFERROR(INDEX('Asset Register'!$H:$H,MATCH($C335,'Asset Register'!$A:$A,0)),""))</f>
        <v/>
      </c>
      <c r="U335" s="18" t="str">
        <f t="shared" si="52"/>
        <v/>
      </c>
      <c r="V335" s="17" t="str">
        <f t="shared" si="53"/>
        <v/>
      </c>
    </row>
    <row r="336" spans="1:22" x14ac:dyDescent="0.25">
      <c r="A336" t="str">
        <f t="shared" si="47"/>
        <v/>
      </c>
      <c r="B336" s="16"/>
      <c r="D336" t="str">
        <f>IF($C336="","",IFERROR(INDEX('Asset Register'!$B:$B,MATCH($C336,'Asset Register'!$A:$A,0)),""))</f>
        <v/>
      </c>
      <c r="E336" t="str">
        <f>IF($C336="","",IFERROR(INDEX('Asset Register'!$C:$C,MATCH($C336,'Asset Register'!$A:$A,0)),""))</f>
        <v/>
      </c>
      <c r="F336" t="str">
        <f>IF($C336="","",IFERROR(INDEX('Asset Register'!$D:$D,MATCH($C336,'Asset Register'!$A:$A,0)),""))</f>
        <v/>
      </c>
      <c r="J336" s="17" t="str">
        <f t="shared" si="45"/>
        <v/>
      </c>
      <c r="K336" s="17" t="str">
        <f t="shared" si="46"/>
        <v/>
      </c>
      <c r="L336" s="17" t="str">
        <f t="shared" si="48"/>
        <v/>
      </c>
      <c r="O336" t="str">
        <f>IF($C336="","",IFERROR(INDEX('Asset Register'!$G:$G,MATCH($C336,'Asset Register'!$A:$A,0)),""))</f>
        <v/>
      </c>
      <c r="Q336" t="str">
        <f t="shared" si="49"/>
        <v/>
      </c>
      <c r="R336" t="str">
        <f t="shared" si="50"/>
        <v/>
      </c>
      <c r="S336" s="17" t="str">
        <f t="shared" si="51"/>
        <v/>
      </c>
      <c r="T336" s="18" t="str">
        <f>IF($C336="","",IFERROR(INDEX('Asset Register'!$H:$H,MATCH($C336,'Asset Register'!$A:$A,0)),""))</f>
        <v/>
      </c>
      <c r="U336" s="18" t="str">
        <f t="shared" si="52"/>
        <v/>
      </c>
      <c r="V336" s="17" t="str">
        <f t="shared" si="53"/>
        <v/>
      </c>
    </row>
    <row r="337" spans="1:22" x14ac:dyDescent="0.25">
      <c r="A337" t="str">
        <f t="shared" si="47"/>
        <v/>
      </c>
      <c r="B337" s="16"/>
      <c r="D337" t="str">
        <f>IF($C337="","",IFERROR(INDEX('Asset Register'!$B:$B,MATCH($C337,'Asset Register'!$A:$A,0)),""))</f>
        <v/>
      </c>
      <c r="E337" t="str">
        <f>IF($C337="","",IFERROR(INDEX('Asset Register'!$C:$C,MATCH($C337,'Asset Register'!$A:$A,0)),""))</f>
        <v/>
      </c>
      <c r="F337" t="str">
        <f>IF($C337="","",IFERROR(INDEX('Asset Register'!$D:$D,MATCH($C337,'Asset Register'!$A:$A,0)),""))</f>
        <v/>
      </c>
      <c r="J337" s="17" t="str">
        <f t="shared" ref="J337:J400" si="54">IF(OR($G337="",$G337+$I337=0),"",$G337/($G337+$I337))</f>
        <v/>
      </c>
      <c r="K337" s="17" t="str">
        <f t="shared" ref="K337:K400" si="55">IF(OR($G337="",$G337+$H337+$I337=0),"",$G337/($G337+$H337+$I337))</f>
        <v/>
      </c>
      <c r="L337" s="17" t="str">
        <f t="shared" si="48"/>
        <v/>
      </c>
      <c r="O337" t="str">
        <f>IF($C337="","",IFERROR(INDEX('Asset Register'!$G:$G,MATCH($C337,'Asset Register'!$A:$A,0)),""))</f>
        <v/>
      </c>
      <c r="Q337" t="str">
        <f t="shared" si="49"/>
        <v/>
      </c>
      <c r="R337" t="str">
        <f t="shared" si="50"/>
        <v/>
      </c>
      <c r="S337" s="17" t="str">
        <f t="shared" si="51"/>
        <v/>
      </c>
      <c r="T337" s="18" t="str">
        <f>IF($C337="","",IFERROR(INDEX('Asset Register'!$H:$H,MATCH($C337,'Asset Register'!$A:$A,0)),""))</f>
        <v/>
      </c>
      <c r="U337" s="18" t="str">
        <f t="shared" si="52"/>
        <v/>
      </c>
      <c r="V337" s="17" t="str">
        <f t="shared" si="53"/>
        <v/>
      </c>
    </row>
    <row r="338" spans="1:22" x14ac:dyDescent="0.25">
      <c r="A338" t="str">
        <f t="shared" si="47"/>
        <v/>
      </c>
      <c r="B338" s="16"/>
      <c r="D338" t="str">
        <f>IF($C338="","",IFERROR(INDEX('Asset Register'!$B:$B,MATCH($C338,'Asset Register'!$A:$A,0)),""))</f>
        <v/>
      </c>
      <c r="E338" t="str">
        <f>IF($C338="","",IFERROR(INDEX('Asset Register'!$C:$C,MATCH($C338,'Asset Register'!$A:$A,0)),""))</f>
        <v/>
      </c>
      <c r="F338" t="str">
        <f>IF($C338="","",IFERROR(INDEX('Asset Register'!$D:$D,MATCH($C338,'Asset Register'!$A:$A,0)),""))</f>
        <v/>
      </c>
      <c r="J338" s="17" t="str">
        <f t="shared" si="54"/>
        <v/>
      </c>
      <c r="K338" s="17" t="str">
        <f t="shared" si="55"/>
        <v/>
      </c>
      <c r="L338" s="17" t="str">
        <f t="shared" si="48"/>
        <v/>
      </c>
      <c r="O338" t="str">
        <f>IF($C338="","",IFERROR(INDEX('Asset Register'!$G:$G,MATCH($C338,'Asset Register'!$A:$A,0)),""))</f>
        <v/>
      </c>
      <c r="Q338" t="str">
        <f t="shared" si="49"/>
        <v/>
      </c>
      <c r="R338" t="str">
        <f t="shared" si="50"/>
        <v/>
      </c>
      <c r="S338" s="17" t="str">
        <f t="shared" si="51"/>
        <v/>
      </c>
      <c r="T338" s="18" t="str">
        <f>IF($C338="","",IFERROR(INDEX('Asset Register'!$H:$H,MATCH($C338,'Asset Register'!$A:$A,0)),""))</f>
        <v/>
      </c>
      <c r="U338" s="18" t="str">
        <f t="shared" si="52"/>
        <v/>
      </c>
      <c r="V338" s="17" t="str">
        <f t="shared" si="53"/>
        <v/>
      </c>
    </row>
    <row r="339" spans="1:22" x14ac:dyDescent="0.25">
      <c r="A339" t="str">
        <f t="shared" si="47"/>
        <v/>
      </c>
      <c r="B339" s="16"/>
      <c r="D339" t="str">
        <f>IF($C339="","",IFERROR(INDEX('Asset Register'!$B:$B,MATCH($C339,'Asset Register'!$A:$A,0)),""))</f>
        <v/>
      </c>
      <c r="E339" t="str">
        <f>IF($C339="","",IFERROR(INDEX('Asset Register'!$C:$C,MATCH($C339,'Asset Register'!$A:$A,0)),""))</f>
        <v/>
      </c>
      <c r="F339" t="str">
        <f>IF($C339="","",IFERROR(INDEX('Asset Register'!$D:$D,MATCH($C339,'Asset Register'!$A:$A,0)),""))</f>
        <v/>
      </c>
      <c r="J339" s="17" t="str">
        <f t="shared" si="54"/>
        <v/>
      </c>
      <c r="K339" s="17" t="str">
        <f t="shared" si="55"/>
        <v/>
      </c>
      <c r="L339" s="17" t="str">
        <f t="shared" si="48"/>
        <v/>
      </c>
      <c r="O339" t="str">
        <f>IF($C339="","",IFERROR(INDEX('Asset Register'!$G:$G,MATCH($C339,'Asset Register'!$A:$A,0)),""))</f>
        <v/>
      </c>
      <c r="Q339" t="str">
        <f t="shared" si="49"/>
        <v/>
      </c>
      <c r="R339" t="str">
        <f t="shared" si="50"/>
        <v/>
      </c>
      <c r="S339" s="17" t="str">
        <f t="shared" si="51"/>
        <v/>
      </c>
      <c r="T339" s="18" t="str">
        <f>IF($C339="","",IFERROR(INDEX('Asset Register'!$H:$H,MATCH($C339,'Asset Register'!$A:$A,0)),""))</f>
        <v/>
      </c>
      <c r="U339" s="18" t="str">
        <f t="shared" si="52"/>
        <v/>
      </c>
      <c r="V339" s="17" t="str">
        <f t="shared" si="53"/>
        <v/>
      </c>
    </row>
    <row r="340" spans="1:22" x14ac:dyDescent="0.25">
      <c r="A340" t="str">
        <f t="shared" si="47"/>
        <v/>
      </c>
      <c r="B340" s="16"/>
      <c r="D340" t="str">
        <f>IF($C340="","",IFERROR(INDEX('Asset Register'!$B:$B,MATCH($C340,'Asset Register'!$A:$A,0)),""))</f>
        <v/>
      </c>
      <c r="E340" t="str">
        <f>IF($C340="","",IFERROR(INDEX('Asset Register'!$C:$C,MATCH($C340,'Asset Register'!$A:$A,0)),""))</f>
        <v/>
      </c>
      <c r="F340" t="str">
        <f>IF($C340="","",IFERROR(INDEX('Asset Register'!$D:$D,MATCH($C340,'Asset Register'!$A:$A,0)),""))</f>
        <v/>
      </c>
      <c r="J340" s="17" t="str">
        <f t="shared" si="54"/>
        <v/>
      </c>
      <c r="K340" s="17" t="str">
        <f t="shared" si="55"/>
        <v/>
      </c>
      <c r="L340" s="17" t="str">
        <f t="shared" si="48"/>
        <v/>
      </c>
      <c r="O340" t="str">
        <f>IF($C340="","",IFERROR(INDEX('Asset Register'!$G:$G,MATCH($C340,'Asset Register'!$A:$A,0)),""))</f>
        <v/>
      </c>
      <c r="Q340" t="str">
        <f t="shared" si="49"/>
        <v/>
      </c>
      <c r="R340" t="str">
        <f t="shared" si="50"/>
        <v/>
      </c>
      <c r="S340" s="17" t="str">
        <f t="shared" si="51"/>
        <v/>
      </c>
      <c r="T340" s="18" t="str">
        <f>IF($C340="","",IFERROR(INDEX('Asset Register'!$H:$H,MATCH($C340,'Asset Register'!$A:$A,0)),""))</f>
        <v/>
      </c>
      <c r="U340" s="18" t="str">
        <f t="shared" si="52"/>
        <v/>
      </c>
      <c r="V340" s="17" t="str">
        <f t="shared" si="53"/>
        <v/>
      </c>
    </row>
    <row r="341" spans="1:22" x14ac:dyDescent="0.25">
      <c r="A341" t="str">
        <f t="shared" si="47"/>
        <v/>
      </c>
      <c r="B341" s="16"/>
      <c r="D341" t="str">
        <f>IF($C341="","",IFERROR(INDEX('Asset Register'!$B:$B,MATCH($C341,'Asset Register'!$A:$A,0)),""))</f>
        <v/>
      </c>
      <c r="E341" t="str">
        <f>IF($C341="","",IFERROR(INDEX('Asset Register'!$C:$C,MATCH($C341,'Asset Register'!$A:$A,0)),""))</f>
        <v/>
      </c>
      <c r="F341" t="str">
        <f>IF($C341="","",IFERROR(INDEX('Asset Register'!$D:$D,MATCH($C341,'Asset Register'!$A:$A,0)),""))</f>
        <v/>
      </c>
      <c r="J341" s="17" t="str">
        <f t="shared" si="54"/>
        <v/>
      </c>
      <c r="K341" s="17" t="str">
        <f t="shared" si="55"/>
        <v/>
      </c>
      <c r="L341" s="17" t="str">
        <f t="shared" si="48"/>
        <v/>
      </c>
      <c r="O341" t="str">
        <f>IF($C341="","",IFERROR(INDEX('Asset Register'!$G:$G,MATCH($C341,'Asset Register'!$A:$A,0)),""))</f>
        <v/>
      </c>
      <c r="Q341" t="str">
        <f t="shared" si="49"/>
        <v/>
      </c>
      <c r="R341" t="str">
        <f t="shared" si="50"/>
        <v/>
      </c>
      <c r="S341" s="17" t="str">
        <f t="shared" si="51"/>
        <v/>
      </c>
      <c r="T341" s="18" t="str">
        <f>IF($C341="","",IFERROR(INDEX('Asset Register'!$H:$H,MATCH($C341,'Asset Register'!$A:$A,0)),""))</f>
        <v/>
      </c>
      <c r="U341" s="18" t="str">
        <f t="shared" si="52"/>
        <v/>
      </c>
      <c r="V341" s="17" t="str">
        <f t="shared" si="53"/>
        <v/>
      </c>
    </row>
    <row r="342" spans="1:22" x14ac:dyDescent="0.25">
      <c r="A342" t="str">
        <f t="shared" si="47"/>
        <v/>
      </c>
      <c r="B342" s="16"/>
      <c r="D342" t="str">
        <f>IF($C342="","",IFERROR(INDEX('Asset Register'!$B:$B,MATCH($C342,'Asset Register'!$A:$A,0)),""))</f>
        <v/>
      </c>
      <c r="E342" t="str">
        <f>IF($C342="","",IFERROR(INDEX('Asset Register'!$C:$C,MATCH($C342,'Asset Register'!$A:$A,0)),""))</f>
        <v/>
      </c>
      <c r="F342" t="str">
        <f>IF($C342="","",IFERROR(INDEX('Asset Register'!$D:$D,MATCH($C342,'Asset Register'!$A:$A,0)),""))</f>
        <v/>
      </c>
      <c r="J342" s="17" t="str">
        <f t="shared" si="54"/>
        <v/>
      </c>
      <c r="K342" s="17" t="str">
        <f t="shared" si="55"/>
        <v/>
      </c>
      <c r="L342" s="17" t="str">
        <f t="shared" si="48"/>
        <v/>
      </c>
      <c r="O342" t="str">
        <f>IF($C342="","",IFERROR(INDEX('Asset Register'!$G:$G,MATCH($C342,'Asset Register'!$A:$A,0)),""))</f>
        <v/>
      </c>
      <c r="Q342" t="str">
        <f t="shared" si="49"/>
        <v/>
      </c>
      <c r="R342" t="str">
        <f t="shared" si="50"/>
        <v/>
      </c>
      <c r="S342" s="17" t="str">
        <f t="shared" si="51"/>
        <v/>
      </c>
      <c r="T342" s="18" t="str">
        <f>IF($C342="","",IFERROR(INDEX('Asset Register'!$H:$H,MATCH($C342,'Asset Register'!$A:$A,0)),""))</f>
        <v/>
      </c>
      <c r="U342" s="18" t="str">
        <f t="shared" si="52"/>
        <v/>
      </c>
      <c r="V342" s="17" t="str">
        <f t="shared" si="53"/>
        <v/>
      </c>
    </row>
    <row r="343" spans="1:22" x14ac:dyDescent="0.25">
      <c r="A343" t="str">
        <f t="shared" si="47"/>
        <v/>
      </c>
      <c r="B343" s="16"/>
      <c r="D343" t="str">
        <f>IF($C343="","",IFERROR(INDEX('Asset Register'!$B:$B,MATCH($C343,'Asset Register'!$A:$A,0)),""))</f>
        <v/>
      </c>
      <c r="E343" t="str">
        <f>IF($C343="","",IFERROR(INDEX('Asset Register'!$C:$C,MATCH($C343,'Asset Register'!$A:$A,0)),""))</f>
        <v/>
      </c>
      <c r="F343" t="str">
        <f>IF($C343="","",IFERROR(INDEX('Asset Register'!$D:$D,MATCH($C343,'Asset Register'!$A:$A,0)),""))</f>
        <v/>
      </c>
      <c r="J343" s="17" t="str">
        <f t="shared" si="54"/>
        <v/>
      </c>
      <c r="K343" s="17" t="str">
        <f t="shared" si="55"/>
        <v/>
      </c>
      <c r="L343" s="17" t="str">
        <f t="shared" si="48"/>
        <v/>
      </c>
      <c r="O343" t="str">
        <f>IF($C343="","",IFERROR(INDEX('Asset Register'!$G:$G,MATCH($C343,'Asset Register'!$A:$A,0)),""))</f>
        <v/>
      </c>
      <c r="Q343" t="str">
        <f t="shared" si="49"/>
        <v/>
      </c>
      <c r="R343" t="str">
        <f t="shared" si="50"/>
        <v/>
      </c>
      <c r="S343" s="17" t="str">
        <f t="shared" si="51"/>
        <v/>
      </c>
      <c r="T343" s="18" t="str">
        <f>IF($C343="","",IFERROR(INDEX('Asset Register'!$H:$H,MATCH($C343,'Asset Register'!$A:$A,0)),""))</f>
        <v/>
      </c>
      <c r="U343" s="18" t="str">
        <f t="shared" si="52"/>
        <v/>
      </c>
      <c r="V343" s="17" t="str">
        <f t="shared" si="53"/>
        <v/>
      </c>
    </row>
    <row r="344" spans="1:22" x14ac:dyDescent="0.25">
      <c r="A344" t="str">
        <f t="shared" si="47"/>
        <v/>
      </c>
      <c r="B344" s="16"/>
      <c r="D344" t="str">
        <f>IF($C344="","",IFERROR(INDEX('Asset Register'!$B:$B,MATCH($C344,'Asset Register'!$A:$A,0)),""))</f>
        <v/>
      </c>
      <c r="E344" t="str">
        <f>IF($C344="","",IFERROR(INDEX('Asset Register'!$C:$C,MATCH($C344,'Asset Register'!$A:$A,0)),""))</f>
        <v/>
      </c>
      <c r="F344" t="str">
        <f>IF($C344="","",IFERROR(INDEX('Asset Register'!$D:$D,MATCH($C344,'Asset Register'!$A:$A,0)),""))</f>
        <v/>
      </c>
      <c r="J344" s="17" t="str">
        <f t="shared" si="54"/>
        <v/>
      </c>
      <c r="K344" s="17" t="str">
        <f t="shared" si="55"/>
        <v/>
      </c>
      <c r="L344" s="17" t="str">
        <f t="shared" si="48"/>
        <v/>
      </c>
      <c r="O344" t="str">
        <f>IF($C344="","",IFERROR(INDEX('Asset Register'!$G:$G,MATCH($C344,'Asset Register'!$A:$A,0)),""))</f>
        <v/>
      </c>
      <c r="Q344" t="str">
        <f t="shared" si="49"/>
        <v/>
      </c>
      <c r="R344" t="str">
        <f t="shared" si="50"/>
        <v/>
      </c>
      <c r="S344" s="17" t="str">
        <f t="shared" si="51"/>
        <v/>
      </c>
      <c r="T344" s="18" t="str">
        <f>IF($C344="","",IFERROR(INDEX('Asset Register'!$H:$H,MATCH($C344,'Asset Register'!$A:$A,0)),""))</f>
        <v/>
      </c>
      <c r="U344" s="18" t="str">
        <f t="shared" si="52"/>
        <v/>
      </c>
      <c r="V344" s="17" t="str">
        <f t="shared" si="53"/>
        <v/>
      </c>
    </row>
    <row r="345" spans="1:22" x14ac:dyDescent="0.25">
      <c r="A345" t="str">
        <f t="shared" si="47"/>
        <v/>
      </c>
      <c r="B345" s="16"/>
      <c r="D345" t="str">
        <f>IF($C345="","",IFERROR(INDEX('Asset Register'!$B:$B,MATCH($C345,'Asset Register'!$A:$A,0)),""))</f>
        <v/>
      </c>
      <c r="E345" t="str">
        <f>IF($C345="","",IFERROR(INDEX('Asset Register'!$C:$C,MATCH($C345,'Asset Register'!$A:$A,0)),""))</f>
        <v/>
      </c>
      <c r="F345" t="str">
        <f>IF($C345="","",IFERROR(INDEX('Asset Register'!$D:$D,MATCH($C345,'Asset Register'!$A:$A,0)),""))</f>
        <v/>
      </c>
      <c r="J345" s="17" t="str">
        <f t="shared" si="54"/>
        <v/>
      </c>
      <c r="K345" s="17" t="str">
        <f t="shared" si="55"/>
        <v/>
      </c>
      <c r="L345" s="17" t="str">
        <f t="shared" si="48"/>
        <v/>
      </c>
      <c r="O345" t="str">
        <f>IF($C345="","",IFERROR(INDEX('Asset Register'!$G:$G,MATCH($C345,'Asset Register'!$A:$A,0)),""))</f>
        <v/>
      </c>
      <c r="Q345" t="str">
        <f t="shared" si="49"/>
        <v/>
      </c>
      <c r="R345" t="str">
        <f t="shared" si="50"/>
        <v/>
      </c>
      <c r="S345" s="17" t="str">
        <f t="shared" si="51"/>
        <v/>
      </c>
      <c r="T345" s="18" t="str">
        <f>IF($C345="","",IFERROR(INDEX('Asset Register'!$H:$H,MATCH($C345,'Asset Register'!$A:$A,0)),""))</f>
        <v/>
      </c>
      <c r="U345" s="18" t="str">
        <f t="shared" si="52"/>
        <v/>
      </c>
      <c r="V345" s="17" t="str">
        <f t="shared" si="53"/>
        <v/>
      </c>
    </row>
    <row r="346" spans="1:22" x14ac:dyDescent="0.25">
      <c r="A346" t="str">
        <f t="shared" si="47"/>
        <v/>
      </c>
      <c r="B346" s="16"/>
      <c r="D346" t="str">
        <f>IF($C346="","",IFERROR(INDEX('Asset Register'!$B:$B,MATCH($C346,'Asset Register'!$A:$A,0)),""))</f>
        <v/>
      </c>
      <c r="E346" t="str">
        <f>IF($C346="","",IFERROR(INDEX('Asset Register'!$C:$C,MATCH($C346,'Asset Register'!$A:$A,0)),""))</f>
        <v/>
      </c>
      <c r="F346" t="str">
        <f>IF($C346="","",IFERROR(INDEX('Asset Register'!$D:$D,MATCH($C346,'Asset Register'!$A:$A,0)),""))</f>
        <v/>
      </c>
      <c r="J346" s="17" t="str">
        <f t="shared" si="54"/>
        <v/>
      </c>
      <c r="K346" s="17" t="str">
        <f t="shared" si="55"/>
        <v/>
      </c>
      <c r="L346" s="17" t="str">
        <f t="shared" si="48"/>
        <v/>
      </c>
      <c r="O346" t="str">
        <f>IF($C346="","",IFERROR(INDEX('Asset Register'!$G:$G,MATCH($C346,'Asset Register'!$A:$A,0)),""))</f>
        <v/>
      </c>
      <c r="Q346" t="str">
        <f t="shared" si="49"/>
        <v/>
      </c>
      <c r="R346" t="str">
        <f t="shared" si="50"/>
        <v/>
      </c>
      <c r="S346" s="17" t="str">
        <f t="shared" si="51"/>
        <v/>
      </c>
      <c r="T346" s="18" t="str">
        <f>IF($C346="","",IFERROR(INDEX('Asset Register'!$H:$H,MATCH($C346,'Asset Register'!$A:$A,0)),""))</f>
        <v/>
      </c>
      <c r="U346" s="18" t="str">
        <f t="shared" si="52"/>
        <v/>
      </c>
      <c r="V346" s="17" t="str">
        <f t="shared" si="53"/>
        <v/>
      </c>
    </row>
    <row r="347" spans="1:22" x14ac:dyDescent="0.25">
      <c r="A347" t="str">
        <f t="shared" si="47"/>
        <v/>
      </c>
      <c r="B347" s="16"/>
      <c r="D347" t="str">
        <f>IF($C347="","",IFERROR(INDEX('Asset Register'!$B:$B,MATCH($C347,'Asset Register'!$A:$A,0)),""))</f>
        <v/>
      </c>
      <c r="E347" t="str">
        <f>IF($C347="","",IFERROR(INDEX('Asset Register'!$C:$C,MATCH($C347,'Asset Register'!$A:$A,0)),""))</f>
        <v/>
      </c>
      <c r="F347" t="str">
        <f>IF($C347="","",IFERROR(INDEX('Asset Register'!$D:$D,MATCH($C347,'Asset Register'!$A:$A,0)),""))</f>
        <v/>
      </c>
      <c r="J347" s="17" t="str">
        <f t="shared" si="54"/>
        <v/>
      </c>
      <c r="K347" s="17" t="str">
        <f t="shared" si="55"/>
        <v/>
      </c>
      <c r="L347" s="17" t="str">
        <f t="shared" si="48"/>
        <v/>
      </c>
      <c r="O347" t="str">
        <f>IF($C347="","",IFERROR(INDEX('Asset Register'!$G:$G,MATCH($C347,'Asset Register'!$A:$A,0)),""))</f>
        <v/>
      </c>
      <c r="Q347" t="str">
        <f t="shared" si="49"/>
        <v/>
      </c>
      <c r="R347" t="str">
        <f t="shared" si="50"/>
        <v/>
      </c>
      <c r="S347" s="17" t="str">
        <f t="shared" si="51"/>
        <v/>
      </c>
      <c r="T347" s="18" t="str">
        <f>IF($C347="","",IFERROR(INDEX('Asset Register'!$H:$H,MATCH($C347,'Asset Register'!$A:$A,0)),""))</f>
        <v/>
      </c>
      <c r="U347" s="18" t="str">
        <f t="shared" si="52"/>
        <v/>
      </c>
      <c r="V347" s="17" t="str">
        <f t="shared" si="53"/>
        <v/>
      </c>
    </row>
    <row r="348" spans="1:22" x14ac:dyDescent="0.25">
      <c r="A348" t="str">
        <f t="shared" si="47"/>
        <v/>
      </c>
      <c r="B348" s="16"/>
      <c r="D348" t="str">
        <f>IF($C348="","",IFERROR(INDEX('Asset Register'!$B:$B,MATCH($C348,'Asset Register'!$A:$A,0)),""))</f>
        <v/>
      </c>
      <c r="E348" t="str">
        <f>IF($C348="","",IFERROR(INDEX('Asset Register'!$C:$C,MATCH($C348,'Asset Register'!$A:$A,0)),""))</f>
        <v/>
      </c>
      <c r="F348" t="str">
        <f>IF($C348="","",IFERROR(INDEX('Asset Register'!$D:$D,MATCH($C348,'Asset Register'!$A:$A,0)),""))</f>
        <v/>
      </c>
      <c r="J348" s="17" t="str">
        <f t="shared" si="54"/>
        <v/>
      </c>
      <c r="K348" s="17" t="str">
        <f t="shared" si="55"/>
        <v/>
      </c>
      <c r="L348" s="17" t="str">
        <f t="shared" si="48"/>
        <v/>
      </c>
      <c r="O348" t="str">
        <f>IF($C348="","",IFERROR(INDEX('Asset Register'!$G:$G,MATCH($C348,'Asset Register'!$A:$A,0)),""))</f>
        <v/>
      </c>
      <c r="Q348" t="str">
        <f t="shared" si="49"/>
        <v/>
      </c>
      <c r="R348" t="str">
        <f t="shared" si="50"/>
        <v/>
      </c>
      <c r="S348" s="17" t="str">
        <f t="shared" si="51"/>
        <v/>
      </c>
      <c r="T348" s="18" t="str">
        <f>IF($C348="","",IFERROR(INDEX('Asset Register'!$H:$H,MATCH($C348,'Asset Register'!$A:$A,0)),""))</f>
        <v/>
      </c>
      <c r="U348" s="18" t="str">
        <f t="shared" si="52"/>
        <v/>
      </c>
      <c r="V348" s="17" t="str">
        <f t="shared" si="53"/>
        <v/>
      </c>
    </row>
    <row r="349" spans="1:22" x14ac:dyDescent="0.25">
      <c r="A349" t="str">
        <f t="shared" si="47"/>
        <v/>
      </c>
      <c r="B349" s="16"/>
      <c r="D349" t="str">
        <f>IF($C349="","",IFERROR(INDEX('Asset Register'!$B:$B,MATCH($C349,'Asset Register'!$A:$A,0)),""))</f>
        <v/>
      </c>
      <c r="E349" t="str">
        <f>IF($C349="","",IFERROR(INDEX('Asset Register'!$C:$C,MATCH($C349,'Asset Register'!$A:$A,0)),""))</f>
        <v/>
      </c>
      <c r="F349" t="str">
        <f>IF($C349="","",IFERROR(INDEX('Asset Register'!$D:$D,MATCH($C349,'Asset Register'!$A:$A,0)),""))</f>
        <v/>
      </c>
      <c r="J349" s="17" t="str">
        <f t="shared" si="54"/>
        <v/>
      </c>
      <c r="K349" s="17" t="str">
        <f t="shared" si="55"/>
        <v/>
      </c>
      <c r="L349" s="17" t="str">
        <f t="shared" si="48"/>
        <v/>
      </c>
      <c r="O349" t="str">
        <f>IF($C349="","",IFERROR(INDEX('Asset Register'!$G:$G,MATCH($C349,'Asset Register'!$A:$A,0)),""))</f>
        <v/>
      </c>
      <c r="Q349" t="str">
        <f t="shared" si="49"/>
        <v/>
      </c>
      <c r="R349" t="str">
        <f t="shared" si="50"/>
        <v/>
      </c>
      <c r="S349" s="17" t="str">
        <f t="shared" si="51"/>
        <v/>
      </c>
      <c r="T349" s="18" t="str">
        <f>IF($C349="","",IFERROR(INDEX('Asset Register'!$H:$H,MATCH($C349,'Asset Register'!$A:$A,0)),""))</f>
        <v/>
      </c>
      <c r="U349" s="18" t="str">
        <f t="shared" si="52"/>
        <v/>
      </c>
      <c r="V349" s="17" t="str">
        <f t="shared" si="53"/>
        <v/>
      </c>
    </row>
    <row r="350" spans="1:22" x14ac:dyDescent="0.25">
      <c r="A350" t="str">
        <f t="shared" si="47"/>
        <v/>
      </c>
      <c r="B350" s="16"/>
      <c r="D350" t="str">
        <f>IF($C350="","",IFERROR(INDEX('Asset Register'!$B:$B,MATCH($C350,'Asset Register'!$A:$A,0)),""))</f>
        <v/>
      </c>
      <c r="E350" t="str">
        <f>IF($C350="","",IFERROR(INDEX('Asset Register'!$C:$C,MATCH($C350,'Asset Register'!$A:$A,0)),""))</f>
        <v/>
      </c>
      <c r="F350" t="str">
        <f>IF($C350="","",IFERROR(INDEX('Asset Register'!$D:$D,MATCH($C350,'Asset Register'!$A:$A,0)),""))</f>
        <v/>
      </c>
      <c r="J350" s="17" t="str">
        <f t="shared" si="54"/>
        <v/>
      </c>
      <c r="K350" s="17" t="str">
        <f t="shared" si="55"/>
        <v/>
      </c>
      <c r="L350" s="17" t="str">
        <f t="shared" si="48"/>
        <v/>
      </c>
      <c r="O350" t="str">
        <f>IF($C350="","",IFERROR(INDEX('Asset Register'!$G:$G,MATCH($C350,'Asset Register'!$A:$A,0)),""))</f>
        <v/>
      </c>
      <c r="Q350" t="str">
        <f t="shared" si="49"/>
        <v/>
      </c>
      <c r="R350" t="str">
        <f t="shared" si="50"/>
        <v/>
      </c>
      <c r="S350" s="17" t="str">
        <f t="shared" si="51"/>
        <v/>
      </c>
      <c r="T350" s="18" t="str">
        <f>IF($C350="","",IFERROR(INDEX('Asset Register'!$H:$H,MATCH($C350,'Asset Register'!$A:$A,0)),""))</f>
        <v/>
      </c>
      <c r="U350" s="18" t="str">
        <f t="shared" si="52"/>
        <v/>
      </c>
      <c r="V350" s="17" t="str">
        <f t="shared" si="53"/>
        <v/>
      </c>
    </row>
    <row r="351" spans="1:22" x14ac:dyDescent="0.25">
      <c r="A351" t="str">
        <f t="shared" si="47"/>
        <v/>
      </c>
      <c r="B351" s="16"/>
      <c r="D351" t="str">
        <f>IF($C351="","",IFERROR(INDEX('Asset Register'!$B:$B,MATCH($C351,'Asset Register'!$A:$A,0)),""))</f>
        <v/>
      </c>
      <c r="E351" t="str">
        <f>IF($C351="","",IFERROR(INDEX('Asset Register'!$C:$C,MATCH($C351,'Asset Register'!$A:$A,0)),""))</f>
        <v/>
      </c>
      <c r="F351" t="str">
        <f>IF($C351="","",IFERROR(INDEX('Asset Register'!$D:$D,MATCH($C351,'Asset Register'!$A:$A,0)),""))</f>
        <v/>
      </c>
      <c r="J351" s="17" t="str">
        <f t="shared" si="54"/>
        <v/>
      </c>
      <c r="K351" s="17" t="str">
        <f t="shared" si="55"/>
        <v/>
      </c>
      <c r="L351" s="17" t="str">
        <f t="shared" si="48"/>
        <v/>
      </c>
      <c r="O351" t="str">
        <f>IF($C351="","",IFERROR(INDEX('Asset Register'!$G:$G,MATCH($C351,'Asset Register'!$A:$A,0)),""))</f>
        <v/>
      </c>
      <c r="Q351" t="str">
        <f t="shared" si="49"/>
        <v/>
      </c>
      <c r="R351" t="str">
        <f t="shared" si="50"/>
        <v/>
      </c>
      <c r="S351" s="17" t="str">
        <f t="shared" si="51"/>
        <v/>
      </c>
      <c r="T351" s="18" t="str">
        <f>IF($C351="","",IFERROR(INDEX('Asset Register'!$H:$H,MATCH($C351,'Asset Register'!$A:$A,0)),""))</f>
        <v/>
      </c>
      <c r="U351" s="18" t="str">
        <f t="shared" si="52"/>
        <v/>
      </c>
      <c r="V351" s="17" t="str">
        <f t="shared" si="53"/>
        <v/>
      </c>
    </row>
    <row r="352" spans="1:22" x14ac:dyDescent="0.25">
      <c r="A352" t="str">
        <f t="shared" si="47"/>
        <v/>
      </c>
      <c r="B352" s="16"/>
      <c r="D352" t="str">
        <f>IF($C352="","",IFERROR(INDEX('Asset Register'!$B:$B,MATCH($C352,'Asset Register'!$A:$A,0)),""))</f>
        <v/>
      </c>
      <c r="E352" t="str">
        <f>IF($C352="","",IFERROR(INDEX('Asset Register'!$C:$C,MATCH($C352,'Asset Register'!$A:$A,0)),""))</f>
        <v/>
      </c>
      <c r="F352" t="str">
        <f>IF($C352="","",IFERROR(INDEX('Asset Register'!$D:$D,MATCH($C352,'Asset Register'!$A:$A,0)),""))</f>
        <v/>
      </c>
      <c r="J352" s="17" t="str">
        <f t="shared" si="54"/>
        <v/>
      </c>
      <c r="K352" s="17" t="str">
        <f t="shared" si="55"/>
        <v/>
      </c>
      <c r="L352" s="17" t="str">
        <f t="shared" si="48"/>
        <v/>
      </c>
      <c r="O352" t="str">
        <f>IF($C352="","",IFERROR(INDEX('Asset Register'!$G:$G,MATCH($C352,'Asset Register'!$A:$A,0)),""))</f>
        <v/>
      </c>
      <c r="Q352" t="str">
        <f t="shared" si="49"/>
        <v/>
      </c>
      <c r="R352" t="str">
        <f t="shared" si="50"/>
        <v/>
      </c>
      <c r="S352" s="17" t="str">
        <f t="shared" si="51"/>
        <v/>
      </c>
      <c r="T352" s="18" t="str">
        <f>IF($C352="","",IFERROR(INDEX('Asset Register'!$H:$H,MATCH($C352,'Asset Register'!$A:$A,0)),""))</f>
        <v/>
      </c>
      <c r="U352" s="18" t="str">
        <f t="shared" si="52"/>
        <v/>
      </c>
      <c r="V352" s="17" t="str">
        <f t="shared" si="53"/>
        <v/>
      </c>
    </row>
    <row r="353" spans="1:22" x14ac:dyDescent="0.25">
      <c r="A353" t="str">
        <f t="shared" si="47"/>
        <v/>
      </c>
      <c r="B353" s="16"/>
      <c r="D353" t="str">
        <f>IF($C353="","",IFERROR(INDEX('Asset Register'!$B:$B,MATCH($C353,'Asset Register'!$A:$A,0)),""))</f>
        <v/>
      </c>
      <c r="E353" t="str">
        <f>IF($C353="","",IFERROR(INDEX('Asset Register'!$C:$C,MATCH($C353,'Asset Register'!$A:$A,0)),""))</f>
        <v/>
      </c>
      <c r="F353" t="str">
        <f>IF($C353="","",IFERROR(INDEX('Asset Register'!$D:$D,MATCH($C353,'Asset Register'!$A:$A,0)),""))</f>
        <v/>
      </c>
      <c r="J353" s="17" t="str">
        <f t="shared" si="54"/>
        <v/>
      </c>
      <c r="K353" s="17" t="str">
        <f t="shared" si="55"/>
        <v/>
      </c>
      <c r="L353" s="17" t="str">
        <f t="shared" si="48"/>
        <v/>
      </c>
      <c r="O353" t="str">
        <f>IF($C353="","",IFERROR(INDEX('Asset Register'!$G:$G,MATCH($C353,'Asset Register'!$A:$A,0)),""))</f>
        <v/>
      </c>
      <c r="Q353" t="str">
        <f t="shared" si="49"/>
        <v/>
      </c>
      <c r="R353" t="str">
        <f t="shared" si="50"/>
        <v/>
      </c>
      <c r="S353" s="17" t="str">
        <f t="shared" si="51"/>
        <v/>
      </c>
      <c r="T353" s="18" t="str">
        <f>IF($C353="","",IFERROR(INDEX('Asset Register'!$H:$H,MATCH($C353,'Asset Register'!$A:$A,0)),""))</f>
        <v/>
      </c>
      <c r="U353" s="18" t="str">
        <f t="shared" si="52"/>
        <v/>
      </c>
      <c r="V353" s="17" t="str">
        <f t="shared" si="53"/>
        <v/>
      </c>
    </row>
    <row r="354" spans="1:22" x14ac:dyDescent="0.25">
      <c r="A354" t="str">
        <f t="shared" si="47"/>
        <v/>
      </c>
      <c r="B354" s="16"/>
      <c r="D354" t="str">
        <f>IF($C354="","",IFERROR(INDEX('Asset Register'!$B:$B,MATCH($C354,'Asset Register'!$A:$A,0)),""))</f>
        <v/>
      </c>
      <c r="E354" t="str">
        <f>IF($C354="","",IFERROR(INDEX('Asset Register'!$C:$C,MATCH($C354,'Asset Register'!$A:$A,0)),""))</f>
        <v/>
      </c>
      <c r="F354" t="str">
        <f>IF($C354="","",IFERROR(INDEX('Asset Register'!$D:$D,MATCH($C354,'Asset Register'!$A:$A,0)),""))</f>
        <v/>
      </c>
      <c r="J354" s="17" t="str">
        <f t="shared" si="54"/>
        <v/>
      </c>
      <c r="K354" s="17" t="str">
        <f t="shared" si="55"/>
        <v/>
      </c>
      <c r="L354" s="17" t="str">
        <f t="shared" si="48"/>
        <v/>
      </c>
      <c r="O354" t="str">
        <f>IF($C354="","",IFERROR(INDEX('Asset Register'!$G:$G,MATCH($C354,'Asset Register'!$A:$A,0)),""))</f>
        <v/>
      </c>
      <c r="Q354" t="str">
        <f t="shared" si="49"/>
        <v/>
      </c>
      <c r="R354" t="str">
        <f t="shared" si="50"/>
        <v/>
      </c>
      <c r="S354" s="17" t="str">
        <f t="shared" si="51"/>
        <v/>
      </c>
      <c r="T354" s="18" t="str">
        <f>IF($C354="","",IFERROR(INDEX('Asset Register'!$H:$H,MATCH($C354,'Asset Register'!$A:$A,0)),""))</f>
        <v/>
      </c>
      <c r="U354" s="18" t="str">
        <f t="shared" si="52"/>
        <v/>
      </c>
      <c r="V354" s="17" t="str">
        <f t="shared" si="53"/>
        <v/>
      </c>
    </row>
    <row r="355" spans="1:22" x14ac:dyDescent="0.25">
      <c r="A355" t="str">
        <f t="shared" si="47"/>
        <v/>
      </c>
      <c r="B355" s="16"/>
      <c r="D355" t="str">
        <f>IF($C355="","",IFERROR(INDEX('Asset Register'!$B:$B,MATCH($C355,'Asset Register'!$A:$A,0)),""))</f>
        <v/>
      </c>
      <c r="E355" t="str">
        <f>IF($C355="","",IFERROR(INDEX('Asset Register'!$C:$C,MATCH($C355,'Asset Register'!$A:$A,0)),""))</f>
        <v/>
      </c>
      <c r="F355" t="str">
        <f>IF($C355="","",IFERROR(INDEX('Asset Register'!$D:$D,MATCH($C355,'Asset Register'!$A:$A,0)),""))</f>
        <v/>
      </c>
      <c r="J355" s="17" t="str">
        <f t="shared" si="54"/>
        <v/>
      </c>
      <c r="K355" s="17" t="str">
        <f t="shared" si="55"/>
        <v/>
      </c>
      <c r="L355" s="17" t="str">
        <f t="shared" si="48"/>
        <v/>
      </c>
      <c r="O355" t="str">
        <f>IF($C355="","",IFERROR(INDEX('Asset Register'!$G:$G,MATCH($C355,'Asset Register'!$A:$A,0)),""))</f>
        <v/>
      </c>
      <c r="Q355" t="str">
        <f t="shared" si="49"/>
        <v/>
      </c>
      <c r="R355" t="str">
        <f t="shared" si="50"/>
        <v/>
      </c>
      <c r="S355" s="17" t="str">
        <f t="shared" si="51"/>
        <v/>
      </c>
      <c r="T355" s="18" t="str">
        <f>IF($C355="","",IFERROR(INDEX('Asset Register'!$H:$H,MATCH($C355,'Asset Register'!$A:$A,0)),""))</f>
        <v/>
      </c>
      <c r="U355" s="18" t="str">
        <f t="shared" si="52"/>
        <v/>
      </c>
      <c r="V355" s="17" t="str">
        <f t="shared" si="53"/>
        <v/>
      </c>
    </row>
    <row r="356" spans="1:22" x14ac:dyDescent="0.25">
      <c r="A356" t="str">
        <f t="shared" si="47"/>
        <v/>
      </c>
      <c r="B356" s="16"/>
      <c r="D356" t="str">
        <f>IF($C356="","",IFERROR(INDEX('Asset Register'!$B:$B,MATCH($C356,'Asset Register'!$A:$A,0)),""))</f>
        <v/>
      </c>
      <c r="E356" t="str">
        <f>IF($C356="","",IFERROR(INDEX('Asset Register'!$C:$C,MATCH($C356,'Asset Register'!$A:$A,0)),""))</f>
        <v/>
      </c>
      <c r="F356" t="str">
        <f>IF($C356="","",IFERROR(INDEX('Asset Register'!$D:$D,MATCH($C356,'Asset Register'!$A:$A,0)),""))</f>
        <v/>
      </c>
      <c r="J356" s="17" t="str">
        <f t="shared" si="54"/>
        <v/>
      </c>
      <c r="K356" s="17" t="str">
        <f t="shared" si="55"/>
        <v/>
      </c>
      <c r="L356" s="17" t="str">
        <f t="shared" si="48"/>
        <v/>
      </c>
      <c r="O356" t="str">
        <f>IF($C356="","",IFERROR(INDEX('Asset Register'!$G:$G,MATCH($C356,'Asset Register'!$A:$A,0)),""))</f>
        <v/>
      </c>
      <c r="Q356" t="str">
        <f t="shared" si="49"/>
        <v/>
      </c>
      <c r="R356" t="str">
        <f t="shared" si="50"/>
        <v/>
      </c>
      <c r="S356" s="17" t="str">
        <f t="shared" si="51"/>
        <v/>
      </c>
      <c r="T356" s="18" t="str">
        <f>IF($C356="","",IFERROR(INDEX('Asset Register'!$H:$H,MATCH($C356,'Asset Register'!$A:$A,0)),""))</f>
        <v/>
      </c>
      <c r="U356" s="18" t="str">
        <f t="shared" si="52"/>
        <v/>
      </c>
      <c r="V356" s="17" t="str">
        <f t="shared" si="53"/>
        <v/>
      </c>
    </row>
    <row r="357" spans="1:22" x14ac:dyDescent="0.25">
      <c r="A357" t="str">
        <f t="shared" si="47"/>
        <v/>
      </c>
      <c r="B357" s="16"/>
      <c r="D357" t="str">
        <f>IF($C357="","",IFERROR(INDEX('Asset Register'!$B:$B,MATCH($C357,'Asset Register'!$A:$A,0)),""))</f>
        <v/>
      </c>
      <c r="E357" t="str">
        <f>IF($C357="","",IFERROR(INDEX('Asset Register'!$C:$C,MATCH($C357,'Asset Register'!$A:$A,0)),""))</f>
        <v/>
      </c>
      <c r="F357" t="str">
        <f>IF($C357="","",IFERROR(INDEX('Asset Register'!$D:$D,MATCH($C357,'Asset Register'!$A:$A,0)),""))</f>
        <v/>
      </c>
      <c r="J357" s="17" t="str">
        <f t="shared" si="54"/>
        <v/>
      </c>
      <c r="K357" s="17" t="str">
        <f t="shared" si="55"/>
        <v/>
      </c>
      <c r="L357" s="17" t="str">
        <f t="shared" si="48"/>
        <v/>
      </c>
      <c r="O357" t="str">
        <f>IF($C357="","",IFERROR(INDEX('Asset Register'!$G:$G,MATCH($C357,'Asset Register'!$A:$A,0)),""))</f>
        <v/>
      </c>
      <c r="Q357" t="str">
        <f t="shared" si="49"/>
        <v/>
      </c>
      <c r="R357" t="str">
        <f t="shared" si="50"/>
        <v/>
      </c>
      <c r="S357" s="17" t="str">
        <f t="shared" si="51"/>
        <v/>
      </c>
      <c r="T357" s="18" t="str">
        <f>IF($C357="","",IFERROR(INDEX('Asset Register'!$H:$H,MATCH($C357,'Asset Register'!$A:$A,0)),""))</f>
        <v/>
      </c>
      <c r="U357" s="18" t="str">
        <f t="shared" si="52"/>
        <v/>
      </c>
      <c r="V357" s="17" t="str">
        <f t="shared" si="53"/>
        <v/>
      </c>
    </row>
    <row r="358" spans="1:22" x14ac:dyDescent="0.25">
      <c r="A358" t="str">
        <f t="shared" si="47"/>
        <v/>
      </c>
      <c r="B358" s="16"/>
      <c r="D358" t="str">
        <f>IF($C358="","",IFERROR(INDEX('Asset Register'!$B:$B,MATCH($C358,'Asset Register'!$A:$A,0)),""))</f>
        <v/>
      </c>
      <c r="E358" t="str">
        <f>IF($C358="","",IFERROR(INDEX('Asset Register'!$C:$C,MATCH($C358,'Asset Register'!$A:$A,0)),""))</f>
        <v/>
      </c>
      <c r="F358" t="str">
        <f>IF($C358="","",IFERROR(INDEX('Asset Register'!$D:$D,MATCH($C358,'Asset Register'!$A:$A,0)),""))</f>
        <v/>
      </c>
      <c r="J358" s="17" t="str">
        <f t="shared" si="54"/>
        <v/>
      </c>
      <c r="K358" s="17" t="str">
        <f t="shared" si="55"/>
        <v/>
      </c>
      <c r="L358" s="17" t="str">
        <f t="shared" si="48"/>
        <v/>
      </c>
      <c r="O358" t="str">
        <f>IF($C358="","",IFERROR(INDEX('Asset Register'!$G:$G,MATCH($C358,'Asset Register'!$A:$A,0)),""))</f>
        <v/>
      </c>
      <c r="Q358" t="str">
        <f t="shared" si="49"/>
        <v/>
      </c>
      <c r="R358" t="str">
        <f t="shared" si="50"/>
        <v/>
      </c>
      <c r="S358" s="17" t="str">
        <f t="shared" si="51"/>
        <v/>
      </c>
      <c r="T358" s="18" t="str">
        <f>IF($C358="","",IFERROR(INDEX('Asset Register'!$H:$H,MATCH($C358,'Asset Register'!$A:$A,0)),""))</f>
        <v/>
      </c>
      <c r="U358" s="18" t="str">
        <f t="shared" si="52"/>
        <v/>
      </c>
      <c r="V358" s="17" t="str">
        <f t="shared" si="53"/>
        <v/>
      </c>
    </row>
    <row r="359" spans="1:22" x14ac:dyDescent="0.25">
      <c r="A359" t="str">
        <f t="shared" si="47"/>
        <v/>
      </c>
      <c r="B359" s="16"/>
      <c r="D359" t="str">
        <f>IF($C359="","",IFERROR(INDEX('Asset Register'!$B:$B,MATCH($C359,'Asset Register'!$A:$A,0)),""))</f>
        <v/>
      </c>
      <c r="E359" t="str">
        <f>IF($C359="","",IFERROR(INDEX('Asset Register'!$C:$C,MATCH($C359,'Asset Register'!$A:$A,0)),""))</f>
        <v/>
      </c>
      <c r="F359" t="str">
        <f>IF($C359="","",IFERROR(INDEX('Asset Register'!$D:$D,MATCH($C359,'Asset Register'!$A:$A,0)),""))</f>
        <v/>
      </c>
      <c r="J359" s="17" t="str">
        <f t="shared" si="54"/>
        <v/>
      </c>
      <c r="K359" s="17" t="str">
        <f t="shared" si="55"/>
        <v/>
      </c>
      <c r="L359" s="17" t="str">
        <f t="shared" si="48"/>
        <v/>
      </c>
      <c r="O359" t="str">
        <f>IF($C359="","",IFERROR(INDEX('Asset Register'!$G:$G,MATCH($C359,'Asset Register'!$A:$A,0)),""))</f>
        <v/>
      </c>
      <c r="Q359" t="str">
        <f t="shared" si="49"/>
        <v/>
      </c>
      <c r="R359" t="str">
        <f t="shared" si="50"/>
        <v/>
      </c>
      <c r="S359" s="17" t="str">
        <f t="shared" si="51"/>
        <v/>
      </c>
      <c r="T359" s="18" t="str">
        <f>IF($C359="","",IFERROR(INDEX('Asset Register'!$H:$H,MATCH($C359,'Asset Register'!$A:$A,0)),""))</f>
        <v/>
      </c>
      <c r="U359" s="18" t="str">
        <f t="shared" si="52"/>
        <v/>
      </c>
      <c r="V359" s="17" t="str">
        <f t="shared" si="53"/>
        <v/>
      </c>
    </row>
    <row r="360" spans="1:22" x14ac:dyDescent="0.25">
      <c r="A360" t="str">
        <f t="shared" si="47"/>
        <v/>
      </c>
      <c r="B360" s="16"/>
      <c r="D360" t="str">
        <f>IF($C360="","",IFERROR(INDEX('Asset Register'!$B:$B,MATCH($C360,'Asset Register'!$A:$A,0)),""))</f>
        <v/>
      </c>
      <c r="E360" t="str">
        <f>IF($C360="","",IFERROR(INDEX('Asset Register'!$C:$C,MATCH($C360,'Asset Register'!$A:$A,0)),""))</f>
        <v/>
      </c>
      <c r="F360" t="str">
        <f>IF($C360="","",IFERROR(INDEX('Asset Register'!$D:$D,MATCH($C360,'Asset Register'!$A:$A,0)),""))</f>
        <v/>
      </c>
      <c r="J360" s="17" t="str">
        <f t="shared" si="54"/>
        <v/>
      </c>
      <c r="K360" s="17" t="str">
        <f t="shared" si="55"/>
        <v/>
      </c>
      <c r="L360" s="17" t="str">
        <f t="shared" si="48"/>
        <v/>
      </c>
      <c r="O360" t="str">
        <f>IF($C360="","",IFERROR(INDEX('Asset Register'!$G:$G,MATCH($C360,'Asset Register'!$A:$A,0)),""))</f>
        <v/>
      </c>
      <c r="Q360" t="str">
        <f t="shared" si="49"/>
        <v/>
      </c>
      <c r="R360" t="str">
        <f t="shared" si="50"/>
        <v/>
      </c>
      <c r="S360" s="17" t="str">
        <f t="shared" si="51"/>
        <v/>
      </c>
      <c r="T360" s="18" t="str">
        <f>IF($C360="","",IFERROR(INDEX('Asset Register'!$H:$H,MATCH($C360,'Asset Register'!$A:$A,0)),""))</f>
        <v/>
      </c>
      <c r="U360" s="18" t="str">
        <f t="shared" si="52"/>
        <v/>
      </c>
      <c r="V360" s="17" t="str">
        <f t="shared" si="53"/>
        <v/>
      </c>
    </row>
    <row r="361" spans="1:22" x14ac:dyDescent="0.25">
      <c r="A361" t="str">
        <f t="shared" si="47"/>
        <v/>
      </c>
      <c r="B361" s="16"/>
      <c r="D361" t="str">
        <f>IF($C361="","",IFERROR(INDEX('Asset Register'!$B:$B,MATCH($C361,'Asset Register'!$A:$A,0)),""))</f>
        <v/>
      </c>
      <c r="E361" t="str">
        <f>IF($C361="","",IFERROR(INDEX('Asset Register'!$C:$C,MATCH($C361,'Asset Register'!$A:$A,0)),""))</f>
        <v/>
      </c>
      <c r="F361" t="str">
        <f>IF($C361="","",IFERROR(INDEX('Asset Register'!$D:$D,MATCH($C361,'Asset Register'!$A:$A,0)),""))</f>
        <v/>
      </c>
      <c r="J361" s="17" t="str">
        <f t="shared" si="54"/>
        <v/>
      </c>
      <c r="K361" s="17" t="str">
        <f t="shared" si="55"/>
        <v/>
      </c>
      <c r="L361" s="17" t="str">
        <f t="shared" si="48"/>
        <v/>
      </c>
      <c r="O361" t="str">
        <f>IF($C361="","",IFERROR(INDEX('Asset Register'!$G:$G,MATCH($C361,'Asset Register'!$A:$A,0)),""))</f>
        <v/>
      </c>
      <c r="Q361" t="str">
        <f t="shared" si="49"/>
        <v/>
      </c>
      <c r="R361" t="str">
        <f t="shared" si="50"/>
        <v/>
      </c>
      <c r="S361" s="17" t="str">
        <f t="shared" si="51"/>
        <v/>
      </c>
      <c r="T361" s="18" t="str">
        <f>IF($C361="","",IFERROR(INDEX('Asset Register'!$H:$H,MATCH($C361,'Asset Register'!$A:$A,0)),""))</f>
        <v/>
      </c>
      <c r="U361" s="18" t="str">
        <f t="shared" si="52"/>
        <v/>
      </c>
      <c r="V361" s="17" t="str">
        <f t="shared" si="53"/>
        <v/>
      </c>
    </row>
    <row r="362" spans="1:22" x14ac:dyDescent="0.25">
      <c r="A362" t="str">
        <f t="shared" si="47"/>
        <v/>
      </c>
      <c r="B362" s="16"/>
      <c r="D362" t="str">
        <f>IF($C362="","",IFERROR(INDEX('Asset Register'!$B:$B,MATCH($C362,'Asset Register'!$A:$A,0)),""))</f>
        <v/>
      </c>
      <c r="E362" t="str">
        <f>IF($C362="","",IFERROR(INDEX('Asset Register'!$C:$C,MATCH($C362,'Asset Register'!$A:$A,0)),""))</f>
        <v/>
      </c>
      <c r="F362" t="str">
        <f>IF($C362="","",IFERROR(INDEX('Asset Register'!$D:$D,MATCH($C362,'Asset Register'!$A:$A,0)),""))</f>
        <v/>
      </c>
      <c r="J362" s="17" t="str">
        <f t="shared" si="54"/>
        <v/>
      </c>
      <c r="K362" s="17" t="str">
        <f t="shared" si="55"/>
        <v/>
      </c>
      <c r="L362" s="17" t="str">
        <f t="shared" si="48"/>
        <v/>
      </c>
      <c r="O362" t="str">
        <f>IF($C362="","",IFERROR(INDEX('Asset Register'!$G:$G,MATCH($C362,'Asset Register'!$A:$A,0)),""))</f>
        <v/>
      </c>
      <c r="Q362" t="str">
        <f t="shared" si="49"/>
        <v/>
      </c>
      <c r="R362" t="str">
        <f t="shared" si="50"/>
        <v/>
      </c>
      <c r="S362" s="17" t="str">
        <f t="shared" si="51"/>
        <v/>
      </c>
      <c r="T362" s="18" t="str">
        <f>IF($C362="","",IFERROR(INDEX('Asset Register'!$H:$H,MATCH($C362,'Asset Register'!$A:$A,0)),""))</f>
        <v/>
      </c>
      <c r="U362" s="18" t="str">
        <f t="shared" si="52"/>
        <v/>
      </c>
      <c r="V362" s="17" t="str">
        <f t="shared" si="53"/>
        <v/>
      </c>
    </row>
    <row r="363" spans="1:22" x14ac:dyDescent="0.25">
      <c r="A363" t="str">
        <f t="shared" si="47"/>
        <v/>
      </c>
      <c r="B363" s="16"/>
      <c r="D363" t="str">
        <f>IF($C363="","",IFERROR(INDEX('Asset Register'!$B:$B,MATCH($C363,'Asset Register'!$A:$A,0)),""))</f>
        <v/>
      </c>
      <c r="E363" t="str">
        <f>IF($C363="","",IFERROR(INDEX('Asset Register'!$C:$C,MATCH($C363,'Asset Register'!$A:$A,0)),""))</f>
        <v/>
      </c>
      <c r="F363" t="str">
        <f>IF($C363="","",IFERROR(INDEX('Asset Register'!$D:$D,MATCH($C363,'Asset Register'!$A:$A,0)),""))</f>
        <v/>
      </c>
      <c r="J363" s="17" t="str">
        <f t="shared" si="54"/>
        <v/>
      </c>
      <c r="K363" s="17" t="str">
        <f t="shared" si="55"/>
        <v/>
      </c>
      <c r="L363" s="17" t="str">
        <f t="shared" si="48"/>
        <v/>
      </c>
      <c r="O363" t="str">
        <f>IF($C363="","",IFERROR(INDEX('Asset Register'!$G:$G,MATCH($C363,'Asset Register'!$A:$A,0)),""))</f>
        <v/>
      </c>
      <c r="Q363" t="str">
        <f t="shared" si="49"/>
        <v/>
      </c>
      <c r="R363" t="str">
        <f t="shared" si="50"/>
        <v/>
      </c>
      <c r="S363" s="17" t="str">
        <f t="shared" si="51"/>
        <v/>
      </c>
      <c r="T363" s="18" t="str">
        <f>IF($C363="","",IFERROR(INDEX('Asset Register'!$H:$H,MATCH($C363,'Asset Register'!$A:$A,0)),""))</f>
        <v/>
      </c>
      <c r="U363" s="18" t="str">
        <f t="shared" si="52"/>
        <v/>
      </c>
      <c r="V363" s="17" t="str">
        <f t="shared" si="53"/>
        <v/>
      </c>
    </row>
    <row r="364" spans="1:22" x14ac:dyDescent="0.25">
      <c r="A364" t="str">
        <f t="shared" si="47"/>
        <v/>
      </c>
      <c r="B364" s="16"/>
      <c r="D364" t="str">
        <f>IF($C364="","",IFERROR(INDEX('Asset Register'!$B:$B,MATCH($C364,'Asset Register'!$A:$A,0)),""))</f>
        <v/>
      </c>
      <c r="E364" t="str">
        <f>IF($C364="","",IFERROR(INDEX('Asset Register'!$C:$C,MATCH($C364,'Asset Register'!$A:$A,0)),""))</f>
        <v/>
      </c>
      <c r="F364" t="str">
        <f>IF($C364="","",IFERROR(INDEX('Asset Register'!$D:$D,MATCH($C364,'Asset Register'!$A:$A,0)),""))</f>
        <v/>
      </c>
      <c r="J364" s="17" t="str">
        <f t="shared" si="54"/>
        <v/>
      </c>
      <c r="K364" s="17" t="str">
        <f t="shared" si="55"/>
        <v/>
      </c>
      <c r="L364" s="17" t="str">
        <f t="shared" si="48"/>
        <v/>
      </c>
      <c r="O364" t="str">
        <f>IF($C364="","",IFERROR(INDEX('Asset Register'!$G:$G,MATCH($C364,'Asset Register'!$A:$A,0)),""))</f>
        <v/>
      </c>
      <c r="Q364" t="str">
        <f t="shared" si="49"/>
        <v/>
      </c>
      <c r="R364" t="str">
        <f t="shared" si="50"/>
        <v/>
      </c>
      <c r="S364" s="17" t="str">
        <f t="shared" si="51"/>
        <v/>
      </c>
      <c r="T364" s="18" t="str">
        <f>IF($C364="","",IFERROR(INDEX('Asset Register'!$H:$H,MATCH($C364,'Asset Register'!$A:$A,0)),""))</f>
        <v/>
      </c>
      <c r="U364" s="18" t="str">
        <f t="shared" si="52"/>
        <v/>
      </c>
      <c r="V364" s="17" t="str">
        <f t="shared" si="53"/>
        <v/>
      </c>
    </row>
    <row r="365" spans="1:22" x14ac:dyDescent="0.25">
      <c r="A365" t="str">
        <f t="shared" si="47"/>
        <v/>
      </c>
      <c r="B365" s="16"/>
      <c r="D365" t="str">
        <f>IF($C365="","",IFERROR(INDEX('Asset Register'!$B:$B,MATCH($C365,'Asset Register'!$A:$A,0)),""))</f>
        <v/>
      </c>
      <c r="E365" t="str">
        <f>IF($C365="","",IFERROR(INDEX('Asset Register'!$C:$C,MATCH($C365,'Asset Register'!$A:$A,0)),""))</f>
        <v/>
      </c>
      <c r="F365" t="str">
        <f>IF($C365="","",IFERROR(INDEX('Asset Register'!$D:$D,MATCH($C365,'Asset Register'!$A:$A,0)),""))</f>
        <v/>
      </c>
      <c r="J365" s="17" t="str">
        <f t="shared" si="54"/>
        <v/>
      </c>
      <c r="K365" s="17" t="str">
        <f t="shared" si="55"/>
        <v/>
      </c>
      <c r="L365" s="17" t="str">
        <f t="shared" si="48"/>
        <v/>
      </c>
      <c r="O365" t="str">
        <f>IF($C365="","",IFERROR(INDEX('Asset Register'!$G:$G,MATCH($C365,'Asset Register'!$A:$A,0)),""))</f>
        <v/>
      </c>
      <c r="Q365" t="str">
        <f t="shared" si="49"/>
        <v/>
      </c>
      <c r="R365" t="str">
        <f t="shared" si="50"/>
        <v/>
      </c>
      <c r="S365" s="17" t="str">
        <f t="shared" si="51"/>
        <v/>
      </c>
      <c r="T365" s="18" t="str">
        <f>IF($C365="","",IFERROR(INDEX('Asset Register'!$H:$H,MATCH($C365,'Asset Register'!$A:$A,0)),""))</f>
        <v/>
      </c>
      <c r="U365" s="18" t="str">
        <f t="shared" si="52"/>
        <v/>
      </c>
      <c r="V365" s="17" t="str">
        <f t="shared" si="53"/>
        <v/>
      </c>
    </row>
    <row r="366" spans="1:22" x14ac:dyDescent="0.25">
      <c r="A366" t="str">
        <f t="shared" si="47"/>
        <v/>
      </c>
      <c r="B366" s="16"/>
      <c r="D366" t="str">
        <f>IF($C366="","",IFERROR(INDEX('Asset Register'!$B:$B,MATCH($C366,'Asset Register'!$A:$A,0)),""))</f>
        <v/>
      </c>
      <c r="E366" t="str">
        <f>IF($C366="","",IFERROR(INDEX('Asset Register'!$C:$C,MATCH($C366,'Asset Register'!$A:$A,0)),""))</f>
        <v/>
      </c>
      <c r="F366" t="str">
        <f>IF($C366="","",IFERROR(INDEX('Asset Register'!$D:$D,MATCH($C366,'Asset Register'!$A:$A,0)),""))</f>
        <v/>
      </c>
      <c r="J366" s="17" t="str">
        <f t="shared" si="54"/>
        <v/>
      </c>
      <c r="K366" s="17" t="str">
        <f t="shared" si="55"/>
        <v/>
      </c>
      <c r="L366" s="17" t="str">
        <f t="shared" si="48"/>
        <v/>
      </c>
      <c r="O366" t="str">
        <f>IF($C366="","",IFERROR(INDEX('Asset Register'!$G:$G,MATCH($C366,'Asset Register'!$A:$A,0)),""))</f>
        <v/>
      </c>
      <c r="Q366" t="str">
        <f t="shared" si="49"/>
        <v/>
      </c>
      <c r="R366" t="str">
        <f t="shared" si="50"/>
        <v/>
      </c>
      <c r="S366" s="17" t="str">
        <f t="shared" si="51"/>
        <v/>
      </c>
      <c r="T366" s="18" t="str">
        <f>IF($C366="","",IFERROR(INDEX('Asset Register'!$H:$H,MATCH($C366,'Asset Register'!$A:$A,0)),""))</f>
        <v/>
      </c>
      <c r="U366" s="18" t="str">
        <f t="shared" si="52"/>
        <v/>
      </c>
      <c r="V366" s="17" t="str">
        <f t="shared" si="53"/>
        <v/>
      </c>
    </row>
    <row r="367" spans="1:22" x14ac:dyDescent="0.25">
      <c r="A367" t="str">
        <f t="shared" si="47"/>
        <v/>
      </c>
      <c r="B367" s="16"/>
      <c r="D367" t="str">
        <f>IF($C367="","",IFERROR(INDEX('Asset Register'!$B:$B,MATCH($C367,'Asset Register'!$A:$A,0)),""))</f>
        <v/>
      </c>
      <c r="E367" t="str">
        <f>IF($C367="","",IFERROR(INDEX('Asset Register'!$C:$C,MATCH($C367,'Asset Register'!$A:$A,0)),""))</f>
        <v/>
      </c>
      <c r="F367" t="str">
        <f>IF($C367="","",IFERROR(INDEX('Asset Register'!$D:$D,MATCH($C367,'Asset Register'!$A:$A,0)),""))</f>
        <v/>
      </c>
      <c r="J367" s="17" t="str">
        <f t="shared" si="54"/>
        <v/>
      </c>
      <c r="K367" s="17" t="str">
        <f t="shared" si="55"/>
        <v/>
      </c>
      <c r="L367" s="17" t="str">
        <f t="shared" si="48"/>
        <v/>
      </c>
      <c r="O367" t="str">
        <f>IF($C367="","",IFERROR(INDEX('Asset Register'!$G:$G,MATCH($C367,'Asset Register'!$A:$A,0)),""))</f>
        <v/>
      </c>
      <c r="Q367" t="str">
        <f t="shared" si="49"/>
        <v/>
      </c>
      <c r="R367" t="str">
        <f t="shared" si="50"/>
        <v/>
      </c>
      <c r="S367" s="17" t="str">
        <f t="shared" si="51"/>
        <v/>
      </c>
      <c r="T367" s="18" t="str">
        <f>IF($C367="","",IFERROR(INDEX('Asset Register'!$H:$H,MATCH($C367,'Asset Register'!$A:$A,0)),""))</f>
        <v/>
      </c>
      <c r="U367" s="18" t="str">
        <f t="shared" si="52"/>
        <v/>
      </c>
      <c r="V367" s="17" t="str">
        <f t="shared" si="53"/>
        <v/>
      </c>
    </row>
    <row r="368" spans="1:22" x14ac:dyDescent="0.25">
      <c r="A368" t="str">
        <f t="shared" si="47"/>
        <v/>
      </c>
      <c r="B368" s="16"/>
      <c r="D368" t="str">
        <f>IF($C368="","",IFERROR(INDEX('Asset Register'!$B:$B,MATCH($C368,'Asset Register'!$A:$A,0)),""))</f>
        <v/>
      </c>
      <c r="E368" t="str">
        <f>IF($C368="","",IFERROR(INDEX('Asset Register'!$C:$C,MATCH($C368,'Asset Register'!$A:$A,0)),""))</f>
        <v/>
      </c>
      <c r="F368" t="str">
        <f>IF($C368="","",IFERROR(INDEX('Asset Register'!$D:$D,MATCH($C368,'Asset Register'!$A:$A,0)),""))</f>
        <v/>
      </c>
      <c r="J368" s="17" t="str">
        <f t="shared" si="54"/>
        <v/>
      </c>
      <c r="K368" s="17" t="str">
        <f t="shared" si="55"/>
        <v/>
      </c>
      <c r="L368" s="17" t="str">
        <f t="shared" si="48"/>
        <v/>
      </c>
      <c r="O368" t="str">
        <f>IF($C368="","",IFERROR(INDEX('Asset Register'!$G:$G,MATCH($C368,'Asset Register'!$A:$A,0)),""))</f>
        <v/>
      </c>
      <c r="Q368" t="str">
        <f t="shared" si="49"/>
        <v/>
      </c>
      <c r="R368" t="str">
        <f t="shared" si="50"/>
        <v/>
      </c>
      <c r="S368" s="17" t="str">
        <f t="shared" si="51"/>
        <v/>
      </c>
      <c r="T368" s="18" t="str">
        <f>IF($C368="","",IFERROR(INDEX('Asset Register'!$H:$H,MATCH($C368,'Asset Register'!$A:$A,0)),""))</f>
        <v/>
      </c>
      <c r="U368" s="18" t="str">
        <f t="shared" si="52"/>
        <v/>
      </c>
      <c r="V368" s="17" t="str">
        <f t="shared" si="53"/>
        <v/>
      </c>
    </row>
    <row r="369" spans="1:22" x14ac:dyDescent="0.25">
      <c r="A369" t="str">
        <f t="shared" si="47"/>
        <v/>
      </c>
      <c r="B369" s="16"/>
      <c r="D369" t="str">
        <f>IF($C369="","",IFERROR(INDEX('Asset Register'!$B:$B,MATCH($C369,'Asset Register'!$A:$A,0)),""))</f>
        <v/>
      </c>
      <c r="E369" t="str">
        <f>IF($C369="","",IFERROR(INDEX('Asset Register'!$C:$C,MATCH($C369,'Asset Register'!$A:$A,0)),""))</f>
        <v/>
      </c>
      <c r="F369" t="str">
        <f>IF($C369="","",IFERROR(INDEX('Asset Register'!$D:$D,MATCH($C369,'Asset Register'!$A:$A,0)),""))</f>
        <v/>
      </c>
      <c r="J369" s="17" t="str">
        <f t="shared" si="54"/>
        <v/>
      </c>
      <c r="K369" s="17" t="str">
        <f t="shared" si="55"/>
        <v/>
      </c>
      <c r="L369" s="17" t="str">
        <f t="shared" si="48"/>
        <v/>
      </c>
      <c r="O369" t="str">
        <f>IF($C369="","",IFERROR(INDEX('Asset Register'!$G:$G,MATCH($C369,'Asset Register'!$A:$A,0)),""))</f>
        <v/>
      </c>
      <c r="Q369" t="str">
        <f t="shared" si="49"/>
        <v/>
      </c>
      <c r="R369" t="str">
        <f t="shared" si="50"/>
        <v/>
      </c>
      <c r="S369" s="17" t="str">
        <f t="shared" si="51"/>
        <v/>
      </c>
      <c r="T369" s="18" t="str">
        <f>IF($C369="","",IFERROR(INDEX('Asset Register'!$H:$H,MATCH($C369,'Asset Register'!$A:$A,0)),""))</f>
        <v/>
      </c>
      <c r="U369" s="18" t="str">
        <f t="shared" si="52"/>
        <v/>
      </c>
      <c r="V369" s="17" t="str">
        <f t="shared" si="53"/>
        <v/>
      </c>
    </row>
    <row r="370" spans="1:22" x14ac:dyDescent="0.25">
      <c r="A370" t="str">
        <f t="shared" si="47"/>
        <v/>
      </c>
      <c r="B370" s="16"/>
      <c r="D370" t="str">
        <f>IF($C370="","",IFERROR(INDEX('Asset Register'!$B:$B,MATCH($C370,'Asset Register'!$A:$A,0)),""))</f>
        <v/>
      </c>
      <c r="E370" t="str">
        <f>IF($C370="","",IFERROR(INDEX('Asset Register'!$C:$C,MATCH($C370,'Asset Register'!$A:$A,0)),""))</f>
        <v/>
      </c>
      <c r="F370" t="str">
        <f>IF($C370="","",IFERROR(INDEX('Asset Register'!$D:$D,MATCH($C370,'Asset Register'!$A:$A,0)),""))</f>
        <v/>
      </c>
      <c r="J370" s="17" t="str">
        <f t="shared" si="54"/>
        <v/>
      </c>
      <c r="K370" s="17" t="str">
        <f t="shared" si="55"/>
        <v/>
      </c>
      <c r="L370" s="17" t="str">
        <f t="shared" si="48"/>
        <v/>
      </c>
      <c r="O370" t="str">
        <f>IF($C370="","",IFERROR(INDEX('Asset Register'!$G:$G,MATCH($C370,'Asset Register'!$A:$A,0)),""))</f>
        <v/>
      </c>
      <c r="Q370" t="str">
        <f t="shared" si="49"/>
        <v/>
      </c>
      <c r="R370" t="str">
        <f t="shared" si="50"/>
        <v/>
      </c>
      <c r="S370" s="17" t="str">
        <f t="shared" si="51"/>
        <v/>
      </c>
      <c r="T370" s="18" t="str">
        <f>IF($C370="","",IFERROR(INDEX('Asset Register'!$H:$H,MATCH($C370,'Asset Register'!$A:$A,0)),""))</f>
        <v/>
      </c>
      <c r="U370" s="18" t="str">
        <f t="shared" si="52"/>
        <v/>
      </c>
      <c r="V370" s="17" t="str">
        <f t="shared" si="53"/>
        <v/>
      </c>
    </row>
    <row r="371" spans="1:22" x14ac:dyDescent="0.25">
      <c r="A371" t="str">
        <f t="shared" si="47"/>
        <v/>
      </c>
      <c r="B371" s="16"/>
      <c r="D371" t="str">
        <f>IF($C371="","",IFERROR(INDEX('Asset Register'!$B:$B,MATCH($C371,'Asset Register'!$A:$A,0)),""))</f>
        <v/>
      </c>
      <c r="E371" t="str">
        <f>IF($C371="","",IFERROR(INDEX('Asset Register'!$C:$C,MATCH($C371,'Asset Register'!$A:$A,0)),""))</f>
        <v/>
      </c>
      <c r="F371" t="str">
        <f>IF($C371="","",IFERROR(INDEX('Asset Register'!$D:$D,MATCH($C371,'Asset Register'!$A:$A,0)),""))</f>
        <v/>
      </c>
      <c r="J371" s="17" t="str">
        <f t="shared" si="54"/>
        <v/>
      </c>
      <c r="K371" s="17" t="str">
        <f t="shared" si="55"/>
        <v/>
      </c>
      <c r="L371" s="17" t="str">
        <f t="shared" si="48"/>
        <v/>
      </c>
      <c r="O371" t="str">
        <f>IF($C371="","",IFERROR(INDEX('Asset Register'!$G:$G,MATCH($C371,'Asset Register'!$A:$A,0)),""))</f>
        <v/>
      </c>
      <c r="Q371" t="str">
        <f t="shared" si="49"/>
        <v/>
      </c>
      <c r="R371" t="str">
        <f t="shared" si="50"/>
        <v/>
      </c>
      <c r="S371" s="17" t="str">
        <f t="shared" si="51"/>
        <v/>
      </c>
      <c r="T371" s="18" t="str">
        <f>IF($C371="","",IFERROR(INDEX('Asset Register'!$H:$H,MATCH($C371,'Asset Register'!$A:$A,0)),""))</f>
        <v/>
      </c>
      <c r="U371" s="18" t="str">
        <f t="shared" si="52"/>
        <v/>
      </c>
      <c r="V371" s="17" t="str">
        <f t="shared" si="53"/>
        <v/>
      </c>
    </row>
    <row r="372" spans="1:22" x14ac:dyDescent="0.25">
      <c r="A372" t="str">
        <f t="shared" si="47"/>
        <v/>
      </c>
      <c r="B372" s="16"/>
      <c r="D372" t="str">
        <f>IF($C372="","",IFERROR(INDEX('Asset Register'!$B:$B,MATCH($C372,'Asset Register'!$A:$A,0)),""))</f>
        <v/>
      </c>
      <c r="E372" t="str">
        <f>IF($C372="","",IFERROR(INDEX('Asset Register'!$C:$C,MATCH($C372,'Asset Register'!$A:$A,0)),""))</f>
        <v/>
      </c>
      <c r="F372" t="str">
        <f>IF($C372="","",IFERROR(INDEX('Asset Register'!$D:$D,MATCH($C372,'Asset Register'!$A:$A,0)),""))</f>
        <v/>
      </c>
      <c r="J372" s="17" t="str">
        <f t="shared" si="54"/>
        <v/>
      </c>
      <c r="K372" s="17" t="str">
        <f t="shared" si="55"/>
        <v/>
      </c>
      <c r="L372" s="17" t="str">
        <f t="shared" si="48"/>
        <v/>
      </c>
      <c r="O372" t="str">
        <f>IF($C372="","",IFERROR(INDEX('Asset Register'!$G:$G,MATCH($C372,'Asset Register'!$A:$A,0)),""))</f>
        <v/>
      </c>
      <c r="Q372" t="str">
        <f t="shared" si="49"/>
        <v/>
      </c>
      <c r="R372" t="str">
        <f t="shared" si="50"/>
        <v/>
      </c>
      <c r="S372" s="17" t="str">
        <f t="shared" si="51"/>
        <v/>
      </c>
      <c r="T372" s="18" t="str">
        <f>IF($C372="","",IFERROR(INDEX('Asset Register'!$H:$H,MATCH($C372,'Asset Register'!$A:$A,0)),""))</f>
        <v/>
      </c>
      <c r="U372" s="18" t="str">
        <f t="shared" si="52"/>
        <v/>
      </c>
      <c r="V372" s="17" t="str">
        <f t="shared" si="53"/>
        <v/>
      </c>
    </row>
    <row r="373" spans="1:22" x14ac:dyDescent="0.25">
      <c r="A373" t="str">
        <f t="shared" si="47"/>
        <v/>
      </c>
      <c r="B373" s="16"/>
      <c r="D373" t="str">
        <f>IF($C373="","",IFERROR(INDEX('Asset Register'!$B:$B,MATCH($C373,'Asset Register'!$A:$A,0)),""))</f>
        <v/>
      </c>
      <c r="E373" t="str">
        <f>IF($C373="","",IFERROR(INDEX('Asset Register'!$C:$C,MATCH($C373,'Asset Register'!$A:$A,0)),""))</f>
        <v/>
      </c>
      <c r="F373" t="str">
        <f>IF($C373="","",IFERROR(INDEX('Asset Register'!$D:$D,MATCH($C373,'Asset Register'!$A:$A,0)),""))</f>
        <v/>
      </c>
      <c r="J373" s="17" t="str">
        <f t="shared" si="54"/>
        <v/>
      </c>
      <c r="K373" s="17" t="str">
        <f t="shared" si="55"/>
        <v/>
      </c>
      <c r="L373" s="17" t="str">
        <f t="shared" si="48"/>
        <v/>
      </c>
      <c r="O373" t="str">
        <f>IF($C373="","",IFERROR(INDEX('Asset Register'!$G:$G,MATCH($C373,'Asset Register'!$A:$A,0)),""))</f>
        <v/>
      </c>
      <c r="Q373" t="str">
        <f t="shared" si="49"/>
        <v/>
      </c>
      <c r="R373" t="str">
        <f t="shared" si="50"/>
        <v/>
      </c>
      <c r="S373" s="17" t="str">
        <f t="shared" si="51"/>
        <v/>
      </c>
      <c r="T373" s="18" t="str">
        <f>IF($C373="","",IFERROR(INDEX('Asset Register'!$H:$H,MATCH($C373,'Asset Register'!$A:$A,0)),""))</f>
        <v/>
      </c>
      <c r="U373" s="18" t="str">
        <f t="shared" si="52"/>
        <v/>
      </c>
      <c r="V373" s="17" t="str">
        <f t="shared" si="53"/>
        <v/>
      </c>
    </row>
    <row r="374" spans="1:22" x14ac:dyDescent="0.25">
      <c r="A374" t="str">
        <f t="shared" si="47"/>
        <v/>
      </c>
      <c r="B374" s="16"/>
      <c r="D374" t="str">
        <f>IF($C374="","",IFERROR(INDEX('Asset Register'!$B:$B,MATCH($C374,'Asset Register'!$A:$A,0)),""))</f>
        <v/>
      </c>
      <c r="E374" t="str">
        <f>IF($C374="","",IFERROR(INDEX('Asset Register'!$C:$C,MATCH($C374,'Asset Register'!$A:$A,0)),""))</f>
        <v/>
      </c>
      <c r="F374" t="str">
        <f>IF($C374="","",IFERROR(INDEX('Asset Register'!$D:$D,MATCH($C374,'Asset Register'!$A:$A,0)),""))</f>
        <v/>
      </c>
      <c r="J374" s="17" t="str">
        <f t="shared" si="54"/>
        <v/>
      </c>
      <c r="K374" s="17" t="str">
        <f t="shared" si="55"/>
        <v/>
      </c>
      <c r="L374" s="17" t="str">
        <f t="shared" si="48"/>
        <v/>
      </c>
      <c r="O374" t="str">
        <f>IF($C374="","",IFERROR(INDEX('Asset Register'!$G:$G,MATCH($C374,'Asset Register'!$A:$A,0)),""))</f>
        <v/>
      </c>
      <c r="Q374" t="str">
        <f t="shared" si="49"/>
        <v/>
      </c>
      <c r="R374" t="str">
        <f t="shared" si="50"/>
        <v/>
      </c>
      <c r="S374" s="17" t="str">
        <f t="shared" si="51"/>
        <v/>
      </c>
      <c r="T374" s="18" t="str">
        <f>IF($C374="","",IFERROR(INDEX('Asset Register'!$H:$H,MATCH($C374,'Asset Register'!$A:$A,0)),""))</f>
        <v/>
      </c>
      <c r="U374" s="18" t="str">
        <f t="shared" si="52"/>
        <v/>
      </c>
      <c r="V374" s="17" t="str">
        <f t="shared" si="53"/>
        <v/>
      </c>
    </row>
    <row r="375" spans="1:22" x14ac:dyDescent="0.25">
      <c r="A375" t="str">
        <f t="shared" si="47"/>
        <v/>
      </c>
      <c r="B375" s="16"/>
      <c r="D375" t="str">
        <f>IF($C375="","",IFERROR(INDEX('Asset Register'!$B:$B,MATCH($C375,'Asset Register'!$A:$A,0)),""))</f>
        <v/>
      </c>
      <c r="E375" t="str">
        <f>IF($C375="","",IFERROR(INDEX('Asset Register'!$C:$C,MATCH($C375,'Asset Register'!$A:$A,0)),""))</f>
        <v/>
      </c>
      <c r="F375" t="str">
        <f>IF($C375="","",IFERROR(INDEX('Asset Register'!$D:$D,MATCH($C375,'Asset Register'!$A:$A,0)),""))</f>
        <v/>
      </c>
      <c r="J375" s="17" t="str">
        <f t="shared" si="54"/>
        <v/>
      </c>
      <c r="K375" s="17" t="str">
        <f t="shared" si="55"/>
        <v/>
      </c>
      <c r="L375" s="17" t="str">
        <f t="shared" si="48"/>
        <v/>
      </c>
      <c r="O375" t="str">
        <f>IF($C375="","",IFERROR(INDEX('Asset Register'!$G:$G,MATCH($C375,'Asset Register'!$A:$A,0)),""))</f>
        <v/>
      </c>
      <c r="Q375" t="str">
        <f t="shared" si="49"/>
        <v/>
      </c>
      <c r="R375" t="str">
        <f t="shared" si="50"/>
        <v/>
      </c>
      <c r="S375" s="17" t="str">
        <f t="shared" si="51"/>
        <v/>
      </c>
      <c r="T375" s="18" t="str">
        <f>IF($C375="","",IFERROR(INDEX('Asset Register'!$H:$H,MATCH($C375,'Asset Register'!$A:$A,0)),""))</f>
        <v/>
      </c>
      <c r="U375" s="18" t="str">
        <f t="shared" si="52"/>
        <v/>
      </c>
      <c r="V375" s="17" t="str">
        <f t="shared" si="53"/>
        <v/>
      </c>
    </row>
    <row r="376" spans="1:22" x14ac:dyDescent="0.25">
      <c r="A376" t="str">
        <f t="shared" si="47"/>
        <v/>
      </c>
      <c r="B376" s="16"/>
      <c r="D376" t="str">
        <f>IF($C376="","",IFERROR(INDEX('Asset Register'!$B:$B,MATCH($C376,'Asset Register'!$A:$A,0)),""))</f>
        <v/>
      </c>
      <c r="E376" t="str">
        <f>IF($C376="","",IFERROR(INDEX('Asset Register'!$C:$C,MATCH($C376,'Asset Register'!$A:$A,0)),""))</f>
        <v/>
      </c>
      <c r="F376" t="str">
        <f>IF($C376="","",IFERROR(INDEX('Asset Register'!$D:$D,MATCH($C376,'Asset Register'!$A:$A,0)),""))</f>
        <v/>
      </c>
      <c r="J376" s="17" t="str">
        <f t="shared" si="54"/>
        <v/>
      </c>
      <c r="K376" s="17" t="str">
        <f t="shared" si="55"/>
        <v/>
      </c>
      <c r="L376" s="17" t="str">
        <f t="shared" si="48"/>
        <v/>
      </c>
      <c r="O376" t="str">
        <f>IF($C376="","",IFERROR(INDEX('Asset Register'!$G:$G,MATCH($C376,'Asset Register'!$A:$A,0)),""))</f>
        <v/>
      </c>
      <c r="Q376" t="str">
        <f t="shared" si="49"/>
        <v/>
      </c>
      <c r="R376" t="str">
        <f t="shared" si="50"/>
        <v/>
      </c>
      <c r="S376" s="17" t="str">
        <f t="shared" si="51"/>
        <v/>
      </c>
      <c r="T376" s="18" t="str">
        <f>IF($C376="","",IFERROR(INDEX('Asset Register'!$H:$H,MATCH($C376,'Asset Register'!$A:$A,0)),""))</f>
        <v/>
      </c>
      <c r="U376" s="18" t="str">
        <f t="shared" si="52"/>
        <v/>
      </c>
      <c r="V376" s="17" t="str">
        <f t="shared" si="53"/>
        <v/>
      </c>
    </row>
    <row r="377" spans="1:22" x14ac:dyDescent="0.25">
      <c r="A377" t="str">
        <f t="shared" si="47"/>
        <v/>
      </c>
      <c r="B377" s="16"/>
      <c r="D377" t="str">
        <f>IF($C377="","",IFERROR(INDEX('Asset Register'!$B:$B,MATCH($C377,'Asset Register'!$A:$A,0)),""))</f>
        <v/>
      </c>
      <c r="E377" t="str">
        <f>IF($C377="","",IFERROR(INDEX('Asset Register'!$C:$C,MATCH($C377,'Asset Register'!$A:$A,0)),""))</f>
        <v/>
      </c>
      <c r="F377" t="str">
        <f>IF($C377="","",IFERROR(INDEX('Asset Register'!$D:$D,MATCH($C377,'Asset Register'!$A:$A,0)),""))</f>
        <v/>
      </c>
      <c r="J377" s="17" t="str">
        <f t="shared" si="54"/>
        <v/>
      </c>
      <c r="K377" s="17" t="str">
        <f t="shared" si="55"/>
        <v/>
      </c>
      <c r="L377" s="17" t="str">
        <f t="shared" si="48"/>
        <v/>
      </c>
      <c r="O377" t="str">
        <f>IF($C377="","",IFERROR(INDEX('Asset Register'!$G:$G,MATCH($C377,'Asset Register'!$A:$A,0)),""))</f>
        <v/>
      </c>
      <c r="Q377" t="str">
        <f t="shared" si="49"/>
        <v/>
      </c>
      <c r="R377" t="str">
        <f t="shared" si="50"/>
        <v/>
      </c>
      <c r="S377" s="17" t="str">
        <f t="shared" si="51"/>
        <v/>
      </c>
      <c r="T377" s="18" t="str">
        <f>IF($C377="","",IFERROR(INDEX('Asset Register'!$H:$H,MATCH($C377,'Asset Register'!$A:$A,0)),""))</f>
        <v/>
      </c>
      <c r="U377" s="18" t="str">
        <f t="shared" si="52"/>
        <v/>
      </c>
      <c r="V377" s="17" t="str">
        <f t="shared" si="53"/>
        <v/>
      </c>
    </row>
    <row r="378" spans="1:22" x14ac:dyDescent="0.25">
      <c r="A378" t="str">
        <f t="shared" si="47"/>
        <v/>
      </c>
      <c r="B378" s="16"/>
      <c r="D378" t="str">
        <f>IF($C378="","",IFERROR(INDEX('Asset Register'!$B:$B,MATCH($C378,'Asset Register'!$A:$A,0)),""))</f>
        <v/>
      </c>
      <c r="E378" t="str">
        <f>IF($C378="","",IFERROR(INDEX('Asset Register'!$C:$C,MATCH($C378,'Asset Register'!$A:$A,0)),""))</f>
        <v/>
      </c>
      <c r="F378" t="str">
        <f>IF($C378="","",IFERROR(INDEX('Asset Register'!$D:$D,MATCH($C378,'Asset Register'!$A:$A,0)),""))</f>
        <v/>
      </c>
      <c r="J378" s="17" t="str">
        <f t="shared" si="54"/>
        <v/>
      </c>
      <c r="K378" s="17" t="str">
        <f t="shared" si="55"/>
        <v/>
      </c>
      <c r="L378" s="17" t="str">
        <f t="shared" si="48"/>
        <v/>
      </c>
      <c r="O378" t="str">
        <f>IF($C378="","",IFERROR(INDEX('Asset Register'!$G:$G,MATCH($C378,'Asset Register'!$A:$A,0)),""))</f>
        <v/>
      </c>
      <c r="Q378" t="str">
        <f t="shared" si="49"/>
        <v/>
      </c>
      <c r="R378" t="str">
        <f t="shared" si="50"/>
        <v/>
      </c>
      <c r="S378" s="17" t="str">
        <f t="shared" si="51"/>
        <v/>
      </c>
      <c r="T378" s="18" t="str">
        <f>IF($C378="","",IFERROR(INDEX('Asset Register'!$H:$H,MATCH($C378,'Asset Register'!$A:$A,0)),""))</f>
        <v/>
      </c>
      <c r="U378" s="18" t="str">
        <f t="shared" si="52"/>
        <v/>
      </c>
      <c r="V378" s="17" t="str">
        <f t="shared" si="53"/>
        <v/>
      </c>
    </row>
    <row r="379" spans="1:22" x14ac:dyDescent="0.25">
      <c r="A379" t="str">
        <f t="shared" si="47"/>
        <v/>
      </c>
      <c r="B379" s="16"/>
      <c r="D379" t="str">
        <f>IF($C379="","",IFERROR(INDEX('Asset Register'!$B:$B,MATCH($C379,'Asset Register'!$A:$A,0)),""))</f>
        <v/>
      </c>
      <c r="E379" t="str">
        <f>IF($C379="","",IFERROR(INDEX('Asset Register'!$C:$C,MATCH($C379,'Asset Register'!$A:$A,0)),""))</f>
        <v/>
      </c>
      <c r="F379" t="str">
        <f>IF($C379="","",IFERROR(INDEX('Asset Register'!$D:$D,MATCH($C379,'Asset Register'!$A:$A,0)),""))</f>
        <v/>
      </c>
      <c r="J379" s="17" t="str">
        <f t="shared" si="54"/>
        <v/>
      </c>
      <c r="K379" s="17" t="str">
        <f t="shared" si="55"/>
        <v/>
      </c>
      <c r="L379" s="17" t="str">
        <f t="shared" si="48"/>
        <v/>
      </c>
      <c r="O379" t="str">
        <f>IF($C379="","",IFERROR(INDEX('Asset Register'!$G:$G,MATCH($C379,'Asset Register'!$A:$A,0)),""))</f>
        <v/>
      </c>
      <c r="Q379" t="str">
        <f t="shared" si="49"/>
        <v/>
      </c>
      <c r="R379" t="str">
        <f t="shared" si="50"/>
        <v/>
      </c>
      <c r="S379" s="17" t="str">
        <f t="shared" si="51"/>
        <v/>
      </c>
      <c r="T379" s="18" t="str">
        <f>IF($C379="","",IFERROR(INDEX('Asset Register'!$H:$H,MATCH($C379,'Asset Register'!$A:$A,0)),""))</f>
        <v/>
      </c>
      <c r="U379" s="18" t="str">
        <f t="shared" si="52"/>
        <v/>
      </c>
      <c r="V379" s="17" t="str">
        <f t="shared" si="53"/>
        <v/>
      </c>
    </row>
    <row r="380" spans="1:22" x14ac:dyDescent="0.25">
      <c r="A380" t="str">
        <f t="shared" si="47"/>
        <v/>
      </c>
      <c r="B380" s="16"/>
      <c r="D380" t="str">
        <f>IF($C380="","",IFERROR(INDEX('Asset Register'!$B:$B,MATCH($C380,'Asset Register'!$A:$A,0)),""))</f>
        <v/>
      </c>
      <c r="E380" t="str">
        <f>IF($C380="","",IFERROR(INDEX('Asset Register'!$C:$C,MATCH($C380,'Asset Register'!$A:$A,0)),""))</f>
        <v/>
      </c>
      <c r="F380" t="str">
        <f>IF($C380="","",IFERROR(INDEX('Asset Register'!$D:$D,MATCH($C380,'Asset Register'!$A:$A,0)),""))</f>
        <v/>
      </c>
      <c r="J380" s="17" t="str">
        <f t="shared" si="54"/>
        <v/>
      </c>
      <c r="K380" s="17" t="str">
        <f t="shared" si="55"/>
        <v/>
      </c>
      <c r="L380" s="17" t="str">
        <f t="shared" si="48"/>
        <v/>
      </c>
      <c r="O380" t="str">
        <f>IF($C380="","",IFERROR(INDEX('Asset Register'!$G:$G,MATCH($C380,'Asset Register'!$A:$A,0)),""))</f>
        <v/>
      </c>
      <c r="Q380" t="str">
        <f t="shared" si="49"/>
        <v/>
      </c>
      <c r="R380" t="str">
        <f t="shared" si="50"/>
        <v/>
      </c>
      <c r="S380" s="17" t="str">
        <f t="shared" si="51"/>
        <v/>
      </c>
      <c r="T380" s="18" t="str">
        <f>IF($C380="","",IFERROR(INDEX('Asset Register'!$H:$H,MATCH($C380,'Asset Register'!$A:$A,0)),""))</f>
        <v/>
      </c>
      <c r="U380" s="18" t="str">
        <f t="shared" si="52"/>
        <v/>
      </c>
      <c r="V380" s="17" t="str">
        <f t="shared" si="53"/>
        <v/>
      </c>
    </row>
    <row r="381" spans="1:22" x14ac:dyDescent="0.25">
      <c r="A381" t="str">
        <f t="shared" si="47"/>
        <v/>
      </c>
      <c r="B381" s="16"/>
      <c r="D381" t="str">
        <f>IF($C381="","",IFERROR(INDEX('Asset Register'!$B:$B,MATCH($C381,'Asset Register'!$A:$A,0)),""))</f>
        <v/>
      </c>
      <c r="E381" t="str">
        <f>IF($C381="","",IFERROR(INDEX('Asset Register'!$C:$C,MATCH($C381,'Asset Register'!$A:$A,0)),""))</f>
        <v/>
      </c>
      <c r="F381" t="str">
        <f>IF($C381="","",IFERROR(INDEX('Asset Register'!$D:$D,MATCH($C381,'Asset Register'!$A:$A,0)),""))</f>
        <v/>
      </c>
      <c r="J381" s="17" t="str">
        <f t="shared" si="54"/>
        <v/>
      </c>
      <c r="K381" s="17" t="str">
        <f t="shared" si="55"/>
        <v/>
      </c>
      <c r="L381" s="17" t="str">
        <f t="shared" si="48"/>
        <v/>
      </c>
      <c r="O381" t="str">
        <f>IF($C381="","",IFERROR(INDEX('Asset Register'!$G:$G,MATCH($C381,'Asset Register'!$A:$A,0)),""))</f>
        <v/>
      </c>
      <c r="Q381" t="str">
        <f t="shared" si="49"/>
        <v/>
      </c>
      <c r="R381" t="str">
        <f t="shared" si="50"/>
        <v/>
      </c>
      <c r="S381" s="17" t="str">
        <f t="shared" si="51"/>
        <v/>
      </c>
      <c r="T381" s="18" t="str">
        <f>IF($C381="","",IFERROR(INDEX('Asset Register'!$H:$H,MATCH($C381,'Asset Register'!$A:$A,0)),""))</f>
        <v/>
      </c>
      <c r="U381" s="18" t="str">
        <f t="shared" si="52"/>
        <v/>
      </c>
      <c r="V381" s="17" t="str">
        <f t="shared" si="53"/>
        <v/>
      </c>
    </row>
    <row r="382" spans="1:22" x14ac:dyDescent="0.25">
      <c r="A382" t="str">
        <f t="shared" si="47"/>
        <v/>
      </c>
      <c r="B382" s="16"/>
      <c r="D382" t="str">
        <f>IF($C382="","",IFERROR(INDEX('Asset Register'!$B:$B,MATCH($C382,'Asset Register'!$A:$A,0)),""))</f>
        <v/>
      </c>
      <c r="E382" t="str">
        <f>IF($C382="","",IFERROR(INDEX('Asset Register'!$C:$C,MATCH($C382,'Asset Register'!$A:$A,0)),""))</f>
        <v/>
      </c>
      <c r="F382" t="str">
        <f>IF($C382="","",IFERROR(INDEX('Asset Register'!$D:$D,MATCH($C382,'Asset Register'!$A:$A,0)),""))</f>
        <v/>
      </c>
      <c r="J382" s="17" t="str">
        <f t="shared" si="54"/>
        <v/>
      </c>
      <c r="K382" s="17" t="str">
        <f t="shared" si="55"/>
        <v/>
      </c>
      <c r="L382" s="17" t="str">
        <f t="shared" si="48"/>
        <v/>
      </c>
      <c r="O382" t="str">
        <f>IF($C382="","",IFERROR(INDEX('Asset Register'!$G:$G,MATCH($C382,'Asset Register'!$A:$A,0)),""))</f>
        <v/>
      </c>
      <c r="Q382" t="str">
        <f t="shared" si="49"/>
        <v/>
      </c>
      <c r="R382" t="str">
        <f t="shared" si="50"/>
        <v/>
      </c>
      <c r="S382" s="17" t="str">
        <f t="shared" si="51"/>
        <v/>
      </c>
      <c r="T382" s="18" t="str">
        <f>IF($C382="","",IFERROR(INDEX('Asset Register'!$H:$H,MATCH($C382,'Asset Register'!$A:$A,0)),""))</f>
        <v/>
      </c>
      <c r="U382" s="18" t="str">
        <f t="shared" si="52"/>
        <v/>
      </c>
      <c r="V382" s="17" t="str">
        <f t="shared" si="53"/>
        <v/>
      </c>
    </row>
    <row r="383" spans="1:22" x14ac:dyDescent="0.25">
      <c r="A383" t="str">
        <f t="shared" si="47"/>
        <v/>
      </c>
      <c r="B383" s="16"/>
      <c r="D383" t="str">
        <f>IF($C383="","",IFERROR(INDEX('Asset Register'!$B:$B,MATCH($C383,'Asset Register'!$A:$A,0)),""))</f>
        <v/>
      </c>
      <c r="E383" t="str">
        <f>IF($C383="","",IFERROR(INDEX('Asset Register'!$C:$C,MATCH($C383,'Asset Register'!$A:$A,0)),""))</f>
        <v/>
      </c>
      <c r="F383" t="str">
        <f>IF($C383="","",IFERROR(INDEX('Asset Register'!$D:$D,MATCH($C383,'Asset Register'!$A:$A,0)),""))</f>
        <v/>
      </c>
      <c r="J383" s="17" t="str">
        <f t="shared" si="54"/>
        <v/>
      </c>
      <c r="K383" s="17" t="str">
        <f t="shared" si="55"/>
        <v/>
      </c>
      <c r="L383" s="17" t="str">
        <f t="shared" si="48"/>
        <v/>
      </c>
      <c r="O383" t="str">
        <f>IF($C383="","",IFERROR(INDEX('Asset Register'!$G:$G,MATCH($C383,'Asset Register'!$A:$A,0)),""))</f>
        <v/>
      </c>
      <c r="Q383" t="str">
        <f t="shared" si="49"/>
        <v/>
      </c>
      <c r="R383" t="str">
        <f t="shared" si="50"/>
        <v/>
      </c>
      <c r="S383" s="17" t="str">
        <f t="shared" si="51"/>
        <v/>
      </c>
      <c r="T383" s="18" t="str">
        <f>IF($C383="","",IFERROR(INDEX('Asset Register'!$H:$H,MATCH($C383,'Asset Register'!$A:$A,0)),""))</f>
        <v/>
      </c>
      <c r="U383" s="18" t="str">
        <f t="shared" si="52"/>
        <v/>
      </c>
      <c r="V383" s="17" t="str">
        <f t="shared" si="53"/>
        <v/>
      </c>
    </row>
    <row r="384" spans="1:22" x14ac:dyDescent="0.25">
      <c r="A384" t="str">
        <f t="shared" si="47"/>
        <v/>
      </c>
      <c r="B384" s="16"/>
      <c r="D384" t="str">
        <f>IF($C384="","",IFERROR(INDEX('Asset Register'!$B:$B,MATCH($C384,'Asset Register'!$A:$A,0)),""))</f>
        <v/>
      </c>
      <c r="E384" t="str">
        <f>IF($C384="","",IFERROR(INDEX('Asset Register'!$C:$C,MATCH($C384,'Asset Register'!$A:$A,0)),""))</f>
        <v/>
      </c>
      <c r="F384" t="str">
        <f>IF($C384="","",IFERROR(INDEX('Asset Register'!$D:$D,MATCH($C384,'Asset Register'!$A:$A,0)),""))</f>
        <v/>
      </c>
      <c r="J384" s="17" t="str">
        <f t="shared" si="54"/>
        <v/>
      </c>
      <c r="K384" s="17" t="str">
        <f t="shared" si="55"/>
        <v/>
      </c>
      <c r="L384" s="17" t="str">
        <f t="shared" si="48"/>
        <v/>
      </c>
      <c r="O384" t="str">
        <f>IF($C384="","",IFERROR(INDEX('Asset Register'!$G:$G,MATCH($C384,'Asset Register'!$A:$A,0)),""))</f>
        <v/>
      </c>
      <c r="Q384" t="str">
        <f t="shared" si="49"/>
        <v/>
      </c>
      <c r="R384" t="str">
        <f t="shared" si="50"/>
        <v/>
      </c>
      <c r="S384" s="17" t="str">
        <f t="shared" si="51"/>
        <v/>
      </c>
      <c r="T384" s="18" t="str">
        <f>IF($C384="","",IFERROR(INDEX('Asset Register'!$H:$H,MATCH($C384,'Asset Register'!$A:$A,0)),""))</f>
        <v/>
      </c>
      <c r="U384" s="18" t="str">
        <f t="shared" si="52"/>
        <v/>
      </c>
      <c r="V384" s="17" t="str">
        <f t="shared" si="53"/>
        <v/>
      </c>
    </row>
    <row r="385" spans="1:22" x14ac:dyDescent="0.25">
      <c r="A385" t="str">
        <f t="shared" si="47"/>
        <v/>
      </c>
      <c r="B385" s="16"/>
      <c r="D385" t="str">
        <f>IF($C385="","",IFERROR(INDEX('Asset Register'!$B:$B,MATCH($C385,'Asset Register'!$A:$A,0)),""))</f>
        <v/>
      </c>
      <c r="E385" t="str">
        <f>IF($C385="","",IFERROR(INDEX('Asset Register'!$C:$C,MATCH($C385,'Asset Register'!$A:$A,0)),""))</f>
        <v/>
      </c>
      <c r="F385" t="str">
        <f>IF($C385="","",IFERROR(INDEX('Asset Register'!$D:$D,MATCH($C385,'Asset Register'!$A:$A,0)),""))</f>
        <v/>
      </c>
      <c r="J385" s="17" t="str">
        <f t="shared" si="54"/>
        <v/>
      </c>
      <c r="K385" s="17" t="str">
        <f t="shared" si="55"/>
        <v/>
      </c>
      <c r="L385" s="17" t="str">
        <f t="shared" si="48"/>
        <v/>
      </c>
      <c r="O385" t="str">
        <f>IF($C385="","",IFERROR(INDEX('Asset Register'!$G:$G,MATCH($C385,'Asset Register'!$A:$A,0)),""))</f>
        <v/>
      </c>
      <c r="Q385" t="str">
        <f t="shared" si="49"/>
        <v/>
      </c>
      <c r="R385" t="str">
        <f t="shared" si="50"/>
        <v/>
      </c>
      <c r="S385" s="17" t="str">
        <f t="shared" si="51"/>
        <v/>
      </c>
      <c r="T385" s="18" t="str">
        <f>IF($C385="","",IFERROR(INDEX('Asset Register'!$H:$H,MATCH($C385,'Asset Register'!$A:$A,0)),""))</f>
        <v/>
      </c>
      <c r="U385" s="18" t="str">
        <f t="shared" si="52"/>
        <v/>
      </c>
      <c r="V385" s="17" t="str">
        <f t="shared" si="53"/>
        <v/>
      </c>
    </row>
    <row r="386" spans="1:22" x14ac:dyDescent="0.25">
      <c r="A386" t="str">
        <f t="shared" ref="A386:A449" si="56">IF(B386="","",ROW()-1)</f>
        <v/>
      </c>
      <c r="B386" s="16"/>
      <c r="D386" t="str">
        <f>IF($C386="","",IFERROR(INDEX('Asset Register'!$B:$B,MATCH($C386,'Asset Register'!$A:$A,0)),""))</f>
        <v/>
      </c>
      <c r="E386" t="str">
        <f>IF($C386="","",IFERROR(INDEX('Asset Register'!$C:$C,MATCH($C386,'Asset Register'!$A:$A,0)),""))</f>
        <v/>
      </c>
      <c r="F386" t="str">
        <f>IF($C386="","",IFERROR(INDEX('Asset Register'!$D:$D,MATCH($C386,'Asset Register'!$A:$A,0)),""))</f>
        <v/>
      </c>
      <c r="J386" s="17" t="str">
        <f t="shared" si="54"/>
        <v/>
      </c>
      <c r="K386" s="17" t="str">
        <f t="shared" si="55"/>
        <v/>
      </c>
      <c r="L386" s="17" t="str">
        <f t="shared" ref="L386:L449" si="57">IF($J386="","",1-$J386)</f>
        <v/>
      </c>
      <c r="O386" t="str">
        <f>IF($C386="","",IFERROR(INDEX('Asset Register'!$G:$G,MATCH($C386,'Asset Register'!$A:$A,0)),""))</f>
        <v/>
      </c>
      <c r="Q386" t="str">
        <f t="shared" ref="Q386:Q449" si="58">IF($O386="","",$O386*$G386)</f>
        <v/>
      </c>
      <c r="R386" t="str">
        <f t="shared" ref="R386:R449" si="59">IF(OR($P386="",$Q386=""),"",$P386-$Q386)</f>
        <v/>
      </c>
      <c r="S386" s="17" t="str">
        <f t="shared" ref="S386:S449" si="60">IF(OR($R386="",$Q386="",$Q386=0),"",$R386/$Q386)</f>
        <v/>
      </c>
      <c r="T386" s="18" t="str">
        <f>IF($C386="","",IFERROR(INDEX('Asset Register'!$H:$H,MATCH($C386,'Asset Register'!$A:$A,0)),""))</f>
        <v/>
      </c>
      <c r="U386" s="18" t="str">
        <f t="shared" ref="U386:U449" si="61">IF($T386="","",$G386*$T386)</f>
        <v/>
      </c>
      <c r="V386" s="17" t="str">
        <f t="shared" ref="V386:V449" si="62">IFERROR($H386/$G386,"")</f>
        <v/>
      </c>
    </row>
    <row r="387" spans="1:22" x14ac:dyDescent="0.25">
      <c r="A387" t="str">
        <f t="shared" si="56"/>
        <v/>
      </c>
      <c r="B387" s="16"/>
      <c r="D387" t="str">
        <f>IF($C387="","",IFERROR(INDEX('Asset Register'!$B:$B,MATCH($C387,'Asset Register'!$A:$A,0)),""))</f>
        <v/>
      </c>
      <c r="E387" t="str">
        <f>IF($C387="","",IFERROR(INDEX('Asset Register'!$C:$C,MATCH($C387,'Asset Register'!$A:$A,0)),""))</f>
        <v/>
      </c>
      <c r="F387" t="str">
        <f>IF($C387="","",IFERROR(INDEX('Asset Register'!$D:$D,MATCH($C387,'Asset Register'!$A:$A,0)),""))</f>
        <v/>
      </c>
      <c r="J387" s="17" t="str">
        <f t="shared" si="54"/>
        <v/>
      </c>
      <c r="K387" s="17" t="str">
        <f t="shared" si="55"/>
        <v/>
      </c>
      <c r="L387" s="17" t="str">
        <f t="shared" si="57"/>
        <v/>
      </c>
      <c r="O387" t="str">
        <f>IF($C387="","",IFERROR(INDEX('Asset Register'!$G:$G,MATCH($C387,'Asset Register'!$A:$A,0)),""))</f>
        <v/>
      </c>
      <c r="Q387" t="str">
        <f t="shared" si="58"/>
        <v/>
      </c>
      <c r="R387" t="str">
        <f t="shared" si="59"/>
        <v/>
      </c>
      <c r="S387" s="17" t="str">
        <f t="shared" si="60"/>
        <v/>
      </c>
      <c r="T387" s="18" t="str">
        <f>IF($C387="","",IFERROR(INDEX('Asset Register'!$H:$H,MATCH($C387,'Asset Register'!$A:$A,0)),""))</f>
        <v/>
      </c>
      <c r="U387" s="18" t="str">
        <f t="shared" si="61"/>
        <v/>
      </c>
      <c r="V387" s="17" t="str">
        <f t="shared" si="62"/>
        <v/>
      </c>
    </row>
    <row r="388" spans="1:22" x14ac:dyDescent="0.25">
      <c r="A388" t="str">
        <f t="shared" si="56"/>
        <v/>
      </c>
      <c r="B388" s="16"/>
      <c r="D388" t="str">
        <f>IF($C388="","",IFERROR(INDEX('Asset Register'!$B:$B,MATCH($C388,'Asset Register'!$A:$A,0)),""))</f>
        <v/>
      </c>
      <c r="E388" t="str">
        <f>IF($C388="","",IFERROR(INDEX('Asset Register'!$C:$C,MATCH($C388,'Asset Register'!$A:$A,0)),""))</f>
        <v/>
      </c>
      <c r="F388" t="str">
        <f>IF($C388="","",IFERROR(INDEX('Asset Register'!$D:$D,MATCH($C388,'Asset Register'!$A:$A,0)),""))</f>
        <v/>
      </c>
      <c r="J388" s="17" t="str">
        <f t="shared" si="54"/>
        <v/>
      </c>
      <c r="K388" s="17" t="str">
        <f t="shared" si="55"/>
        <v/>
      </c>
      <c r="L388" s="17" t="str">
        <f t="shared" si="57"/>
        <v/>
      </c>
      <c r="O388" t="str">
        <f>IF($C388="","",IFERROR(INDEX('Asset Register'!$G:$G,MATCH($C388,'Asset Register'!$A:$A,0)),""))</f>
        <v/>
      </c>
      <c r="Q388" t="str">
        <f t="shared" si="58"/>
        <v/>
      </c>
      <c r="R388" t="str">
        <f t="shared" si="59"/>
        <v/>
      </c>
      <c r="S388" s="17" t="str">
        <f t="shared" si="60"/>
        <v/>
      </c>
      <c r="T388" s="18" t="str">
        <f>IF($C388="","",IFERROR(INDEX('Asset Register'!$H:$H,MATCH($C388,'Asset Register'!$A:$A,0)),""))</f>
        <v/>
      </c>
      <c r="U388" s="18" t="str">
        <f t="shared" si="61"/>
        <v/>
      </c>
      <c r="V388" s="17" t="str">
        <f t="shared" si="62"/>
        <v/>
      </c>
    </row>
    <row r="389" spans="1:22" x14ac:dyDescent="0.25">
      <c r="A389" t="str">
        <f t="shared" si="56"/>
        <v/>
      </c>
      <c r="B389" s="16"/>
      <c r="D389" t="str">
        <f>IF($C389="","",IFERROR(INDEX('Asset Register'!$B:$B,MATCH($C389,'Asset Register'!$A:$A,0)),""))</f>
        <v/>
      </c>
      <c r="E389" t="str">
        <f>IF($C389="","",IFERROR(INDEX('Asset Register'!$C:$C,MATCH($C389,'Asset Register'!$A:$A,0)),""))</f>
        <v/>
      </c>
      <c r="F389" t="str">
        <f>IF($C389="","",IFERROR(INDEX('Asset Register'!$D:$D,MATCH($C389,'Asset Register'!$A:$A,0)),""))</f>
        <v/>
      </c>
      <c r="J389" s="17" t="str">
        <f t="shared" si="54"/>
        <v/>
      </c>
      <c r="K389" s="17" t="str">
        <f t="shared" si="55"/>
        <v/>
      </c>
      <c r="L389" s="17" t="str">
        <f t="shared" si="57"/>
        <v/>
      </c>
      <c r="O389" t="str">
        <f>IF($C389="","",IFERROR(INDEX('Asset Register'!$G:$G,MATCH($C389,'Asset Register'!$A:$A,0)),""))</f>
        <v/>
      </c>
      <c r="Q389" t="str">
        <f t="shared" si="58"/>
        <v/>
      </c>
      <c r="R389" t="str">
        <f t="shared" si="59"/>
        <v/>
      </c>
      <c r="S389" s="17" t="str">
        <f t="shared" si="60"/>
        <v/>
      </c>
      <c r="T389" s="18" t="str">
        <f>IF($C389="","",IFERROR(INDEX('Asset Register'!$H:$H,MATCH($C389,'Asset Register'!$A:$A,0)),""))</f>
        <v/>
      </c>
      <c r="U389" s="18" t="str">
        <f t="shared" si="61"/>
        <v/>
      </c>
      <c r="V389" s="17" t="str">
        <f t="shared" si="62"/>
        <v/>
      </c>
    </row>
    <row r="390" spans="1:22" x14ac:dyDescent="0.25">
      <c r="A390" t="str">
        <f t="shared" si="56"/>
        <v/>
      </c>
      <c r="B390" s="16"/>
      <c r="D390" t="str">
        <f>IF($C390="","",IFERROR(INDEX('Asset Register'!$B:$B,MATCH($C390,'Asset Register'!$A:$A,0)),""))</f>
        <v/>
      </c>
      <c r="E390" t="str">
        <f>IF($C390="","",IFERROR(INDEX('Asset Register'!$C:$C,MATCH($C390,'Asset Register'!$A:$A,0)),""))</f>
        <v/>
      </c>
      <c r="F390" t="str">
        <f>IF($C390="","",IFERROR(INDEX('Asset Register'!$D:$D,MATCH($C390,'Asset Register'!$A:$A,0)),""))</f>
        <v/>
      </c>
      <c r="J390" s="17" t="str">
        <f t="shared" si="54"/>
        <v/>
      </c>
      <c r="K390" s="17" t="str">
        <f t="shared" si="55"/>
        <v/>
      </c>
      <c r="L390" s="17" t="str">
        <f t="shared" si="57"/>
        <v/>
      </c>
      <c r="O390" t="str">
        <f>IF($C390="","",IFERROR(INDEX('Asset Register'!$G:$G,MATCH($C390,'Asset Register'!$A:$A,0)),""))</f>
        <v/>
      </c>
      <c r="Q390" t="str">
        <f t="shared" si="58"/>
        <v/>
      </c>
      <c r="R390" t="str">
        <f t="shared" si="59"/>
        <v/>
      </c>
      <c r="S390" s="17" t="str">
        <f t="shared" si="60"/>
        <v/>
      </c>
      <c r="T390" s="18" t="str">
        <f>IF($C390="","",IFERROR(INDEX('Asset Register'!$H:$H,MATCH($C390,'Asset Register'!$A:$A,0)),""))</f>
        <v/>
      </c>
      <c r="U390" s="18" t="str">
        <f t="shared" si="61"/>
        <v/>
      </c>
      <c r="V390" s="17" t="str">
        <f t="shared" si="62"/>
        <v/>
      </c>
    </row>
    <row r="391" spans="1:22" x14ac:dyDescent="0.25">
      <c r="A391" t="str">
        <f t="shared" si="56"/>
        <v/>
      </c>
      <c r="B391" s="16"/>
      <c r="D391" t="str">
        <f>IF($C391="","",IFERROR(INDEX('Asset Register'!$B:$B,MATCH($C391,'Asset Register'!$A:$A,0)),""))</f>
        <v/>
      </c>
      <c r="E391" t="str">
        <f>IF($C391="","",IFERROR(INDEX('Asset Register'!$C:$C,MATCH($C391,'Asset Register'!$A:$A,0)),""))</f>
        <v/>
      </c>
      <c r="F391" t="str">
        <f>IF($C391="","",IFERROR(INDEX('Asset Register'!$D:$D,MATCH($C391,'Asset Register'!$A:$A,0)),""))</f>
        <v/>
      </c>
      <c r="J391" s="17" t="str">
        <f t="shared" si="54"/>
        <v/>
      </c>
      <c r="K391" s="17" t="str">
        <f t="shared" si="55"/>
        <v/>
      </c>
      <c r="L391" s="17" t="str">
        <f t="shared" si="57"/>
        <v/>
      </c>
      <c r="O391" t="str">
        <f>IF($C391="","",IFERROR(INDEX('Asset Register'!$G:$G,MATCH($C391,'Asset Register'!$A:$A,0)),""))</f>
        <v/>
      </c>
      <c r="Q391" t="str">
        <f t="shared" si="58"/>
        <v/>
      </c>
      <c r="R391" t="str">
        <f t="shared" si="59"/>
        <v/>
      </c>
      <c r="S391" s="17" t="str">
        <f t="shared" si="60"/>
        <v/>
      </c>
      <c r="T391" s="18" t="str">
        <f>IF($C391="","",IFERROR(INDEX('Asset Register'!$H:$H,MATCH($C391,'Asset Register'!$A:$A,0)),""))</f>
        <v/>
      </c>
      <c r="U391" s="18" t="str">
        <f t="shared" si="61"/>
        <v/>
      </c>
      <c r="V391" s="17" t="str">
        <f t="shared" si="62"/>
        <v/>
      </c>
    </row>
    <row r="392" spans="1:22" x14ac:dyDescent="0.25">
      <c r="A392" t="str">
        <f t="shared" si="56"/>
        <v/>
      </c>
      <c r="B392" s="16"/>
      <c r="D392" t="str">
        <f>IF($C392="","",IFERROR(INDEX('Asset Register'!$B:$B,MATCH($C392,'Asset Register'!$A:$A,0)),""))</f>
        <v/>
      </c>
      <c r="E392" t="str">
        <f>IF($C392="","",IFERROR(INDEX('Asset Register'!$C:$C,MATCH($C392,'Asset Register'!$A:$A,0)),""))</f>
        <v/>
      </c>
      <c r="F392" t="str">
        <f>IF($C392="","",IFERROR(INDEX('Asset Register'!$D:$D,MATCH($C392,'Asset Register'!$A:$A,0)),""))</f>
        <v/>
      </c>
      <c r="J392" s="17" t="str">
        <f t="shared" si="54"/>
        <v/>
      </c>
      <c r="K392" s="17" t="str">
        <f t="shared" si="55"/>
        <v/>
      </c>
      <c r="L392" s="17" t="str">
        <f t="shared" si="57"/>
        <v/>
      </c>
      <c r="O392" t="str">
        <f>IF($C392="","",IFERROR(INDEX('Asset Register'!$G:$G,MATCH($C392,'Asset Register'!$A:$A,0)),""))</f>
        <v/>
      </c>
      <c r="Q392" t="str">
        <f t="shared" si="58"/>
        <v/>
      </c>
      <c r="R392" t="str">
        <f t="shared" si="59"/>
        <v/>
      </c>
      <c r="S392" s="17" t="str">
        <f t="shared" si="60"/>
        <v/>
      </c>
      <c r="T392" s="18" t="str">
        <f>IF($C392="","",IFERROR(INDEX('Asset Register'!$H:$H,MATCH($C392,'Asset Register'!$A:$A,0)),""))</f>
        <v/>
      </c>
      <c r="U392" s="18" t="str">
        <f t="shared" si="61"/>
        <v/>
      </c>
      <c r="V392" s="17" t="str">
        <f t="shared" si="62"/>
        <v/>
      </c>
    </row>
    <row r="393" spans="1:22" x14ac:dyDescent="0.25">
      <c r="A393" t="str">
        <f t="shared" si="56"/>
        <v/>
      </c>
      <c r="B393" s="16"/>
      <c r="D393" t="str">
        <f>IF($C393="","",IFERROR(INDEX('Asset Register'!$B:$B,MATCH($C393,'Asset Register'!$A:$A,0)),""))</f>
        <v/>
      </c>
      <c r="E393" t="str">
        <f>IF($C393="","",IFERROR(INDEX('Asset Register'!$C:$C,MATCH($C393,'Asset Register'!$A:$A,0)),""))</f>
        <v/>
      </c>
      <c r="F393" t="str">
        <f>IF($C393="","",IFERROR(INDEX('Asset Register'!$D:$D,MATCH($C393,'Asset Register'!$A:$A,0)),""))</f>
        <v/>
      </c>
      <c r="J393" s="17" t="str">
        <f t="shared" si="54"/>
        <v/>
      </c>
      <c r="K393" s="17" t="str">
        <f t="shared" si="55"/>
        <v/>
      </c>
      <c r="L393" s="17" t="str">
        <f t="shared" si="57"/>
        <v/>
      </c>
      <c r="O393" t="str">
        <f>IF($C393="","",IFERROR(INDEX('Asset Register'!$G:$G,MATCH($C393,'Asset Register'!$A:$A,0)),""))</f>
        <v/>
      </c>
      <c r="Q393" t="str">
        <f t="shared" si="58"/>
        <v/>
      </c>
      <c r="R393" t="str">
        <f t="shared" si="59"/>
        <v/>
      </c>
      <c r="S393" s="17" t="str">
        <f t="shared" si="60"/>
        <v/>
      </c>
      <c r="T393" s="18" t="str">
        <f>IF($C393="","",IFERROR(INDEX('Asset Register'!$H:$H,MATCH($C393,'Asset Register'!$A:$A,0)),""))</f>
        <v/>
      </c>
      <c r="U393" s="18" t="str">
        <f t="shared" si="61"/>
        <v/>
      </c>
      <c r="V393" s="17" t="str">
        <f t="shared" si="62"/>
        <v/>
      </c>
    </row>
    <row r="394" spans="1:22" x14ac:dyDescent="0.25">
      <c r="A394" t="str">
        <f t="shared" si="56"/>
        <v/>
      </c>
      <c r="B394" s="16"/>
      <c r="D394" t="str">
        <f>IF($C394="","",IFERROR(INDEX('Asset Register'!$B:$B,MATCH($C394,'Asset Register'!$A:$A,0)),""))</f>
        <v/>
      </c>
      <c r="E394" t="str">
        <f>IF($C394="","",IFERROR(INDEX('Asset Register'!$C:$C,MATCH($C394,'Asset Register'!$A:$A,0)),""))</f>
        <v/>
      </c>
      <c r="F394" t="str">
        <f>IF($C394="","",IFERROR(INDEX('Asset Register'!$D:$D,MATCH($C394,'Asset Register'!$A:$A,0)),""))</f>
        <v/>
      </c>
      <c r="J394" s="17" t="str">
        <f t="shared" si="54"/>
        <v/>
      </c>
      <c r="K394" s="17" t="str">
        <f t="shared" si="55"/>
        <v/>
      </c>
      <c r="L394" s="17" t="str">
        <f t="shared" si="57"/>
        <v/>
      </c>
      <c r="O394" t="str">
        <f>IF($C394="","",IFERROR(INDEX('Asset Register'!$G:$G,MATCH($C394,'Asset Register'!$A:$A,0)),""))</f>
        <v/>
      </c>
      <c r="Q394" t="str">
        <f t="shared" si="58"/>
        <v/>
      </c>
      <c r="R394" t="str">
        <f t="shared" si="59"/>
        <v/>
      </c>
      <c r="S394" s="17" t="str">
        <f t="shared" si="60"/>
        <v/>
      </c>
      <c r="T394" s="18" t="str">
        <f>IF($C394="","",IFERROR(INDEX('Asset Register'!$H:$H,MATCH($C394,'Asset Register'!$A:$A,0)),""))</f>
        <v/>
      </c>
      <c r="U394" s="18" t="str">
        <f t="shared" si="61"/>
        <v/>
      </c>
      <c r="V394" s="17" t="str">
        <f t="shared" si="62"/>
        <v/>
      </c>
    </row>
    <row r="395" spans="1:22" x14ac:dyDescent="0.25">
      <c r="A395" t="str">
        <f t="shared" si="56"/>
        <v/>
      </c>
      <c r="B395" s="16"/>
      <c r="D395" t="str">
        <f>IF($C395="","",IFERROR(INDEX('Asset Register'!$B:$B,MATCH($C395,'Asset Register'!$A:$A,0)),""))</f>
        <v/>
      </c>
      <c r="E395" t="str">
        <f>IF($C395="","",IFERROR(INDEX('Asset Register'!$C:$C,MATCH($C395,'Asset Register'!$A:$A,0)),""))</f>
        <v/>
      </c>
      <c r="F395" t="str">
        <f>IF($C395="","",IFERROR(INDEX('Asset Register'!$D:$D,MATCH($C395,'Asset Register'!$A:$A,0)),""))</f>
        <v/>
      </c>
      <c r="J395" s="17" t="str">
        <f t="shared" si="54"/>
        <v/>
      </c>
      <c r="K395" s="17" t="str">
        <f t="shared" si="55"/>
        <v/>
      </c>
      <c r="L395" s="17" t="str">
        <f t="shared" si="57"/>
        <v/>
      </c>
      <c r="O395" t="str">
        <f>IF($C395="","",IFERROR(INDEX('Asset Register'!$G:$G,MATCH($C395,'Asset Register'!$A:$A,0)),""))</f>
        <v/>
      </c>
      <c r="Q395" t="str">
        <f t="shared" si="58"/>
        <v/>
      </c>
      <c r="R395" t="str">
        <f t="shared" si="59"/>
        <v/>
      </c>
      <c r="S395" s="17" t="str">
        <f t="shared" si="60"/>
        <v/>
      </c>
      <c r="T395" s="18" t="str">
        <f>IF($C395="","",IFERROR(INDEX('Asset Register'!$H:$H,MATCH($C395,'Asset Register'!$A:$A,0)),""))</f>
        <v/>
      </c>
      <c r="U395" s="18" t="str">
        <f t="shared" si="61"/>
        <v/>
      </c>
      <c r="V395" s="17" t="str">
        <f t="shared" si="62"/>
        <v/>
      </c>
    </row>
    <row r="396" spans="1:22" x14ac:dyDescent="0.25">
      <c r="A396" t="str">
        <f t="shared" si="56"/>
        <v/>
      </c>
      <c r="B396" s="16"/>
      <c r="D396" t="str">
        <f>IF($C396="","",IFERROR(INDEX('Asset Register'!$B:$B,MATCH($C396,'Asset Register'!$A:$A,0)),""))</f>
        <v/>
      </c>
      <c r="E396" t="str">
        <f>IF($C396="","",IFERROR(INDEX('Asset Register'!$C:$C,MATCH($C396,'Asset Register'!$A:$A,0)),""))</f>
        <v/>
      </c>
      <c r="F396" t="str">
        <f>IF($C396="","",IFERROR(INDEX('Asset Register'!$D:$D,MATCH($C396,'Asset Register'!$A:$A,0)),""))</f>
        <v/>
      </c>
      <c r="J396" s="17" t="str">
        <f t="shared" si="54"/>
        <v/>
      </c>
      <c r="K396" s="17" t="str">
        <f t="shared" si="55"/>
        <v/>
      </c>
      <c r="L396" s="17" t="str">
        <f t="shared" si="57"/>
        <v/>
      </c>
      <c r="O396" t="str">
        <f>IF($C396="","",IFERROR(INDEX('Asset Register'!$G:$G,MATCH($C396,'Asset Register'!$A:$A,0)),""))</f>
        <v/>
      </c>
      <c r="Q396" t="str">
        <f t="shared" si="58"/>
        <v/>
      </c>
      <c r="R396" t="str">
        <f t="shared" si="59"/>
        <v/>
      </c>
      <c r="S396" s="17" t="str">
        <f t="shared" si="60"/>
        <v/>
      </c>
      <c r="T396" s="18" t="str">
        <f>IF($C396="","",IFERROR(INDEX('Asset Register'!$H:$H,MATCH($C396,'Asset Register'!$A:$A,0)),""))</f>
        <v/>
      </c>
      <c r="U396" s="18" t="str">
        <f t="shared" si="61"/>
        <v/>
      </c>
      <c r="V396" s="17" t="str">
        <f t="shared" si="62"/>
        <v/>
      </c>
    </row>
    <row r="397" spans="1:22" x14ac:dyDescent="0.25">
      <c r="A397" t="str">
        <f t="shared" si="56"/>
        <v/>
      </c>
      <c r="B397" s="16"/>
      <c r="D397" t="str">
        <f>IF($C397="","",IFERROR(INDEX('Asset Register'!$B:$B,MATCH($C397,'Asset Register'!$A:$A,0)),""))</f>
        <v/>
      </c>
      <c r="E397" t="str">
        <f>IF($C397="","",IFERROR(INDEX('Asset Register'!$C:$C,MATCH($C397,'Asset Register'!$A:$A,0)),""))</f>
        <v/>
      </c>
      <c r="F397" t="str">
        <f>IF($C397="","",IFERROR(INDEX('Asset Register'!$D:$D,MATCH($C397,'Asset Register'!$A:$A,0)),""))</f>
        <v/>
      </c>
      <c r="J397" s="17" t="str">
        <f t="shared" si="54"/>
        <v/>
      </c>
      <c r="K397" s="17" t="str">
        <f t="shared" si="55"/>
        <v/>
      </c>
      <c r="L397" s="17" t="str">
        <f t="shared" si="57"/>
        <v/>
      </c>
      <c r="O397" t="str">
        <f>IF($C397="","",IFERROR(INDEX('Asset Register'!$G:$G,MATCH($C397,'Asset Register'!$A:$A,0)),""))</f>
        <v/>
      </c>
      <c r="Q397" t="str">
        <f t="shared" si="58"/>
        <v/>
      </c>
      <c r="R397" t="str">
        <f t="shared" si="59"/>
        <v/>
      </c>
      <c r="S397" s="17" t="str">
        <f t="shared" si="60"/>
        <v/>
      </c>
      <c r="T397" s="18" t="str">
        <f>IF($C397="","",IFERROR(INDEX('Asset Register'!$H:$H,MATCH($C397,'Asset Register'!$A:$A,0)),""))</f>
        <v/>
      </c>
      <c r="U397" s="18" t="str">
        <f t="shared" si="61"/>
        <v/>
      </c>
      <c r="V397" s="17" t="str">
        <f t="shared" si="62"/>
        <v/>
      </c>
    </row>
    <row r="398" spans="1:22" x14ac:dyDescent="0.25">
      <c r="A398" t="str">
        <f t="shared" si="56"/>
        <v/>
      </c>
      <c r="B398" s="16"/>
      <c r="D398" t="str">
        <f>IF($C398="","",IFERROR(INDEX('Asset Register'!$B:$B,MATCH($C398,'Asset Register'!$A:$A,0)),""))</f>
        <v/>
      </c>
      <c r="E398" t="str">
        <f>IF($C398="","",IFERROR(INDEX('Asset Register'!$C:$C,MATCH($C398,'Asset Register'!$A:$A,0)),""))</f>
        <v/>
      </c>
      <c r="F398" t="str">
        <f>IF($C398="","",IFERROR(INDEX('Asset Register'!$D:$D,MATCH($C398,'Asset Register'!$A:$A,0)),""))</f>
        <v/>
      </c>
      <c r="J398" s="17" t="str">
        <f t="shared" si="54"/>
        <v/>
      </c>
      <c r="K398" s="17" t="str">
        <f t="shared" si="55"/>
        <v/>
      </c>
      <c r="L398" s="17" t="str">
        <f t="shared" si="57"/>
        <v/>
      </c>
      <c r="O398" t="str">
        <f>IF($C398="","",IFERROR(INDEX('Asset Register'!$G:$G,MATCH($C398,'Asset Register'!$A:$A,0)),""))</f>
        <v/>
      </c>
      <c r="Q398" t="str">
        <f t="shared" si="58"/>
        <v/>
      </c>
      <c r="R398" t="str">
        <f t="shared" si="59"/>
        <v/>
      </c>
      <c r="S398" s="17" t="str">
        <f t="shared" si="60"/>
        <v/>
      </c>
      <c r="T398" s="18" t="str">
        <f>IF($C398="","",IFERROR(INDEX('Asset Register'!$H:$H,MATCH($C398,'Asset Register'!$A:$A,0)),""))</f>
        <v/>
      </c>
      <c r="U398" s="18" t="str">
        <f t="shared" si="61"/>
        <v/>
      </c>
      <c r="V398" s="17" t="str">
        <f t="shared" si="62"/>
        <v/>
      </c>
    </row>
    <row r="399" spans="1:22" x14ac:dyDescent="0.25">
      <c r="A399" t="str">
        <f t="shared" si="56"/>
        <v/>
      </c>
      <c r="B399" s="16"/>
      <c r="D399" t="str">
        <f>IF($C399="","",IFERROR(INDEX('Asset Register'!$B:$B,MATCH($C399,'Asset Register'!$A:$A,0)),""))</f>
        <v/>
      </c>
      <c r="E399" t="str">
        <f>IF($C399="","",IFERROR(INDEX('Asset Register'!$C:$C,MATCH($C399,'Asset Register'!$A:$A,0)),""))</f>
        <v/>
      </c>
      <c r="F399" t="str">
        <f>IF($C399="","",IFERROR(INDEX('Asset Register'!$D:$D,MATCH($C399,'Asset Register'!$A:$A,0)),""))</f>
        <v/>
      </c>
      <c r="J399" s="17" t="str">
        <f t="shared" si="54"/>
        <v/>
      </c>
      <c r="K399" s="17" t="str">
        <f t="shared" si="55"/>
        <v/>
      </c>
      <c r="L399" s="17" t="str">
        <f t="shared" si="57"/>
        <v/>
      </c>
      <c r="O399" t="str">
        <f>IF($C399="","",IFERROR(INDEX('Asset Register'!$G:$G,MATCH($C399,'Asset Register'!$A:$A,0)),""))</f>
        <v/>
      </c>
      <c r="Q399" t="str">
        <f t="shared" si="58"/>
        <v/>
      </c>
      <c r="R399" t="str">
        <f t="shared" si="59"/>
        <v/>
      </c>
      <c r="S399" s="17" t="str">
        <f t="shared" si="60"/>
        <v/>
      </c>
      <c r="T399" s="18" t="str">
        <f>IF($C399="","",IFERROR(INDEX('Asset Register'!$H:$H,MATCH($C399,'Asset Register'!$A:$A,0)),""))</f>
        <v/>
      </c>
      <c r="U399" s="18" t="str">
        <f t="shared" si="61"/>
        <v/>
      </c>
      <c r="V399" s="17" t="str">
        <f t="shared" si="62"/>
        <v/>
      </c>
    </row>
    <row r="400" spans="1:22" x14ac:dyDescent="0.25">
      <c r="A400" t="str">
        <f t="shared" si="56"/>
        <v/>
      </c>
      <c r="B400" s="16"/>
      <c r="D400" t="str">
        <f>IF($C400="","",IFERROR(INDEX('Asset Register'!$B:$B,MATCH($C400,'Asset Register'!$A:$A,0)),""))</f>
        <v/>
      </c>
      <c r="E400" t="str">
        <f>IF($C400="","",IFERROR(INDEX('Asset Register'!$C:$C,MATCH($C400,'Asset Register'!$A:$A,0)),""))</f>
        <v/>
      </c>
      <c r="F400" t="str">
        <f>IF($C400="","",IFERROR(INDEX('Asset Register'!$D:$D,MATCH($C400,'Asset Register'!$A:$A,0)),""))</f>
        <v/>
      </c>
      <c r="J400" s="17" t="str">
        <f t="shared" si="54"/>
        <v/>
      </c>
      <c r="K400" s="17" t="str">
        <f t="shared" si="55"/>
        <v/>
      </c>
      <c r="L400" s="17" t="str">
        <f t="shared" si="57"/>
        <v/>
      </c>
      <c r="O400" t="str">
        <f>IF($C400="","",IFERROR(INDEX('Asset Register'!$G:$G,MATCH($C400,'Asset Register'!$A:$A,0)),""))</f>
        <v/>
      </c>
      <c r="Q400" t="str">
        <f t="shared" si="58"/>
        <v/>
      </c>
      <c r="R400" t="str">
        <f t="shared" si="59"/>
        <v/>
      </c>
      <c r="S400" s="17" t="str">
        <f t="shared" si="60"/>
        <v/>
      </c>
      <c r="T400" s="18" t="str">
        <f>IF($C400="","",IFERROR(INDEX('Asset Register'!$H:$H,MATCH($C400,'Asset Register'!$A:$A,0)),""))</f>
        <v/>
      </c>
      <c r="U400" s="18" t="str">
        <f t="shared" si="61"/>
        <v/>
      </c>
      <c r="V400" s="17" t="str">
        <f t="shared" si="62"/>
        <v/>
      </c>
    </row>
    <row r="401" spans="1:22" x14ac:dyDescent="0.25">
      <c r="A401" t="str">
        <f t="shared" si="56"/>
        <v/>
      </c>
      <c r="B401" s="16"/>
      <c r="D401" t="str">
        <f>IF($C401="","",IFERROR(INDEX('Asset Register'!$B:$B,MATCH($C401,'Asset Register'!$A:$A,0)),""))</f>
        <v/>
      </c>
      <c r="E401" t="str">
        <f>IF($C401="","",IFERROR(INDEX('Asset Register'!$C:$C,MATCH($C401,'Asset Register'!$A:$A,0)),""))</f>
        <v/>
      </c>
      <c r="F401" t="str">
        <f>IF($C401="","",IFERROR(INDEX('Asset Register'!$D:$D,MATCH($C401,'Asset Register'!$A:$A,0)),""))</f>
        <v/>
      </c>
      <c r="J401" s="17" t="str">
        <f t="shared" ref="J401:J464" si="63">IF(OR($G401="",$G401+$I401=0),"",$G401/($G401+$I401))</f>
        <v/>
      </c>
      <c r="K401" s="17" t="str">
        <f t="shared" ref="K401:K464" si="64">IF(OR($G401="",$G401+$H401+$I401=0),"",$G401/($G401+$H401+$I401))</f>
        <v/>
      </c>
      <c r="L401" s="17" t="str">
        <f t="shared" si="57"/>
        <v/>
      </c>
      <c r="O401" t="str">
        <f>IF($C401="","",IFERROR(INDEX('Asset Register'!$G:$G,MATCH($C401,'Asset Register'!$A:$A,0)),""))</f>
        <v/>
      </c>
      <c r="Q401" t="str">
        <f t="shared" si="58"/>
        <v/>
      </c>
      <c r="R401" t="str">
        <f t="shared" si="59"/>
        <v/>
      </c>
      <c r="S401" s="17" t="str">
        <f t="shared" si="60"/>
        <v/>
      </c>
      <c r="T401" s="18" t="str">
        <f>IF($C401="","",IFERROR(INDEX('Asset Register'!$H:$H,MATCH($C401,'Asset Register'!$A:$A,0)),""))</f>
        <v/>
      </c>
      <c r="U401" s="18" t="str">
        <f t="shared" si="61"/>
        <v/>
      </c>
      <c r="V401" s="17" t="str">
        <f t="shared" si="62"/>
        <v/>
      </c>
    </row>
    <row r="402" spans="1:22" x14ac:dyDescent="0.25">
      <c r="A402" t="str">
        <f t="shared" si="56"/>
        <v/>
      </c>
      <c r="B402" s="16"/>
      <c r="D402" t="str">
        <f>IF($C402="","",IFERROR(INDEX('Asset Register'!$B:$B,MATCH($C402,'Asset Register'!$A:$A,0)),""))</f>
        <v/>
      </c>
      <c r="E402" t="str">
        <f>IF($C402="","",IFERROR(INDEX('Asset Register'!$C:$C,MATCH($C402,'Asset Register'!$A:$A,0)),""))</f>
        <v/>
      </c>
      <c r="F402" t="str">
        <f>IF($C402="","",IFERROR(INDEX('Asset Register'!$D:$D,MATCH($C402,'Asset Register'!$A:$A,0)),""))</f>
        <v/>
      </c>
      <c r="J402" s="17" t="str">
        <f t="shared" si="63"/>
        <v/>
      </c>
      <c r="K402" s="17" t="str">
        <f t="shared" si="64"/>
        <v/>
      </c>
      <c r="L402" s="17" t="str">
        <f t="shared" si="57"/>
        <v/>
      </c>
      <c r="O402" t="str">
        <f>IF($C402="","",IFERROR(INDEX('Asset Register'!$G:$G,MATCH($C402,'Asset Register'!$A:$A,0)),""))</f>
        <v/>
      </c>
      <c r="Q402" t="str">
        <f t="shared" si="58"/>
        <v/>
      </c>
      <c r="R402" t="str">
        <f t="shared" si="59"/>
        <v/>
      </c>
      <c r="S402" s="17" t="str">
        <f t="shared" si="60"/>
        <v/>
      </c>
      <c r="T402" s="18" t="str">
        <f>IF($C402="","",IFERROR(INDEX('Asset Register'!$H:$H,MATCH($C402,'Asset Register'!$A:$A,0)),""))</f>
        <v/>
      </c>
      <c r="U402" s="18" t="str">
        <f t="shared" si="61"/>
        <v/>
      </c>
      <c r="V402" s="17" t="str">
        <f t="shared" si="62"/>
        <v/>
      </c>
    </row>
    <row r="403" spans="1:22" x14ac:dyDescent="0.25">
      <c r="A403" t="str">
        <f t="shared" si="56"/>
        <v/>
      </c>
      <c r="B403" s="16"/>
      <c r="D403" t="str">
        <f>IF($C403="","",IFERROR(INDEX('Asset Register'!$B:$B,MATCH($C403,'Asset Register'!$A:$A,0)),""))</f>
        <v/>
      </c>
      <c r="E403" t="str">
        <f>IF($C403="","",IFERROR(INDEX('Asset Register'!$C:$C,MATCH($C403,'Asset Register'!$A:$A,0)),""))</f>
        <v/>
      </c>
      <c r="F403" t="str">
        <f>IF($C403="","",IFERROR(INDEX('Asset Register'!$D:$D,MATCH($C403,'Asset Register'!$A:$A,0)),""))</f>
        <v/>
      </c>
      <c r="J403" s="17" t="str">
        <f t="shared" si="63"/>
        <v/>
      </c>
      <c r="K403" s="17" t="str">
        <f t="shared" si="64"/>
        <v/>
      </c>
      <c r="L403" s="17" t="str">
        <f t="shared" si="57"/>
        <v/>
      </c>
      <c r="O403" t="str">
        <f>IF($C403="","",IFERROR(INDEX('Asset Register'!$G:$G,MATCH($C403,'Asset Register'!$A:$A,0)),""))</f>
        <v/>
      </c>
      <c r="Q403" t="str">
        <f t="shared" si="58"/>
        <v/>
      </c>
      <c r="R403" t="str">
        <f t="shared" si="59"/>
        <v/>
      </c>
      <c r="S403" s="17" t="str">
        <f t="shared" si="60"/>
        <v/>
      </c>
      <c r="T403" s="18" t="str">
        <f>IF($C403="","",IFERROR(INDEX('Asset Register'!$H:$H,MATCH($C403,'Asset Register'!$A:$A,0)),""))</f>
        <v/>
      </c>
      <c r="U403" s="18" t="str">
        <f t="shared" si="61"/>
        <v/>
      </c>
      <c r="V403" s="17" t="str">
        <f t="shared" si="62"/>
        <v/>
      </c>
    </row>
    <row r="404" spans="1:22" x14ac:dyDescent="0.25">
      <c r="A404" t="str">
        <f t="shared" si="56"/>
        <v/>
      </c>
      <c r="B404" s="16"/>
      <c r="D404" t="str">
        <f>IF($C404="","",IFERROR(INDEX('Asset Register'!$B:$B,MATCH($C404,'Asset Register'!$A:$A,0)),""))</f>
        <v/>
      </c>
      <c r="E404" t="str">
        <f>IF($C404="","",IFERROR(INDEX('Asset Register'!$C:$C,MATCH($C404,'Asset Register'!$A:$A,0)),""))</f>
        <v/>
      </c>
      <c r="F404" t="str">
        <f>IF($C404="","",IFERROR(INDEX('Asset Register'!$D:$D,MATCH($C404,'Asset Register'!$A:$A,0)),""))</f>
        <v/>
      </c>
      <c r="J404" s="17" t="str">
        <f t="shared" si="63"/>
        <v/>
      </c>
      <c r="K404" s="17" t="str">
        <f t="shared" si="64"/>
        <v/>
      </c>
      <c r="L404" s="17" t="str">
        <f t="shared" si="57"/>
        <v/>
      </c>
      <c r="O404" t="str">
        <f>IF($C404="","",IFERROR(INDEX('Asset Register'!$G:$G,MATCH($C404,'Asset Register'!$A:$A,0)),""))</f>
        <v/>
      </c>
      <c r="Q404" t="str">
        <f t="shared" si="58"/>
        <v/>
      </c>
      <c r="R404" t="str">
        <f t="shared" si="59"/>
        <v/>
      </c>
      <c r="S404" s="17" t="str">
        <f t="shared" si="60"/>
        <v/>
      </c>
      <c r="T404" s="18" t="str">
        <f>IF($C404="","",IFERROR(INDEX('Asset Register'!$H:$H,MATCH($C404,'Asset Register'!$A:$A,0)),""))</f>
        <v/>
      </c>
      <c r="U404" s="18" t="str">
        <f t="shared" si="61"/>
        <v/>
      </c>
      <c r="V404" s="17" t="str">
        <f t="shared" si="62"/>
        <v/>
      </c>
    </row>
    <row r="405" spans="1:22" x14ac:dyDescent="0.25">
      <c r="A405" t="str">
        <f t="shared" si="56"/>
        <v/>
      </c>
      <c r="B405" s="16"/>
      <c r="D405" t="str">
        <f>IF($C405="","",IFERROR(INDEX('Asset Register'!$B:$B,MATCH($C405,'Asset Register'!$A:$A,0)),""))</f>
        <v/>
      </c>
      <c r="E405" t="str">
        <f>IF($C405="","",IFERROR(INDEX('Asset Register'!$C:$C,MATCH($C405,'Asset Register'!$A:$A,0)),""))</f>
        <v/>
      </c>
      <c r="F405" t="str">
        <f>IF($C405="","",IFERROR(INDEX('Asset Register'!$D:$D,MATCH($C405,'Asset Register'!$A:$A,0)),""))</f>
        <v/>
      </c>
      <c r="J405" s="17" t="str">
        <f t="shared" si="63"/>
        <v/>
      </c>
      <c r="K405" s="17" t="str">
        <f t="shared" si="64"/>
        <v/>
      </c>
      <c r="L405" s="17" t="str">
        <f t="shared" si="57"/>
        <v/>
      </c>
      <c r="O405" t="str">
        <f>IF($C405="","",IFERROR(INDEX('Asset Register'!$G:$G,MATCH($C405,'Asset Register'!$A:$A,0)),""))</f>
        <v/>
      </c>
      <c r="Q405" t="str">
        <f t="shared" si="58"/>
        <v/>
      </c>
      <c r="R405" t="str">
        <f t="shared" si="59"/>
        <v/>
      </c>
      <c r="S405" s="17" t="str">
        <f t="shared" si="60"/>
        <v/>
      </c>
      <c r="T405" s="18" t="str">
        <f>IF($C405="","",IFERROR(INDEX('Asset Register'!$H:$H,MATCH($C405,'Asset Register'!$A:$A,0)),""))</f>
        <v/>
      </c>
      <c r="U405" s="18" t="str">
        <f t="shared" si="61"/>
        <v/>
      </c>
      <c r="V405" s="17" t="str">
        <f t="shared" si="62"/>
        <v/>
      </c>
    </row>
    <row r="406" spans="1:22" x14ac:dyDescent="0.25">
      <c r="A406" t="str">
        <f t="shared" si="56"/>
        <v/>
      </c>
      <c r="B406" s="16"/>
      <c r="D406" t="str">
        <f>IF($C406="","",IFERROR(INDEX('Asset Register'!$B:$B,MATCH($C406,'Asset Register'!$A:$A,0)),""))</f>
        <v/>
      </c>
      <c r="E406" t="str">
        <f>IF($C406="","",IFERROR(INDEX('Asset Register'!$C:$C,MATCH($C406,'Asset Register'!$A:$A,0)),""))</f>
        <v/>
      </c>
      <c r="F406" t="str">
        <f>IF($C406="","",IFERROR(INDEX('Asset Register'!$D:$D,MATCH($C406,'Asset Register'!$A:$A,0)),""))</f>
        <v/>
      </c>
      <c r="J406" s="17" t="str">
        <f t="shared" si="63"/>
        <v/>
      </c>
      <c r="K406" s="17" t="str">
        <f t="shared" si="64"/>
        <v/>
      </c>
      <c r="L406" s="17" t="str">
        <f t="shared" si="57"/>
        <v/>
      </c>
      <c r="O406" t="str">
        <f>IF($C406="","",IFERROR(INDEX('Asset Register'!$G:$G,MATCH($C406,'Asset Register'!$A:$A,0)),""))</f>
        <v/>
      </c>
      <c r="Q406" t="str">
        <f t="shared" si="58"/>
        <v/>
      </c>
      <c r="R406" t="str">
        <f t="shared" si="59"/>
        <v/>
      </c>
      <c r="S406" s="17" t="str">
        <f t="shared" si="60"/>
        <v/>
      </c>
      <c r="T406" s="18" t="str">
        <f>IF($C406="","",IFERROR(INDEX('Asset Register'!$H:$H,MATCH($C406,'Asset Register'!$A:$A,0)),""))</f>
        <v/>
      </c>
      <c r="U406" s="18" t="str">
        <f t="shared" si="61"/>
        <v/>
      </c>
      <c r="V406" s="17" t="str">
        <f t="shared" si="62"/>
        <v/>
      </c>
    </row>
    <row r="407" spans="1:22" x14ac:dyDescent="0.25">
      <c r="A407" t="str">
        <f t="shared" si="56"/>
        <v/>
      </c>
      <c r="B407" s="16"/>
      <c r="D407" t="str">
        <f>IF($C407="","",IFERROR(INDEX('Asset Register'!$B:$B,MATCH($C407,'Asset Register'!$A:$A,0)),""))</f>
        <v/>
      </c>
      <c r="E407" t="str">
        <f>IF($C407="","",IFERROR(INDEX('Asset Register'!$C:$C,MATCH($C407,'Asset Register'!$A:$A,0)),""))</f>
        <v/>
      </c>
      <c r="F407" t="str">
        <f>IF($C407="","",IFERROR(INDEX('Asset Register'!$D:$D,MATCH($C407,'Asset Register'!$A:$A,0)),""))</f>
        <v/>
      </c>
      <c r="J407" s="17" t="str">
        <f t="shared" si="63"/>
        <v/>
      </c>
      <c r="K407" s="17" t="str">
        <f t="shared" si="64"/>
        <v/>
      </c>
      <c r="L407" s="17" t="str">
        <f t="shared" si="57"/>
        <v/>
      </c>
      <c r="O407" t="str">
        <f>IF($C407="","",IFERROR(INDEX('Asset Register'!$G:$G,MATCH($C407,'Asset Register'!$A:$A,0)),""))</f>
        <v/>
      </c>
      <c r="Q407" t="str">
        <f t="shared" si="58"/>
        <v/>
      </c>
      <c r="R407" t="str">
        <f t="shared" si="59"/>
        <v/>
      </c>
      <c r="S407" s="17" t="str">
        <f t="shared" si="60"/>
        <v/>
      </c>
      <c r="T407" s="18" t="str">
        <f>IF($C407="","",IFERROR(INDEX('Asset Register'!$H:$H,MATCH($C407,'Asset Register'!$A:$A,0)),""))</f>
        <v/>
      </c>
      <c r="U407" s="18" t="str">
        <f t="shared" si="61"/>
        <v/>
      </c>
      <c r="V407" s="17" t="str">
        <f t="shared" si="62"/>
        <v/>
      </c>
    </row>
    <row r="408" spans="1:22" x14ac:dyDescent="0.25">
      <c r="A408" t="str">
        <f t="shared" si="56"/>
        <v/>
      </c>
      <c r="B408" s="16"/>
      <c r="D408" t="str">
        <f>IF($C408="","",IFERROR(INDEX('Asset Register'!$B:$B,MATCH($C408,'Asset Register'!$A:$A,0)),""))</f>
        <v/>
      </c>
      <c r="E408" t="str">
        <f>IF($C408="","",IFERROR(INDEX('Asset Register'!$C:$C,MATCH($C408,'Asset Register'!$A:$A,0)),""))</f>
        <v/>
      </c>
      <c r="F408" t="str">
        <f>IF($C408="","",IFERROR(INDEX('Asset Register'!$D:$D,MATCH($C408,'Asset Register'!$A:$A,0)),""))</f>
        <v/>
      </c>
      <c r="J408" s="17" t="str">
        <f t="shared" si="63"/>
        <v/>
      </c>
      <c r="K408" s="17" t="str">
        <f t="shared" si="64"/>
        <v/>
      </c>
      <c r="L408" s="17" t="str">
        <f t="shared" si="57"/>
        <v/>
      </c>
      <c r="O408" t="str">
        <f>IF($C408="","",IFERROR(INDEX('Asset Register'!$G:$G,MATCH($C408,'Asset Register'!$A:$A,0)),""))</f>
        <v/>
      </c>
      <c r="Q408" t="str">
        <f t="shared" si="58"/>
        <v/>
      </c>
      <c r="R408" t="str">
        <f t="shared" si="59"/>
        <v/>
      </c>
      <c r="S408" s="17" t="str">
        <f t="shared" si="60"/>
        <v/>
      </c>
      <c r="T408" s="18" t="str">
        <f>IF($C408="","",IFERROR(INDEX('Asset Register'!$H:$H,MATCH($C408,'Asset Register'!$A:$A,0)),""))</f>
        <v/>
      </c>
      <c r="U408" s="18" t="str">
        <f t="shared" si="61"/>
        <v/>
      </c>
      <c r="V408" s="17" t="str">
        <f t="shared" si="62"/>
        <v/>
      </c>
    </row>
    <row r="409" spans="1:22" x14ac:dyDescent="0.25">
      <c r="A409" t="str">
        <f t="shared" si="56"/>
        <v/>
      </c>
      <c r="B409" s="16"/>
      <c r="D409" t="str">
        <f>IF($C409="","",IFERROR(INDEX('Asset Register'!$B:$B,MATCH($C409,'Asset Register'!$A:$A,0)),""))</f>
        <v/>
      </c>
      <c r="E409" t="str">
        <f>IF($C409="","",IFERROR(INDEX('Asset Register'!$C:$C,MATCH($C409,'Asset Register'!$A:$A,0)),""))</f>
        <v/>
      </c>
      <c r="F409" t="str">
        <f>IF($C409="","",IFERROR(INDEX('Asset Register'!$D:$D,MATCH($C409,'Asset Register'!$A:$A,0)),""))</f>
        <v/>
      </c>
      <c r="J409" s="17" t="str">
        <f t="shared" si="63"/>
        <v/>
      </c>
      <c r="K409" s="17" t="str">
        <f t="shared" si="64"/>
        <v/>
      </c>
      <c r="L409" s="17" t="str">
        <f t="shared" si="57"/>
        <v/>
      </c>
      <c r="O409" t="str">
        <f>IF($C409="","",IFERROR(INDEX('Asset Register'!$G:$G,MATCH($C409,'Asset Register'!$A:$A,0)),""))</f>
        <v/>
      </c>
      <c r="Q409" t="str">
        <f t="shared" si="58"/>
        <v/>
      </c>
      <c r="R409" t="str">
        <f t="shared" si="59"/>
        <v/>
      </c>
      <c r="S409" s="17" t="str">
        <f t="shared" si="60"/>
        <v/>
      </c>
      <c r="T409" s="18" t="str">
        <f>IF($C409="","",IFERROR(INDEX('Asset Register'!$H:$H,MATCH($C409,'Asset Register'!$A:$A,0)),""))</f>
        <v/>
      </c>
      <c r="U409" s="18" t="str">
        <f t="shared" si="61"/>
        <v/>
      </c>
      <c r="V409" s="17" t="str">
        <f t="shared" si="62"/>
        <v/>
      </c>
    </row>
    <row r="410" spans="1:22" x14ac:dyDescent="0.25">
      <c r="A410" t="str">
        <f t="shared" si="56"/>
        <v/>
      </c>
      <c r="B410" s="16"/>
      <c r="D410" t="str">
        <f>IF($C410="","",IFERROR(INDEX('Asset Register'!$B:$B,MATCH($C410,'Asset Register'!$A:$A,0)),""))</f>
        <v/>
      </c>
      <c r="E410" t="str">
        <f>IF($C410="","",IFERROR(INDEX('Asset Register'!$C:$C,MATCH($C410,'Asset Register'!$A:$A,0)),""))</f>
        <v/>
      </c>
      <c r="F410" t="str">
        <f>IF($C410="","",IFERROR(INDEX('Asset Register'!$D:$D,MATCH($C410,'Asset Register'!$A:$A,0)),""))</f>
        <v/>
      </c>
      <c r="J410" s="17" t="str">
        <f t="shared" si="63"/>
        <v/>
      </c>
      <c r="K410" s="17" t="str">
        <f t="shared" si="64"/>
        <v/>
      </c>
      <c r="L410" s="17" t="str">
        <f t="shared" si="57"/>
        <v/>
      </c>
      <c r="O410" t="str">
        <f>IF($C410="","",IFERROR(INDEX('Asset Register'!$G:$G,MATCH($C410,'Asset Register'!$A:$A,0)),""))</f>
        <v/>
      </c>
      <c r="Q410" t="str">
        <f t="shared" si="58"/>
        <v/>
      </c>
      <c r="R410" t="str">
        <f t="shared" si="59"/>
        <v/>
      </c>
      <c r="S410" s="17" t="str">
        <f t="shared" si="60"/>
        <v/>
      </c>
      <c r="T410" s="18" t="str">
        <f>IF($C410="","",IFERROR(INDEX('Asset Register'!$H:$H,MATCH($C410,'Asset Register'!$A:$A,0)),""))</f>
        <v/>
      </c>
      <c r="U410" s="18" t="str">
        <f t="shared" si="61"/>
        <v/>
      </c>
      <c r="V410" s="17" t="str">
        <f t="shared" si="62"/>
        <v/>
      </c>
    </row>
    <row r="411" spans="1:22" x14ac:dyDescent="0.25">
      <c r="A411" t="str">
        <f t="shared" si="56"/>
        <v/>
      </c>
      <c r="B411" s="16"/>
      <c r="D411" t="str">
        <f>IF($C411="","",IFERROR(INDEX('Asset Register'!$B:$B,MATCH($C411,'Asset Register'!$A:$A,0)),""))</f>
        <v/>
      </c>
      <c r="E411" t="str">
        <f>IF($C411="","",IFERROR(INDEX('Asset Register'!$C:$C,MATCH($C411,'Asset Register'!$A:$A,0)),""))</f>
        <v/>
      </c>
      <c r="F411" t="str">
        <f>IF($C411="","",IFERROR(INDEX('Asset Register'!$D:$D,MATCH($C411,'Asset Register'!$A:$A,0)),""))</f>
        <v/>
      </c>
      <c r="J411" s="17" t="str">
        <f t="shared" si="63"/>
        <v/>
      </c>
      <c r="K411" s="17" t="str">
        <f t="shared" si="64"/>
        <v/>
      </c>
      <c r="L411" s="17" t="str">
        <f t="shared" si="57"/>
        <v/>
      </c>
      <c r="O411" t="str">
        <f>IF($C411="","",IFERROR(INDEX('Asset Register'!$G:$G,MATCH($C411,'Asset Register'!$A:$A,0)),""))</f>
        <v/>
      </c>
      <c r="Q411" t="str">
        <f t="shared" si="58"/>
        <v/>
      </c>
      <c r="R411" t="str">
        <f t="shared" si="59"/>
        <v/>
      </c>
      <c r="S411" s="17" t="str">
        <f t="shared" si="60"/>
        <v/>
      </c>
      <c r="T411" s="18" t="str">
        <f>IF($C411="","",IFERROR(INDEX('Asset Register'!$H:$H,MATCH($C411,'Asset Register'!$A:$A,0)),""))</f>
        <v/>
      </c>
      <c r="U411" s="18" t="str">
        <f t="shared" si="61"/>
        <v/>
      </c>
      <c r="V411" s="17" t="str">
        <f t="shared" si="62"/>
        <v/>
      </c>
    </row>
    <row r="412" spans="1:22" x14ac:dyDescent="0.25">
      <c r="A412" t="str">
        <f t="shared" si="56"/>
        <v/>
      </c>
      <c r="B412" s="16"/>
      <c r="D412" t="str">
        <f>IF($C412="","",IFERROR(INDEX('Asset Register'!$B:$B,MATCH($C412,'Asset Register'!$A:$A,0)),""))</f>
        <v/>
      </c>
      <c r="E412" t="str">
        <f>IF($C412="","",IFERROR(INDEX('Asset Register'!$C:$C,MATCH($C412,'Asset Register'!$A:$A,0)),""))</f>
        <v/>
      </c>
      <c r="F412" t="str">
        <f>IF($C412="","",IFERROR(INDEX('Asset Register'!$D:$D,MATCH($C412,'Asset Register'!$A:$A,0)),""))</f>
        <v/>
      </c>
      <c r="J412" s="17" t="str">
        <f t="shared" si="63"/>
        <v/>
      </c>
      <c r="K412" s="17" t="str">
        <f t="shared" si="64"/>
        <v/>
      </c>
      <c r="L412" s="17" t="str">
        <f t="shared" si="57"/>
        <v/>
      </c>
      <c r="O412" t="str">
        <f>IF($C412="","",IFERROR(INDEX('Asset Register'!$G:$G,MATCH($C412,'Asset Register'!$A:$A,0)),""))</f>
        <v/>
      </c>
      <c r="Q412" t="str">
        <f t="shared" si="58"/>
        <v/>
      </c>
      <c r="R412" t="str">
        <f t="shared" si="59"/>
        <v/>
      </c>
      <c r="S412" s="17" t="str">
        <f t="shared" si="60"/>
        <v/>
      </c>
      <c r="T412" s="18" t="str">
        <f>IF($C412="","",IFERROR(INDEX('Asset Register'!$H:$H,MATCH($C412,'Asset Register'!$A:$A,0)),""))</f>
        <v/>
      </c>
      <c r="U412" s="18" t="str">
        <f t="shared" si="61"/>
        <v/>
      </c>
      <c r="V412" s="17" t="str">
        <f t="shared" si="62"/>
        <v/>
      </c>
    </row>
    <row r="413" spans="1:22" x14ac:dyDescent="0.25">
      <c r="A413" t="str">
        <f t="shared" si="56"/>
        <v/>
      </c>
      <c r="B413" s="16"/>
      <c r="D413" t="str">
        <f>IF($C413="","",IFERROR(INDEX('Asset Register'!$B:$B,MATCH($C413,'Asset Register'!$A:$A,0)),""))</f>
        <v/>
      </c>
      <c r="E413" t="str">
        <f>IF($C413="","",IFERROR(INDEX('Asset Register'!$C:$C,MATCH($C413,'Asset Register'!$A:$A,0)),""))</f>
        <v/>
      </c>
      <c r="F413" t="str">
        <f>IF($C413="","",IFERROR(INDEX('Asset Register'!$D:$D,MATCH($C413,'Asset Register'!$A:$A,0)),""))</f>
        <v/>
      </c>
      <c r="J413" s="17" t="str">
        <f t="shared" si="63"/>
        <v/>
      </c>
      <c r="K413" s="17" t="str">
        <f t="shared" si="64"/>
        <v/>
      </c>
      <c r="L413" s="17" t="str">
        <f t="shared" si="57"/>
        <v/>
      </c>
      <c r="O413" t="str">
        <f>IF($C413="","",IFERROR(INDEX('Asset Register'!$G:$G,MATCH($C413,'Asset Register'!$A:$A,0)),""))</f>
        <v/>
      </c>
      <c r="Q413" t="str">
        <f t="shared" si="58"/>
        <v/>
      </c>
      <c r="R413" t="str">
        <f t="shared" si="59"/>
        <v/>
      </c>
      <c r="S413" s="17" t="str">
        <f t="shared" si="60"/>
        <v/>
      </c>
      <c r="T413" s="18" t="str">
        <f>IF($C413="","",IFERROR(INDEX('Asset Register'!$H:$H,MATCH($C413,'Asset Register'!$A:$A,0)),""))</f>
        <v/>
      </c>
      <c r="U413" s="18" t="str">
        <f t="shared" si="61"/>
        <v/>
      </c>
      <c r="V413" s="17" t="str">
        <f t="shared" si="62"/>
        <v/>
      </c>
    </row>
    <row r="414" spans="1:22" x14ac:dyDescent="0.25">
      <c r="A414" t="str">
        <f t="shared" si="56"/>
        <v/>
      </c>
      <c r="B414" s="16"/>
      <c r="D414" t="str">
        <f>IF($C414="","",IFERROR(INDEX('Asset Register'!$B:$B,MATCH($C414,'Asset Register'!$A:$A,0)),""))</f>
        <v/>
      </c>
      <c r="E414" t="str">
        <f>IF($C414="","",IFERROR(INDEX('Asset Register'!$C:$C,MATCH($C414,'Asset Register'!$A:$A,0)),""))</f>
        <v/>
      </c>
      <c r="F414" t="str">
        <f>IF($C414="","",IFERROR(INDEX('Asset Register'!$D:$D,MATCH($C414,'Asset Register'!$A:$A,0)),""))</f>
        <v/>
      </c>
      <c r="J414" s="17" t="str">
        <f t="shared" si="63"/>
        <v/>
      </c>
      <c r="K414" s="17" t="str">
        <f t="shared" si="64"/>
        <v/>
      </c>
      <c r="L414" s="17" t="str">
        <f t="shared" si="57"/>
        <v/>
      </c>
      <c r="O414" t="str">
        <f>IF($C414="","",IFERROR(INDEX('Asset Register'!$G:$G,MATCH($C414,'Asset Register'!$A:$A,0)),""))</f>
        <v/>
      </c>
      <c r="Q414" t="str">
        <f t="shared" si="58"/>
        <v/>
      </c>
      <c r="R414" t="str">
        <f t="shared" si="59"/>
        <v/>
      </c>
      <c r="S414" s="17" t="str">
        <f t="shared" si="60"/>
        <v/>
      </c>
      <c r="T414" s="18" t="str">
        <f>IF($C414="","",IFERROR(INDEX('Asset Register'!$H:$H,MATCH($C414,'Asset Register'!$A:$A,0)),""))</f>
        <v/>
      </c>
      <c r="U414" s="18" t="str">
        <f t="shared" si="61"/>
        <v/>
      </c>
      <c r="V414" s="17" t="str">
        <f t="shared" si="62"/>
        <v/>
      </c>
    </row>
    <row r="415" spans="1:22" x14ac:dyDescent="0.25">
      <c r="A415" t="str">
        <f t="shared" si="56"/>
        <v/>
      </c>
      <c r="B415" s="16"/>
      <c r="D415" t="str">
        <f>IF($C415="","",IFERROR(INDEX('Asset Register'!$B:$B,MATCH($C415,'Asset Register'!$A:$A,0)),""))</f>
        <v/>
      </c>
      <c r="E415" t="str">
        <f>IF($C415="","",IFERROR(INDEX('Asset Register'!$C:$C,MATCH($C415,'Asset Register'!$A:$A,0)),""))</f>
        <v/>
      </c>
      <c r="F415" t="str">
        <f>IF($C415="","",IFERROR(INDEX('Asset Register'!$D:$D,MATCH($C415,'Asset Register'!$A:$A,0)),""))</f>
        <v/>
      </c>
      <c r="J415" s="17" t="str">
        <f t="shared" si="63"/>
        <v/>
      </c>
      <c r="K415" s="17" t="str">
        <f t="shared" si="64"/>
        <v/>
      </c>
      <c r="L415" s="17" t="str">
        <f t="shared" si="57"/>
        <v/>
      </c>
      <c r="O415" t="str">
        <f>IF($C415="","",IFERROR(INDEX('Asset Register'!$G:$G,MATCH($C415,'Asset Register'!$A:$A,0)),""))</f>
        <v/>
      </c>
      <c r="Q415" t="str">
        <f t="shared" si="58"/>
        <v/>
      </c>
      <c r="R415" t="str">
        <f t="shared" si="59"/>
        <v/>
      </c>
      <c r="S415" s="17" t="str">
        <f t="shared" si="60"/>
        <v/>
      </c>
      <c r="T415" s="18" t="str">
        <f>IF($C415="","",IFERROR(INDEX('Asset Register'!$H:$H,MATCH($C415,'Asset Register'!$A:$A,0)),""))</f>
        <v/>
      </c>
      <c r="U415" s="18" t="str">
        <f t="shared" si="61"/>
        <v/>
      </c>
      <c r="V415" s="17" t="str">
        <f t="shared" si="62"/>
        <v/>
      </c>
    </row>
    <row r="416" spans="1:22" x14ac:dyDescent="0.25">
      <c r="A416" t="str">
        <f t="shared" si="56"/>
        <v/>
      </c>
      <c r="B416" s="16"/>
      <c r="D416" t="str">
        <f>IF($C416="","",IFERROR(INDEX('Asset Register'!$B:$B,MATCH($C416,'Asset Register'!$A:$A,0)),""))</f>
        <v/>
      </c>
      <c r="E416" t="str">
        <f>IF($C416="","",IFERROR(INDEX('Asset Register'!$C:$C,MATCH($C416,'Asset Register'!$A:$A,0)),""))</f>
        <v/>
      </c>
      <c r="F416" t="str">
        <f>IF($C416="","",IFERROR(INDEX('Asset Register'!$D:$D,MATCH($C416,'Asset Register'!$A:$A,0)),""))</f>
        <v/>
      </c>
      <c r="J416" s="17" t="str">
        <f t="shared" si="63"/>
        <v/>
      </c>
      <c r="K416" s="17" t="str">
        <f t="shared" si="64"/>
        <v/>
      </c>
      <c r="L416" s="17" t="str">
        <f t="shared" si="57"/>
        <v/>
      </c>
      <c r="O416" t="str">
        <f>IF($C416="","",IFERROR(INDEX('Asset Register'!$G:$G,MATCH($C416,'Asset Register'!$A:$A,0)),""))</f>
        <v/>
      </c>
      <c r="Q416" t="str">
        <f t="shared" si="58"/>
        <v/>
      </c>
      <c r="R416" t="str">
        <f t="shared" si="59"/>
        <v/>
      </c>
      <c r="S416" s="17" t="str">
        <f t="shared" si="60"/>
        <v/>
      </c>
      <c r="T416" s="18" t="str">
        <f>IF($C416="","",IFERROR(INDEX('Asset Register'!$H:$H,MATCH($C416,'Asset Register'!$A:$A,0)),""))</f>
        <v/>
      </c>
      <c r="U416" s="18" t="str">
        <f t="shared" si="61"/>
        <v/>
      </c>
      <c r="V416" s="17" t="str">
        <f t="shared" si="62"/>
        <v/>
      </c>
    </row>
    <row r="417" spans="1:22" x14ac:dyDescent="0.25">
      <c r="A417" t="str">
        <f t="shared" si="56"/>
        <v/>
      </c>
      <c r="B417" s="16"/>
      <c r="D417" t="str">
        <f>IF($C417="","",IFERROR(INDEX('Asset Register'!$B:$B,MATCH($C417,'Asset Register'!$A:$A,0)),""))</f>
        <v/>
      </c>
      <c r="E417" t="str">
        <f>IF($C417="","",IFERROR(INDEX('Asset Register'!$C:$C,MATCH($C417,'Asset Register'!$A:$A,0)),""))</f>
        <v/>
      </c>
      <c r="F417" t="str">
        <f>IF($C417="","",IFERROR(INDEX('Asset Register'!$D:$D,MATCH($C417,'Asset Register'!$A:$A,0)),""))</f>
        <v/>
      </c>
      <c r="J417" s="17" t="str">
        <f t="shared" si="63"/>
        <v/>
      </c>
      <c r="K417" s="17" t="str">
        <f t="shared" si="64"/>
        <v/>
      </c>
      <c r="L417" s="17" t="str">
        <f t="shared" si="57"/>
        <v/>
      </c>
      <c r="O417" t="str">
        <f>IF($C417="","",IFERROR(INDEX('Asset Register'!$G:$G,MATCH($C417,'Asset Register'!$A:$A,0)),""))</f>
        <v/>
      </c>
      <c r="Q417" t="str">
        <f t="shared" si="58"/>
        <v/>
      </c>
      <c r="R417" t="str">
        <f t="shared" si="59"/>
        <v/>
      </c>
      <c r="S417" s="17" t="str">
        <f t="shared" si="60"/>
        <v/>
      </c>
      <c r="T417" s="18" t="str">
        <f>IF($C417="","",IFERROR(INDEX('Asset Register'!$H:$H,MATCH($C417,'Asset Register'!$A:$A,0)),""))</f>
        <v/>
      </c>
      <c r="U417" s="18" t="str">
        <f t="shared" si="61"/>
        <v/>
      </c>
      <c r="V417" s="17" t="str">
        <f t="shared" si="62"/>
        <v/>
      </c>
    </row>
    <row r="418" spans="1:22" x14ac:dyDescent="0.25">
      <c r="A418" t="str">
        <f t="shared" si="56"/>
        <v/>
      </c>
      <c r="B418" s="16"/>
      <c r="D418" t="str">
        <f>IF($C418="","",IFERROR(INDEX('Asset Register'!$B:$B,MATCH($C418,'Asset Register'!$A:$A,0)),""))</f>
        <v/>
      </c>
      <c r="E418" t="str">
        <f>IF($C418="","",IFERROR(INDEX('Asset Register'!$C:$C,MATCH($C418,'Asset Register'!$A:$A,0)),""))</f>
        <v/>
      </c>
      <c r="F418" t="str">
        <f>IF($C418="","",IFERROR(INDEX('Asset Register'!$D:$D,MATCH($C418,'Asset Register'!$A:$A,0)),""))</f>
        <v/>
      </c>
      <c r="J418" s="17" t="str">
        <f t="shared" si="63"/>
        <v/>
      </c>
      <c r="K418" s="17" t="str">
        <f t="shared" si="64"/>
        <v/>
      </c>
      <c r="L418" s="17" t="str">
        <f t="shared" si="57"/>
        <v/>
      </c>
      <c r="O418" t="str">
        <f>IF($C418="","",IFERROR(INDEX('Asset Register'!$G:$G,MATCH($C418,'Asset Register'!$A:$A,0)),""))</f>
        <v/>
      </c>
      <c r="Q418" t="str">
        <f t="shared" si="58"/>
        <v/>
      </c>
      <c r="R418" t="str">
        <f t="shared" si="59"/>
        <v/>
      </c>
      <c r="S418" s="17" t="str">
        <f t="shared" si="60"/>
        <v/>
      </c>
      <c r="T418" s="18" t="str">
        <f>IF($C418="","",IFERROR(INDEX('Asset Register'!$H:$H,MATCH($C418,'Asset Register'!$A:$A,0)),""))</f>
        <v/>
      </c>
      <c r="U418" s="18" t="str">
        <f t="shared" si="61"/>
        <v/>
      </c>
      <c r="V418" s="17" t="str">
        <f t="shared" si="62"/>
        <v/>
      </c>
    </row>
    <row r="419" spans="1:22" x14ac:dyDescent="0.25">
      <c r="A419" t="str">
        <f t="shared" si="56"/>
        <v/>
      </c>
      <c r="B419" s="16"/>
      <c r="D419" t="str">
        <f>IF($C419="","",IFERROR(INDEX('Asset Register'!$B:$B,MATCH($C419,'Asset Register'!$A:$A,0)),""))</f>
        <v/>
      </c>
      <c r="E419" t="str">
        <f>IF($C419="","",IFERROR(INDEX('Asset Register'!$C:$C,MATCH($C419,'Asset Register'!$A:$A,0)),""))</f>
        <v/>
      </c>
      <c r="F419" t="str">
        <f>IF($C419="","",IFERROR(INDEX('Asset Register'!$D:$D,MATCH($C419,'Asset Register'!$A:$A,0)),""))</f>
        <v/>
      </c>
      <c r="J419" s="17" t="str">
        <f t="shared" si="63"/>
        <v/>
      </c>
      <c r="K419" s="17" t="str">
        <f t="shared" si="64"/>
        <v/>
      </c>
      <c r="L419" s="17" t="str">
        <f t="shared" si="57"/>
        <v/>
      </c>
      <c r="O419" t="str">
        <f>IF($C419="","",IFERROR(INDEX('Asset Register'!$G:$G,MATCH($C419,'Asset Register'!$A:$A,0)),""))</f>
        <v/>
      </c>
      <c r="Q419" t="str">
        <f t="shared" si="58"/>
        <v/>
      </c>
      <c r="R419" t="str">
        <f t="shared" si="59"/>
        <v/>
      </c>
      <c r="S419" s="17" t="str">
        <f t="shared" si="60"/>
        <v/>
      </c>
      <c r="T419" s="18" t="str">
        <f>IF($C419="","",IFERROR(INDEX('Asset Register'!$H:$H,MATCH($C419,'Asset Register'!$A:$A,0)),""))</f>
        <v/>
      </c>
      <c r="U419" s="18" t="str">
        <f t="shared" si="61"/>
        <v/>
      </c>
      <c r="V419" s="17" t="str">
        <f t="shared" si="62"/>
        <v/>
      </c>
    </row>
    <row r="420" spans="1:22" x14ac:dyDescent="0.25">
      <c r="A420" t="str">
        <f t="shared" si="56"/>
        <v/>
      </c>
      <c r="B420" s="16"/>
      <c r="D420" t="str">
        <f>IF($C420="","",IFERROR(INDEX('Asset Register'!$B:$B,MATCH($C420,'Asset Register'!$A:$A,0)),""))</f>
        <v/>
      </c>
      <c r="E420" t="str">
        <f>IF($C420="","",IFERROR(INDEX('Asset Register'!$C:$C,MATCH($C420,'Asset Register'!$A:$A,0)),""))</f>
        <v/>
      </c>
      <c r="F420" t="str">
        <f>IF($C420="","",IFERROR(INDEX('Asset Register'!$D:$D,MATCH($C420,'Asset Register'!$A:$A,0)),""))</f>
        <v/>
      </c>
      <c r="J420" s="17" t="str">
        <f t="shared" si="63"/>
        <v/>
      </c>
      <c r="K420" s="17" t="str">
        <f t="shared" si="64"/>
        <v/>
      </c>
      <c r="L420" s="17" t="str">
        <f t="shared" si="57"/>
        <v/>
      </c>
      <c r="O420" t="str">
        <f>IF($C420="","",IFERROR(INDEX('Asset Register'!$G:$G,MATCH($C420,'Asset Register'!$A:$A,0)),""))</f>
        <v/>
      </c>
      <c r="Q420" t="str">
        <f t="shared" si="58"/>
        <v/>
      </c>
      <c r="R420" t="str">
        <f t="shared" si="59"/>
        <v/>
      </c>
      <c r="S420" s="17" t="str">
        <f t="shared" si="60"/>
        <v/>
      </c>
      <c r="T420" s="18" t="str">
        <f>IF($C420="","",IFERROR(INDEX('Asset Register'!$H:$H,MATCH($C420,'Asset Register'!$A:$A,0)),""))</f>
        <v/>
      </c>
      <c r="U420" s="18" t="str">
        <f t="shared" si="61"/>
        <v/>
      </c>
      <c r="V420" s="17" t="str">
        <f t="shared" si="62"/>
        <v/>
      </c>
    </row>
    <row r="421" spans="1:22" x14ac:dyDescent="0.25">
      <c r="A421" t="str">
        <f t="shared" si="56"/>
        <v/>
      </c>
      <c r="B421" s="16"/>
      <c r="D421" t="str">
        <f>IF($C421="","",IFERROR(INDEX('Asset Register'!$B:$B,MATCH($C421,'Asset Register'!$A:$A,0)),""))</f>
        <v/>
      </c>
      <c r="E421" t="str">
        <f>IF($C421="","",IFERROR(INDEX('Asset Register'!$C:$C,MATCH($C421,'Asset Register'!$A:$A,0)),""))</f>
        <v/>
      </c>
      <c r="F421" t="str">
        <f>IF($C421="","",IFERROR(INDEX('Asset Register'!$D:$D,MATCH($C421,'Asset Register'!$A:$A,0)),""))</f>
        <v/>
      </c>
      <c r="J421" s="17" t="str">
        <f t="shared" si="63"/>
        <v/>
      </c>
      <c r="K421" s="17" t="str">
        <f t="shared" si="64"/>
        <v/>
      </c>
      <c r="L421" s="17" t="str">
        <f t="shared" si="57"/>
        <v/>
      </c>
      <c r="O421" t="str">
        <f>IF($C421="","",IFERROR(INDEX('Asset Register'!$G:$G,MATCH($C421,'Asset Register'!$A:$A,0)),""))</f>
        <v/>
      </c>
      <c r="Q421" t="str">
        <f t="shared" si="58"/>
        <v/>
      </c>
      <c r="R421" t="str">
        <f t="shared" si="59"/>
        <v/>
      </c>
      <c r="S421" s="17" t="str">
        <f t="shared" si="60"/>
        <v/>
      </c>
      <c r="T421" s="18" t="str">
        <f>IF($C421="","",IFERROR(INDEX('Asset Register'!$H:$H,MATCH($C421,'Asset Register'!$A:$A,0)),""))</f>
        <v/>
      </c>
      <c r="U421" s="18" t="str">
        <f t="shared" si="61"/>
        <v/>
      </c>
      <c r="V421" s="17" t="str">
        <f t="shared" si="62"/>
        <v/>
      </c>
    </row>
    <row r="422" spans="1:22" x14ac:dyDescent="0.25">
      <c r="A422" t="str">
        <f t="shared" si="56"/>
        <v/>
      </c>
      <c r="B422" s="16"/>
      <c r="D422" t="str">
        <f>IF($C422="","",IFERROR(INDEX('Asset Register'!$B:$B,MATCH($C422,'Asset Register'!$A:$A,0)),""))</f>
        <v/>
      </c>
      <c r="E422" t="str">
        <f>IF($C422="","",IFERROR(INDEX('Asset Register'!$C:$C,MATCH($C422,'Asset Register'!$A:$A,0)),""))</f>
        <v/>
      </c>
      <c r="F422" t="str">
        <f>IF($C422="","",IFERROR(INDEX('Asset Register'!$D:$D,MATCH($C422,'Asset Register'!$A:$A,0)),""))</f>
        <v/>
      </c>
      <c r="J422" s="17" t="str">
        <f t="shared" si="63"/>
        <v/>
      </c>
      <c r="K422" s="17" t="str">
        <f t="shared" si="64"/>
        <v/>
      </c>
      <c r="L422" s="17" t="str">
        <f t="shared" si="57"/>
        <v/>
      </c>
      <c r="O422" t="str">
        <f>IF($C422="","",IFERROR(INDEX('Asset Register'!$G:$G,MATCH($C422,'Asset Register'!$A:$A,0)),""))</f>
        <v/>
      </c>
      <c r="Q422" t="str">
        <f t="shared" si="58"/>
        <v/>
      </c>
      <c r="R422" t="str">
        <f t="shared" si="59"/>
        <v/>
      </c>
      <c r="S422" s="17" t="str">
        <f t="shared" si="60"/>
        <v/>
      </c>
      <c r="T422" s="18" t="str">
        <f>IF($C422="","",IFERROR(INDEX('Asset Register'!$H:$H,MATCH($C422,'Asset Register'!$A:$A,0)),""))</f>
        <v/>
      </c>
      <c r="U422" s="18" t="str">
        <f t="shared" si="61"/>
        <v/>
      </c>
      <c r="V422" s="17" t="str">
        <f t="shared" si="62"/>
        <v/>
      </c>
    </row>
    <row r="423" spans="1:22" x14ac:dyDescent="0.25">
      <c r="A423" t="str">
        <f t="shared" si="56"/>
        <v/>
      </c>
      <c r="B423" s="16"/>
      <c r="D423" t="str">
        <f>IF($C423="","",IFERROR(INDEX('Asset Register'!$B:$B,MATCH($C423,'Asset Register'!$A:$A,0)),""))</f>
        <v/>
      </c>
      <c r="E423" t="str">
        <f>IF($C423="","",IFERROR(INDEX('Asset Register'!$C:$C,MATCH($C423,'Asset Register'!$A:$A,0)),""))</f>
        <v/>
      </c>
      <c r="F423" t="str">
        <f>IF($C423="","",IFERROR(INDEX('Asset Register'!$D:$D,MATCH($C423,'Asset Register'!$A:$A,0)),""))</f>
        <v/>
      </c>
      <c r="J423" s="17" t="str">
        <f t="shared" si="63"/>
        <v/>
      </c>
      <c r="K423" s="17" t="str">
        <f t="shared" si="64"/>
        <v/>
      </c>
      <c r="L423" s="17" t="str">
        <f t="shared" si="57"/>
        <v/>
      </c>
      <c r="O423" t="str">
        <f>IF($C423="","",IFERROR(INDEX('Asset Register'!$G:$G,MATCH($C423,'Asset Register'!$A:$A,0)),""))</f>
        <v/>
      </c>
      <c r="Q423" t="str">
        <f t="shared" si="58"/>
        <v/>
      </c>
      <c r="R423" t="str">
        <f t="shared" si="59"/>
        <v/>
      </c>
      <c r="S423" s="17" t="str">
        <f t="shared" si="60"/>
        <v/>
      </c>
      <c r="T423" s="18" t="str">
        <f>IF($C423="","",IFERROR(INDEX('Asset Register'!$H:$H,MATCH($C423,'Asset Register'!$A:$A,0)),""))</f>
        <v/>
      </c>
      <c r="U423" s="18" t="str">
        <f t="shared" si="61"/>
        <v/>
      </c>
      <c r="V423" s="17" t="str">
        <f t="shared" si="62"/>
        <v/>
      </c>
    </row>
    <row r="424" spans="1:22" x14ac:dyDescent="0.25">
      <c r="A424" t="str">
        <f t="shared" si="56"/>
        <v/>
      </c>
      <c r="B424" s="16"/>
      <c r="D424" t="str">
        <f>IF($C424="","",IFERROR(INDEX('Asset Register'!$B:$B,MATCH($C424,'Asset Register'!$A:$A,0)),""))</f>
        <v/>
      </c>
      <c r="E424" t="str">
        <f>IF($C424="","",IFERROR(INDEX('Asset Register'!$C:$C,MATCH($C424,'Asset Register'!$A:$A,0)),""))</f>
        <v/>
      </c>
      <c r="F424" t="str">
        <f>IF($C424="","",IFERROR(INDEX('Asset Register'!$D:$D,MATCH($C424,'Asset Register'!$A:$A,0)),""))</f>
        <v/>
      </c>
      <c r="J424" s="17" t="str">
        <f t="shared" si="63"/>
        <v/>
      </c>
      <c r="K424" s="17" t="str">
        <f t="shared" si="64"/>
        <v/>
      </c>
      <c r="L424" s="17" t="str">
        <f t="shared" si="57"/>
        <v/>
      </c>
      <c r="O424" t="str">
        <f>IF($C424="","",IFERROR(INDEX('Asset Register'!$G:$G,MATCH($C424,'Asset Register'!$A:$A,0)),""))</f>
        <v/>
      </c>
      <c r="Q424" t="str">
        <f t="shared" si="58"/>
        <v/>
      </c>
      <c r="R424" t="str">
        <f t="shared" si="59"/>
        <v/>
      </c>
      <c r="S424" s="17" t="str">
        <f t="shared" si="60"/>
        <v/>
      </c>
      <c r="T424" s="18" t="str">
        <f>IF($C424="","",IFERROR(INDEX('Asset Register'!$H:$H,MATCH($C424,'Asset Register'!$A:$A,0)),""))</f>
        <v/>
      </c>
      <c r="U424" s="18" t="str">
        <f t="shared" si="61"/>
        <v/>
      </c>
      <c r="V424" s="17" t="str">
        <f t="shared" si="62"/>
        <v/>
      </c>
    </row>
    <row r="425" spans="1:22" x14ac:dyDescent="0.25">
      <c r="A425" t="str">
        <f t="shared" si="56"/>
        <v/>
      </c>
      <c r="B425" s="16"/>
      <c r="D425" t="str">
        <f>IF($C425="","",IFERROR(INDEX('Asset Register'!$B:$B,MATCH($C425,'Asset Register'!$A:$A,0)),""))</f>
        <v/>
      </c>
      <c r="E425" t="str">
        <f>IF($C425="","",IFERROR(INDEX('Asset Register'!$C:$C,MATCH($C425,'Asset Register'!$A:$A,0)),""))</f>
        <v/>
      </c>
      <c r="F425" t="str">
        <f>IF($C425="","",IFERROR(INDEX('Asset Register'!$D:$D,MATCH($C425,'Asset Register'!$A:$A,0)),""))</f>
        <v/>
      </c>
      <c r="J425" s="17" t="str">
        <f t="shared" si="63"/>
        <v/>
      </c>
      <c r="K425" s="17" t="str">
        <f t="shared" si="64"/>
        <v/>
      </c>
      <c r="L425" s="17" t="str">
        <f t="shared" si="57"/>
        <v/>
      </c>
      <c r="O425" t="str">
        <f>IF($C425="","",IFERROR(INDEX('Asset Register'!$G:$G,MATCH($C425,'Asset Register'!$A:$A,0)),""))</f>
        <v/>
      </c>
      <c r="Q425" t="str">
        <f t="shared" si="58"/>
        <v/>
      </c>
      <c r="R425" t="str">
        <f t="shared" si="59"/>
        <v/>
      </c>
      <c r="S425" s="17" t="str">
        <f t="shared" si="60"/>
        <v/>
      </c>
      <c r="T425" s="18" t="str">
        <f>IF($C425="","",IFERROR(INDEX('Asset Register'!$H:$H,MATCH($C425,'Asset Register'!$A:$A,0)),""))</f>
        <v/>
      </c>
      <c r="U425" s="18" t="str">
        <f t="shared" si="61"/>
        <v/>
      </c>
      <c r="V425" s="17" t="str">
        <f t="shared" si="62"/>
        <v/>
      </c>
    </row>
    <row r="426" spans="1:22" x14ac:dyDescent="0.25">
      <c r="A426" t="str">
        <f t="shared" si="56"/>
        <v/>
      </c>
      <c r="B426" s="16"/>
      <c r="D426" t="str">
        <f>IF($C426="","",IFERROR(INDEX('Asset Register'!$B:$B,MATCH($C426,'Asset Register'!$A:$A,0)),""))</f>
        <v/>
      </c>
      <c r="E426" t="str">
        <f>IF($C426="","",IFERROR(INDEX('Asset Register'!$C:$C,MATCH($C426,'Asset Register'!$A:$A,0)),""))</f>
        <v/>
      </c>
      <c r="F426" t="str">
        <f>IF($C426="","",IFERROR(INDEX('Asset Register'!$D:$D,MATCH($C426,'Asset Register'!$A:$A,0)),""))</f>
        <v/>
      </c>
      <c r="J426" s="17" t="str">
        <f t="shared" si="63"/>
        <v/>
      </c>
      <c r="K426" s="17" t="str">
        <f t="shared" si="64"/>
        <v/>
      </c>
      <c r="L426" s="17" t="str">
        <f t="shared" si="57"/>
        <v/>
      </c>
      <c r="O426" t="str">
        <f>IF($C426="","",IFERROR(INDEX('Asset Register'!$G:$G,MATCH($C426,'Asset Register'!$A:$A,0)),""))</f>
        <v/>
      </c>
      <c r="Q426" t="str">
        <f t="shared" si="58"/>
        <v/>
      </c>
      <c r="R426" t="str">
        <f t="shared" si="59"/>
        <v/>
      </c>
      <c r="S426" s="17" t="str">
        <f t="shared" si="60"/>
        <v/>
      </c>
      <c r="T426" s="18" t="str">
        <f>IF($C426="","",IFERROR(INDEX('Asset Register'!$H:$H,MATCH($C426,'Asset Register'!$A:$A,0)),""))</f>
        <v/>
      </c>
      <c r="U426" s="18" t="str">
        <f t="shared" si="61"/>
        <v/>
      </c>
      <c r="V426" s="17" t="str">
        <f t="shared" si="62"/>
        <v/>
      </c>
    </row>
    <row r="427" spans="1:22" x14ac:dyDescent="0.25">
      <c r="A427" t="str">
        <f t="shared" si="56"/>
        <v/>
      </c>
      <c r="B427" s="16"/>
      <c r="D427" t="str">
        <f>IF($C427="","",IFERROR(INDEX('Asset Register'!$B:$B,MATCH($C427,'Asset Register'!$A:$A,0)),""))</f>
        <v/>
      </c>
      <c r="E427" t="str">
        <f>IF($C427="","",IFERROR(INDEX('Asset Register'!$C:$C,MATCH($C427,'Asset Register'!$A:$A,0)),""))</f>
        <v/>
      </c>
      <c r="F427" t="str">
        <f>IF($C427="","",IFERROR(INDEX('Asset Register'!$D:$D,MATCH($C427,'Asset Register'!$A:$A,0)),""))</f>
        <v/>
      </c>
      <c r="J427" s="17" t="str">
        <f t="shared" si="63"/>
        <v/>
      </c>
      <c r="K427" s="17" t="str">
        <f t="shared" si="64"/>
        <v/>
      </c>
      <c r="L427" s="17" t="str">
        <f t="shared" si="57"/>
        <v/>
      </c>
      <c r="O427" t="str">
        <f>IF($C427="","",IFERROR(INDEX('Asset Register'!$G:$G,MATCH($C427,'Asset Register'!$A:$A,0)),""))</f>
        <v/>
      </c>
      <c r="Q427" t="str">
        <f t="shared" si="58"/>
        <v/>
      </c>
      <c r="R427" t="str">
        <f t="shared" si="59"/>
        <v/>
      </c>
      <c r="S427" s="17" t="str">
        <f t="shared" si="60"/>
        <v/>
      </c>
      <c r="T427" s="18" t="str">
        <f>IF($C427="","",IFERROR(INDEX('Asset Register'!$H:$H,MATCH($C427,'Asset Register'!$A:$A,0)),""))</f>
        <v/>
      </c>
      <c r="U427" s="18" t="str">
        <f t="shared" si="61"/>
        <v/>
      </c>
      <c r="V427" s="17" t="str">
        <f t="shared" si="62"/>
        <v/>
      </c>
    </row>
    <row r="428" spans="1:22" x14ac:dyDescent="0.25">
      <c r="A428" t="str">
        <f t="shared" si="56"/>
        <v/>
      </c>
      <c r="B428" s="16"/>
      <c r="D428" t="str">
        <f>IF($C428="","",IFERROR(INDEX('Asset Register'!$B:$B,MATCH($C428,'Asset Register'!$A:$A,0)),""))</f>
        <v/>
      </c>
      <c r="E428" t="str">
        <f>IF($C428="","",IFERROR(INDEX('Asset Register'!$C:$C,MATCH($C428,'Asset Register'!$A:$A,0)),""))</f>
        <v/>
      </c>
      <c r="F428" t="str">
        <f>IF($C428="","",IFERROR(INDEX('Asset Register'!$D:$D,MATCH($C428,'Asset Register'!$A:$A,0)),""))</f>
        <v/>
      </c>
      <c r="J428" s="17" t="str">
        <f t="shared" si="63"/>
        <v/>
      </c>
      <c r="K428" s="17" t="str">
        <f t="shared" si="64"/>
        <v/>
      </c>
      <c r="L428" s="17" t="str">
        <f t="shared" si="57"/>
        <v/>
      </c>
      <c r="O428" t="str">
        <f>IF($C428="","",IFERROR(INDEX('Asset Register'!$G:$G,MATCH($C428,'Asset Register'!$A:$A,0)),""))</f>
        <v/>
      </c>
      <c r="Q428" t="str">
        <f t="shared" si="58"/>
        <v/>
      </c>
      <c r="R428" t="str">
        <f t="shared" si="59"/>
        <v/>
      </c>
      <c r="S428" s="17" t="str">
        <f t="shared" si="60"/>
        <v/>
      </c>
      <c r="T428" s="18" t="str">
        <f>IF($C428="","",IFERROR(INDEX('Asset Register'!$H:$H,MATCH($C428,'Asset Register'!$A:$A,0)),""))</f>
        <v/>
      </c>
      <c r="U428" s="18" t="str">
        <f t="shared" si="61"/>
        <v/>
      </c>
      <c r="V428" s="17" t="str">
        <f t="shared" si="62"/>
        <v/>
      </c>
    </row>
    <row r="429" spans="1:22" x14ac:dyDescent="0.25">
      <c r="A429" t="str">
        <f t="shared" si="56"/>
        <v/>
      </c>
      <c r="B429" s="16"/>
      <c r="D429" t="str">
        <f>IF($C429="","",IFERROR(INDEX('Asset Register'!$B:$B,MATCH($C429,'Asset Register'!$A:$A,0)),""))</f>
        <v/>
      </c>
      <c r="E429" t="str">
        <f>IF($C429="","",IFERROR(INDEX('Asset Register'!$C:$C,MATCH($C429,'Asset Register'!$A:$A,0)),""))</f>
        <v/>
      </c>
      <c r="F429" t="str">
        <f>IF($C429="","",IFERROR(INDEX('Asset Register'!$D:$D,MATCH($C429,'Asset Register'!$A:$A,0)),""))</f>
        <v/>
      </c>
      <c r="J429" s="17" t="str">
        <f t="shared" si="63"/>
        <v/>
      </c>
      <c r="K429" s="17" t="str">
        <f t="shared" si="64"/>
        <v/>
      </c>
      <c r="L429" s="17" t="str">
        <f t="shared" si="57"/>
        <v/>
      </c>
      <c r="O429" t="str">
        <f>IF($C429="","",IFERROR(INDEX('Asset Register'!$G:$G,MATCH($C429,'Asset Register'!$A:$A,0)),""))</f>
        <v/>
      </c>
      <c r="Q429" t="str">
        <f t="shared" si="58"/>
        <v/>
      </c>
      <c r="R429" t="str">
        <f t="shared" si="59"/>
        <v/>
      </c>
      <c r="S429" s="17" t="str">
        <f t="shared" si="60"/>
        <v/>
      </c>
      <c r="T429" s="18" t="str">
        <f>IF($C429="","",IFERROR(INDEX('Asset Register'!$H:$H,MATCH($C429,'Asset Register'!$A:$A,0)),""))</f>
        <v/>
      </c>
      <c r="U429" s="18" t="str">
        <f t="shared" si="61"/>
        <v/>
      </c>
      <c r="V429" s="17" t="str">
        <f t="shared" si="62"/>
        <v/>
      </c>
    </row>
    <row r="430" spans="1:22" x14ac:dyDescent="0.25">
      <c r="A430" t="str">
        <f t="shared" si="56"/>
        <v/>
      </c>
      <c r="B430" s="16"/>
      <c r="D430" t="str">
        <f>IF($C430="","",IFERROR(INDEX('Asset Register'!$B:$B,MATCH($C430,'Asset Register'!$A:$A,0)),""))</f>
        <v/>
      </c>
      <c r="E430" t="str">
        <f>IF($C430="","",IFERROR(INDEX('Asset Register'!$C:$C,MATCH($C430,'Asset Register'!$A:$A,0)),""))</f>
        <v/>
      </c>
      <c r="F430" t="str">
        <f>IF($C430="","",IFERROR(INDEX('Asset Register'!$D:$D,MATCH($C430,'Asset Register'!$A:$A,0)),""))</f>
        <v/>
      </c>
      <c r="J430" s="17" t="str">
        <f t="shared" si="63"/>
        <v/>
      </c>
      <c r="K430" s="17" t="str">
        <f t="shared" si="64"/>
        <v/>
      </c>
      <c r="L430" s="17" t="str">
        <f t="shared" si="57"/>
        <v/>
      </c>
      <c r="O430" t="str">
        <f>IF($C430="","",IFERROR(INDEX('Asset Register'!$G:$G,MATCH($C430,'Asset Register'!$A:$A,0)),""))</f>
        <v/>
      </c>
      <c r="Q430" t="str">
        <f t="shared" si="58"/>
        <v/>
      </c>
      <c r="R430" t="str">
        <f t="shared" si="59"/>
        <v/>
      </c>
      <c r="S430" s="17" t="str">
        <f t="shared" si="60"/>
        <v/>
      </c>
      <c r="T430" s="18" t="str">
        <f>IF($C430="","",IFERROR(INDEX('Asset Register'!$H:$H,MATCH($C430,'Asset Register'!$A:$A,0)),""))</f>
        <v/>
      </c>
      <c r="U430" s="18" t="str">
        <f t="shared" si="61"/>
        <v/>
      </c>
      <c r="V430" s="17" t="str">
        <f t="shared" si="62"/>
        <v/>
      </c>
    </row>
    <row r="431" spans="1:22" x14ac:dyDescent="0.25">
      <c r="A431" t="str">
        <f t="shared" si="56"/>
        <v/>
      </c>
      <c r="B431" s="16"/>
      <c r="D431" t="str">
        <f>IF($C431="","",IFERROR(INDEX('Asset Register'!$B:$B,MATCH($C431,'Asset Register'!$A:$A,0)),""))</f>
        <v/>
      </c>
      <c r="E431" t="str">
        <f>IF($C431="","",IFERROR(INDEX('Asset Register'!$C:$C,MATCH($C431,'Asset Register'!$A:$A,0)),""))</f>
        <v/>
      </c>
      <c r="F431" t="str">
        <f>IF($C431="","",IFERROR(INDEX('Asset Register'!$D:$D,MATCH($C431,'Asset Register'!$A:$A,0)),""))</f>
        <v/>
      </c>
      <c r="J431" s="17" t="str">
        <f t="shared" si="63"/>
        <v/>
      </c>
      <c r="K431" s="17" t="str">
        <f t="shared" si="64"/>
        <v/>
      </c>
      <c r="L431" s="17" t="str">
        <f t="shared" si="57"/>
        <v/>
      </c>
      <c r="O431" t="str">
        <f>IF($C431="","",IFERROR(INDEX('Asset Register'!$G:$G,MATCH($C431,'Asset Register'!$A:$A,0)),""))</f>
        <v/>
      </c>
      <c r="Q431" t="str">
        <f t="shared" si="58"/>
        <v/>
      </c>
      <c r="R431" t="str">
        <f t="shared" si="59"/>
        <v/>
      </c>
      <c r="S431" s="17" t="str">
        <f t="shared" si="60"/>
        <v/>
      </c>
      <c r="T431" s="18" t="str">
        <f>IF($C431="","",IFERROR(INDEX('Asset Register'!$H:$H,MATCH($C431,'Asset Register'!$A:$A,0)),""))</f>
        <v/>
      </c>
      <c r="U431" s="18" t="str">
        <f t="shared" si="61"/>
        <v/>
      </c>
      <c r="V431" s="17" t="str">
        <f t="shared" si="62"/>
        <v/>
      </c>
    </row>
    <row r="432" spans="1:22" x14ac:dyDescent="0.25">
      <c r="A432" t="str">
        <f t="shared" si="56"/>
        <v/>
      </c>
      <c r="B432" s="16"/>
      <c r="D432" t="str">
        <f>IF($C432="","",IFERROR(INDEX('Asset Register'!$B:$B,MATCH($C432,'Asset Register'!$A:$A,0)),""))</f>
        <v/>
      </c>
      <c r="E432" t="str">
        <f>IF($C432="","",IFERROR(INDEX('Asset Register'!$C:$C,MATCH($C432,'Asset Register'!$A:$A,0)),""))</f>
        <v/>
      </c>
      <c r="F432" t="str">
        <f>IF($C432="","",IFERROR(INDEX('Asset Register'!$D:$D,MATCH($C432,'Asset Register'!$A:$A,0)),""))</f>
        <v/>
      </c>
      <c r="J432" s="17" t="str">
        <f t="shared" si="63"/>
        <v/>
      </c>
      <c r="K432" s="17" t="str">
        <f t="shared" si="64"/>
        <v/>
      </c>
      <c r="L432" s="17" t="str">
        <f t="shared" si="57"/>
        <v/>
      </c>
      <c r="O432" t="str">
        <f>IF($C432="","",IFERROR(INDEX('Asset Register'!$G:$G,MATCH($C432,'Asset Register'!$A:$A,0)),""))</f>
        <v/>
      </c>
      <c r="Q432" t="str">
        <f t="shared" si="58"/>
        <v/>
      </c>
      <c r="R432" t="str">
        <f t="shared" si="59"/>
        <v/>
      </c>
      <c r="S432" s="17" t="str">
        <f t="shared" si="60"/>
        <v/>
      </c>
      <c r="T432" s="18" t="str">
        <f>IF($C432="","",IFERROR(INDEX('Asset Register'!$H:$H,MATCH($C432,'Asset Register'!$A:$A,0)),""))</f>
        <v/>
      </c>
      <c r="U432" s="18" t="str">
        <f t="shared" si="61"/>
        <v/>
      </c>
      <c r="V432" s="17" t="str">
        <f t="shared" si="62"/>
        <v/>
      </c>
    </row>
    <row r="433" spans="1:22" x14ac:dyDescent="0.25">
      <c r="A433" t="str">
        <f t="shared" si="56"/>
        <v/>
      </c>
      <c r="B433" s="16"/>
      <c r="D433" t="str">
        <f>IF($C433="","",IFERROR(INDEX('Asset Register'!$B:$B,MATCH($C433,'Asset Register'!$A:$A,0)),""))</f>
        <v/>
      </c>
      <c r="E433" t="str">
        <f>IF($C433="","",IFERROR(INDEX('Asset Register'!$C:$C,MATCH($C433,'Asset Register'!$A:$A,0)),""))</f>
        <v/>
      </c>
      <c r="F433" t="str">
        <f>IF($C433="","",IFERROR(INDEX('Asset Register'!$D:$D,MATCH($C433,'Asset Register'!$A:$A,0)),""))</f>
        <v/>
      </c>
      <c r="J433" s="17" t="str">
        <f t="shared" si="63"/>
        <v/>
      </c>
      <c r="K433" s="17" t="str">
        <f t="shared" si="64"/>
        <v/>
      </c>
      <c r="L433" s="17" t="str">
        <f t="shared" si="57"/>
        <v/>
      </c>
      <c r="O433" t="str">
        <f>IF($C433="","",IFERROR(INDEX('Asset Register'!$G:$G,MATCH($C433,'Asset Register'!$A:$A,0)),""))</f>
        <v/>
      </c>
      <c r="Q433" t="str">
        <f t="shared" si="58"/>
        <v/>
      </c>
      <c r="R433" t="str">
        <f t="shared" si="59"/>
        <v/>
      </c>
      <c r="S433" s="17" t="str">
        <f t="shared" si="60"/>
        <v/>
      </c>
      <c r="T433" s="18" t="str">
        <f>IF($C433="","",IFERROR(INDEX('Asset Register'!$H:$H,MATCH($C433,'Asset Register'!$A:$A,0)),""))</f>
        <v/>
      </c>
      <c r="U433" s="18" t="str">
        <f t="shared" si="61"/>
        <v/>
      </c>
      <c r="V433" s="17" t="str">
        <f t="shared" si="62"/>
        <v/>
      </c>
    </row>
    <row r="434" spans="1:22" x14ac:dyDescent="0.25">
      <c r="A434" t="str">
        <f t="shared" si="56"/>
        <v/>
      </c>
      <c r="B434" s="16"/>
      <c r="D434" t="str">
        <f>IF($C434="","",IFERROR(INDEX('Asset Register'!$B:$B,MATCH($C434,'Asset Register'!$A:$A,0)),""))</f>
        <v/>
      </c>
      <c r="E434" t="str">
        <f>IF($C434="","",IFERROR(INDEX('Asset Register'!$C:$C,MATCH($C434,'Asset Register'!$A:$A,0)),""))</f>
        <v/>
      </c>
      <c r="F434" t="str">
        <f>IF($C434="","",IFERROR(INDEX('Asset Register'!$D:$D,MATCH($C434,'Asset Register'!$A:$A,0)),""))</f>
        <v/>
      </c>
      <c r="J434" s="17" t="str">
        <f t="shared" si="63"/>
        <v/>
      </c>
      <c r="K434" s="17" t="str">
        <f t="shared" si="64"/>
        <v/>
      </c>
      <c r="L434" s="17" t="str">
        <f t="shared" si="57"/>
        <v/>
      </c>
      <c r="O434" t="str">
        <f>IF($C434="","",IFERROR(INDEX('Asset Register'!$G:$G,MATCH($C434,'Asset Register'!$A:$A,0)),""))</f>
        <v/>
      </c>
      <c r="Q434" t="str">
        <f t="shared" si="58"/>
        <v/>
      </c>
      <c r="R434" t="str">
        <f t="shared" si="59"/>
        <v/>
      </c>
      <c r="S434" s="17" t="str">
        <f t="shared" si="60"/>
        <v/>
      </c>
      <c r="T434" s="18" t="str">
        <f>IF($C434="","",IFERROR(INDEX('Asset Register'!$H:$H,MATCH($C434,'Asset Register'!$A:$A,0)),""))</f>
        <v/>
      </c>
      <c r="U434" s="18" t="str">
        <f t="shared" si="61"/>
        <v/>
      </c>
      <c r="V434" s="17" t="str">
        <f t="shared" si="62"/>
        <v/>
      </c>
    </row>
    <row r="435" spans="1:22" x14ac:dyDescent="0.25">
      <c r="A435" t="str">
        <f t="shared" si="56"/>
        <v/>
      </c>
      <c r="B435" s="16"/>
      <c r="D435" t="str">
        <f>IF($C435="","",IFERROR(INDEX('Asset Register'!$B:$B,MATCH($C435,'Asset Register'!$A:$A,0)),""))</f>
        <v/>
      </c>
      <c r="E435" t="str">
        <f>IF($C435="","",IFERROR(INDEX('Asset Register'!$C:$C,MATCH($C435,'Asset Register'!$A:$A,0)),""))</f>
        <v/>
      </c>
      <c r="F435" t="str">
        <f>IF($C435="","",IFERROR(INDEX('Asset Register'!$D:$D,MATCH($C435,'Asset Register'!$A:$A,0)),""))</f>
        <v/>
      </c>
      <c r="J435" s="17" t="str">
        <f t="shared" si="63"/>
        <v/>
      </c>
      <c r="K435" s="17" t="str">
        <f t="shared" si="64"/>
        <v/>
      </c>
      <c r="L435" s="17" t="str">
        <f t="shared" si="57"/>
        <v/>
      </c>
      <c r="O435" t="str">
        <f>IF($C435="","",IFERROR(INDEX('Asset Register'!$G:$G,MATCH($C435,'Asset Register'!$A:$A,0)),""))</f>
        <v/>
      </c>
      <c r="Q435" t="str">
        <f t="shared" si="58"/>
        <v/>
      </c>
      <c r="R435" t="str">
        <f t="shared" si="59"/>
        <v/>
      </c>
      <c r="S435" s="17" t="str">
        <f t="shared" si="60"/>
        <v/>
      </c>
      <c r="T435" s="18" t="str">
        <f>IF($C435="","",IFERROR(INDEX('Asset Register'!$H:$H,MATCH($C435,'Asset Register'!$A:$A,0)),""))</f>
        <v/>
      </c>
      <c r="U435" s="18" t="str">
        <f t="shared" si="61"/>
        <v/>
      </c>
      <c r="V435" s="17" t="str">
        <f t="shared" si="62"/>
        <v/>
      </c>
    </row>
    <row r="436" spans="1:22" x14ac:dyDescent="0.25">
      <c r="A436" t="str">
        <f t="shared" si="56"/>
        <v/>
      </c>
      <c r="B436" s="16"/>
      <c r="D436" t="str">
        <f>IF($C436="","",IFERROR(INDEX('Asset Register'!$B:$B,MATCH($C436,'Asset Register'!$A:$A,0)),""))</f>
        <v/>
      </c>
      <c r="E436" t="str">
        <f>IF($C436="","",IFERROR(INDEX('Asset Register'!$C:$C,MATCH($C436,'Asset Register'!$A:$A,0)),""))</f>
        <v/>
      </c>
      <c r="F436" t="str">
        <f>IF($C436="","",IFERROR(INDEX('Asset Register'!$D:$D,MATCH($C436,'Asset Register'!$A:$A,0)),""))</f>
        <v/>
      </c>
      <c r="J436" s="17" t="str">
        <f t="shared" si="63"/>
        <v/>
      </c>
      <c r="K436" s="17" t="str">
        <f t="shared" si="64"/>
        <v/>
      </c>
      <c r="L436" s="17" t="str">
        <f t="shared" si="57"/>
        <v/>
      </c>
      <c r="O436" t="str">
        <f>IF($C436="","",IFERROR(INDEX('Asset Register'!$G:$G,MATCH($C436,'Asset Register'!$A:$A,0)),""))</f>
        <v/>
      </c>
      <c r="Q436" t="str">
        <f t="shared" si="58"/>
        <v/>
      </c>
      <c r="R436" t="str">
        <f t="shared" si="59"/>
        <v/>
      </c>
      <c r="S436" s="17" t="str">
        <f t="shared" si="60"/>
        <v/>
      </c>
      <c r="T436" s="18" t="str">
        <f>IF($C436="","",IFERROR(INDEX('Asset Register'!$H:$H,MATCH($C436,'Asset Register'!$A:$A,0)),""))</f>
        <v/>
      </c>
      <c r="U436" s="18" t="str">
        <f t="shared" si="61"/>
        <v/>
      </c>
      <c r="V436" s="17" t="str">
        <f t="shared" si="62"/>
        <v/>
      </c>
    </row>
    <row r="437" spans="1:22" x14ac:dyDescent="0.25">
      <c r="A437" t="str">
        <f t="shared" si="56"/>
        <v/>
      </c>
      <c r="B437" s="16"/>
      <c r="D437" t="str">
        <f>IF($C437="","",IFERROR(INDEX('Asset Register'!$B:$B,MATCH($C437,'Asset Register'!$A:$A,0)),""))</f>
        <v/>
      </c>
      <c r="E437" t="str">
        <f>IF($C437="","",IFERROR(INDEX('Asset Register'!$C:$C,MATCH($C437,'Asset Register'!$A:$A,0)),""))</f>
        <v/>
      </c>
      <c r="F437" t="str">
        <f>IF($C437="","",IFERROR(INDEX('Asset Register'!$D:$D,MATCH($C437,'Asset Register'!$A:$A,0)),""))</f>
        <v/>
      </c>
      <c r="J437" s="17" t="str">
        <f t="shared" si="63"/>
        <v/>
      </c>
      <c r="K437" s="17" t="str">
        <f t="shared" si="64"/>
        <v/>
      </c>
      <c r="L437" s="17" t="str">
        <f t="shared" si="57"/>
        <v/>
      </c>
      <c r="O437" t="str">
        <f>IF($C437="","",IFERROR(INDEX('Asset Register'!$G:$G,MATCH($C437,'Asset Register'!$A:$A,0)),""))</f>
        <v/>
      </c>
      <c r="Q437" t="str">
        <f t="shared" si="58"/>
        <v/>
      </c>
      <c r="R437" t="str">
        <f t="shared" si="59"/>
        <v/>
      </c>
      <c r="S437" s="17" t="str">
        <f t="shared" si="60"/>
        <v/>
      </c>
      <c r="T437" s="18" t="str">
        <f>IF($C437="","",IFERROR(INDEX('Asset Register'!$H:$H,MATCH($C437,'Asset Register'!$A:$A,0)),""))</f>
        <v/>
      </c>
      <c r="U437" s="18" t="str">
        <f t="shared" si="61"/>
        <v/>
      </c>
      <c r="V437" s="17" t="str">
        <f t="shared" si="62"/>
        <v/>
      </c>
    </row>
    <row r="438" spans="1:22" x14ac:dyDescent="0.25">
      <c r="A438" t="str">
        <f t="shared" si="56"/>
        <v/>
      </c>
      <c r="B438" s="16"/>
      <c r="D438" t="str">
        <f>IF($C438="","",IFERROR(INDEX('Asset Register'!$B:$B,MATCH($C438,'Asset Register'!$A:$A,0)),""))</f>
        <v/>
      </c>
      <c r="E438" t="str">
        <f>IF($C438="","",IFERROR(INDEX('Asset Register'!$C:$C,MATCH($C438,'Asset Register'!$A:$A,0)),""))</f>
        <v/>
      </c>
      <c r="F438" t="str">
        <f>IF($C438="","",IFERROR(INDEX('Asset Register'!$D:$D,MATCH($C438,'Asset Register'!$A:$A,0)),""))</f>
        <v/>
      </c>
      <c r="J438" s="17" t="str">
        <f t="shared" si="63"/>
        <v/>
      </c>
      <c r="K438" s="17" t="str">
        <f t="shared" si="64"/>
        <v/>
      </c>
      <c r="L438" s="17" t="str">
        <f t="shared" si="57"/>
        <v/>
      </c>
      <c r="O438" t="str">
        <f>IF($C438="","",IFERROR(INDEX('Asset Register'!$G:$G,MATCH($C438,'Asset Register'!$A:$A,0)),""))</f>
        <v/>
      </c>
      <c r="Q438" t="str">
        <f t="shared" si="58"/>
        <v/>
      </c>
      <c r="R438" t="str">
        <f t="shared" si="59"/>
        <v/>
      </c>
      <c r="S438" s="17" t="str">
        <f t="shared" si="60"/>
        <v/>
      </c>
      <c r="T438" s="18" t="str">
        <f>IF($C438="","",IFERROR(INDEX('Asset Register'!$H:$H,MATCH($C438,'Asset Register'!$A:$A,0)),""))</f>
        <v/>
      </c>
      <c r="U438" s="18" t="str">
        <f t="shared" si="61"/>
        <v/>
      </c>
      <c r="V438" s="17" t="str">
        <f t="shared" si="62"/>
        <v/>
      </c>
    </row>
    <row r="439" spans="1:22" x14ac:dyDescent="0.25">
      <c r="A439" t="str">
        <f t="shared" si="56"/>
        <v/>
      </c>
      <c r="B439" s="16"/>
      <c r="D439" t="str">
        <f>IF($C439="","",IFERROR(INDEX('Asset Register'!$B:$B,MATCH($C439,'Asset Register'!$A:$A,0)),""))</f>
        <v/>
      </c>
      <c r="E439" t="str">
        <f>IF($C439="","",IFERROR(INDEX('Asset Register'!$C:$C,MATCH($C439,'Asset Register'!$A:$A,0)),""))</f>
        <v/>
      </c>
      <c r="F439" t="str">
        <f>IF($C439="","",IFERROR(INDEX('Asset Register'!$D:$D,MATCH($C439,'Asset Register'!$A:$A,0)),""))</f>
        <v/>
      </c>
      <c r="J439" s="17" t="str">
        <f t="shared" si="63"/>
        <v/>
      </c>
      <c r="K439" s="17" t="str">
        <f t="shared" si="64"/>
        <v/>
      </c>
      <c r="L439" s="17" t="str">
        <f t="shared" si="57"/>
        <v/>
      </c>
      <c r="O439" t="str">
        <f>IF($C439="","",IFERROR(INDEX('Asset Register'!$G:$G,MATCH($C439,'Asset Register'!$A:$A,0)),""))</f>
        <v/>
      </c>
      <c r="Q439" t="str">
        <f t="shared" si="58"/>
        <v/>
      </c>
      <c r="R439" t="str">
        <f t="shared" si="59"/>
        <v/>
      </c>
      <c r="S439" s="17" t="str">
        <f t="shared" si="60"/>
        <v/>
      </c>
      <c r="T439" s="18" t="str">
        <f>IF($C439="","",IFERROR(INDEX('Asset Register'!$H:$H,MATCH($C439,'Asset Register'!$A:$A,0)),""))</f>
        <v/>
      </c>
      <c r="U439" s="18" t="str">
        <f t="shared" si="61"/>
        <v/>
      </c>
      <c r="V439" s="17" t="str">
        <f t="shared" si="62"/>
        <v/>
      </c>
    </row>
    <row r="440" spans="1:22" x14ac:dyDescent="0.25">
      <c r="A440" t="str">
        <f t="shared" si="56"/>
        <v/>
      </c>
      <c r="B440" s="16"/>
      <c r="D440" t="str">
        <f>IF($C440="","",IFERROR(INDEX('Asset Register'!$B:$B,MATCH($C440,'Asset Register'!$A:$A,0)),""))</f>
        <v/>
      </c>
      <c r="E440" t="str">
        <f>IF($C440="","",IFERROR(INDEX('Asset Register'!$C:$C,MATCH($C440,'Asset Register'!$A:$A,0)),""))</f>
        <v/>
      </c>
      <c r="F440" t="str">
        <f>IF($C440="","",IFERROR(INDEX('Asset Register'!$D:$D,MATCH($C440,'Asset Register'!$A:$A,0)),""))</f>
        <v/>
      </c>
      <c r="J440" s="17" t="str">
        <f t="shared" si="63"/>
        <v/>
      </c>
      <c r="K440" s="17" t="str">
        <f t="shared" si="64"/>
        <v/>
      </c>
      <c r="L440" s="17" t="str">
        <f t="shared" si="57"/>
        <v/>
      </c>
      <c r="O440" t="str">
        <f>IF($C440="","",IFERROR(INDEX('Asset Register'!$G:$G,MATCH($C440,'Asset Register'!$A:$A,0)),""))</f>
        <v/>
      </c>
      <c r="Q440" t="str">
        <f t="shared" si="58"/>
        <v/>
      </c>
      <c r="R440" t="str">
        <f t="shared" si="59"/>
        <v/>
      </c>
      <c r="S440" s="17" t="str">
        <f t="shared" si="60"/>
        <v/>
      </c>
      <c r="T440" s="18" t="str">
        <f>IF($C440="","",IFERROR(INDEX('Asset Register'!$H:$H,MATCH($C440,'Asset Register'!$A:$A,0)),""))</f>
        <v/>
      </c>
      <c r="U440" s="18" t="str">
        <f t="shared" si="61"/>
        <v/>
      </c>
      <c r="V440" s="17" t="str">
        <f t="shared" si="62"/>
        <v/>
      </c>
    </row>
    <row r="441" spans="1:22" x14ac:dyDescent="0.25">
      <c r="A441" t="str">
        <f t="shared" si="56"/>
        <v/>
      </c>
      <c r="B441" s="16"/>
      <c r="D441" t="str">
        <f>IF($C441="","",IFERROR(INDEX('Asset Register'!$B:$B,MATCH($C441,'Asset Register'!$A:$A,0)),""))</f>
        <v/>
      </c>
      <c r="E441" t="str">
        <f>IF($C441="","",IFERROR(INDEX('Asset Register'!$C:$C,MATCH($C441,'Asset Register'!$A:$A,0)),""))</f>
        <v/>
      </c>
      <c r="F441" t="str">
        <f>IF($C441="","",IFERROR(INDEX('Asset Register'!$D:$D,MATCH($C441,'Asset Register'!$A:$A,0)),""))</f>
        <v/>
      </c>
      <c r="J441" s="17" t="str">
        <f t="shared" si="63"/>
        <v/>
      </c>
      <c r="K441" s="17" t="str">
        <f t="shared" si="64"/>
        <v/>
      </c>
      <c r="L441" s="17" t="str">
        <f t="shared" si="57"/>
        <v/>
      </c>
      <c r="O441" t="str">
        <f>IF($C441="","",IFERROR(INDEX('Asset Register'!$G:$G,MATCH($C441,'Asset Register'!$A:$A,0)),""))</f>
        <v/>
      </c>
      <c r="Q441" t="str">
        <f t="shared" si="58"/>
        <v/>
      </c>
      <c r="R441" t="str">
        <f t="shared" si="59"/>
        <v/>
      </c>
      <c r="S441" s="17" t="str">
        <f t="shared" si="60"/>
        <v/>
      </c>
      <c r="T441" s="18" t="str">
        <f>IF($C441="","",IFERROR(INDEX('Asset Register'!$H:$H,MATCH($C441,'Asset Register'!$A:$A,0)),""))</f>
        <v/>
      </c>
      <c r="U441" s="18" t="str">
        <f t="shared" si="61"/>
        <v/>
      </c>
      <c r="V441" s="17" t="str">
        <f t="shared" si="62"/>
        <v/>
      </c>
    </row>
    <row r="442" spans="1:22" x14ac:dyDescent="0.25">
      <c r="A442" t="str">
        <f t="shared" si="56"/>
        <v/>
      </c>
      <c r="B442" s="16"/>
      <c r="D442" t="str">
        <f>IF($C442="","",IFERROR(INDEX('Asset Register'!$B:$B,MATCH($C442,'Asset Register'!$A:$A,0)),""))</f>
        <v/>
      </c>
      <c r="E442" t="str">
        <f>IF($C442="","",IFERROR(INDEX('Asset Register'!$C:$C,MATCH($C442,'Asset Register'!$A:$A,0)),""))</f>
        <v/>
      </c>
      <c r="F442" t="str">
        <f>IF($C442="","",IFERROR(INDEX('Asset Register'!$D:$D,MATCH($C442,'Asset Register'!$A:$A,0)),""))</f>
        <v/>
      </c>
      <c r="J442" s="17" t="str">
        <f t="shared" si="63"/>
        <v/>
      </c>
      <c r="K442" s="17" t="str">
        <f t="shared" si="64"/>
        <v/>
      </c>
      <c r="L442" s="17" t="str">
        <f t="shared" si="57"/>
        <v/>
      </c>
      <c r="O442" t="str">
        <f>IF($C442="","",IFERROR(INDEX('Asset Register'!$G:$G,MATCH($C442,'Asset Register'!$A:$A,0)),""))</f>
        <v/>
      </c>
      <c r="Q442" t="str">
        <f t="shared" si="58"/>
        <v/>
      </c>
      <c r="R442" t="str">
        <f t="shared" si="59"/>
        <v/>
      </c>
      <c r="S442" s="17" t="str">
        <f t="shared" si="60"/>
        <v/>
      </c>
      <c r="T442" s="18" t="str">
        <f>IF($C442="","",IFERROR(INDEX('Asset Register'!$H:$H,MATCH($C442,'Asset Register'!$A:$A,0)),""))</f>
        <v/>
      </c>
      <c r="U442" s="18" t="str">
        <f t="shared" si="61"/>
        <v/>
      </c>
      <c r="V442" s="17" t="str">
        <f t="shared" si="62"/>
        <v/>
      </c>
    </row>
    <row r="443" spans="1:22" x14ac:dyDescent="0.25">
      <c r="A443" t="str">
        <f t="shared" si="56"/>
        <v/>
      </c>
      <c r="B443" s="16"/>
      <c r="D443" t="str">
        <f>IF($C443="","",IFERROR(INDEX('Asset Register'!$B:$B,MATCH($C443,'Asset Register'!$A:$A,0)),""))</f>
        <v/>
      </c>
      <c r="E443" t="str">
        <f>IF($C443="","",IFERROR(INDEX('Asset Register'!$C:$C,MATCH($C443,'Asset Register'!$A:$A,0)),""))</f>
        <v/>
      </c>
      <c r="F443" t="str">
        <f>IF($C443="","",IFERROR(INDEX('Asset Register'!$D:$D,MATCH($C443,'Asset Register'!$A:$A,0)),""))</f>
        <v/>
      </c>
      <c r="J443" s="17" t="str">
        <f t="shared" si="63"/>
        <v/>
      </c>
      <c r="K443" s="17" t="str">
        <f t="shared" si="64"/>
        <v/>
      </c>
      <c r="L443" s="17" t="str">
        <f t="shared" si="57"/>
        <v/>
      </c>
      <c r="O443" t="str">
        <f>IF($C443="","",IFERROR(INDEX('Asset Register'!$G:$G,MATCH($C443,'Asset Register'!$A:$A,0)),""))</f>
        <v/>
      </c>
      <c r="Q443" t="str">
        <f t="shared" si="58"/>
        <v/>
      </c>
      <c r="R443" t="str">
        <f t="shared" si="59"/>
        <v/>
      </c>
      <c r="S443" s="17" t="str">
        <f t="shared" si="60"/>
        <v/>
      </c>
      <c r="T443" s="18" t="str">
        <f>IF($C443="","",IFERROR(INDEX('Asset Register'!$H:$H,MATCH($C443,'Asset Register'!$A:$A,0)),""))</f>
        <v/>
      </c>
      <c r="U443" s="18" t="str">
        <f t="shared" si="61"/>
        <v/>
      </c>
      <c r="V443" s="17" t="str">
        <f t="shared" si="62"/>
        <v/>
      </c>
    </row>
    <row r="444" spans="1:22" x14ac:dyDescent="0.25">
      <c r="A444" t="str">
        <f t="shared" si="56"/>
        <v/>
      </c>
      <c r="B444" s="16"/>
      <c r="D444" t="str">
        <f>IF($C444="","",IFERROR(INDEX('Asset Register'!$B:$B,MATCH($C444,'Asset Register'!$A:$A,0)),""))</f>
        <v/>
      </c>
      <c r="E444" t="str">
        <f>IF($C444="","",IFERROR(INDEX('Asset Register'!$C:$C,MATCH($C444,'Asset Register'!$A:$A,0)),""))</f>
        <v/>
      </c>
      <c r="F444" t="str">
        <f>IF($C444="","",IFERROR(INDEX('Asset Register'!$D:$D,MATCH($C444,'Asset Register'!$A:$A,0)),""))</f>
        <v/>
      </c>
      <c r="J444" s="17" t="str">
        <f t="shared" si="63"/>
        <v/>
      </c>
      <c r="K444" s="17" t="str">
        <f t="shared" si="64"/>
        <v/>
      </c>
      <c r="L444" s="17" t="str">
        <f t="shared" si="57"/>
        <v/>
      </c>
      <c r="O444" t="str">
        <f>IF($C444="","",IFERROR(INDEX('Asset Register'!$G:$G,MATCH($C444,'Asset Register'!$A:$A,0)),""))</f>
        <v/>
      </c>
      <c r="Q444" t="str">
        <f t="shared" si="58"/>
        <v/>
      </c>
      <c r="R444" t="str">
        <f t="shared" si="59"/>
        <v/>
      </c>
      <c r="S444" s="17" t="str">
        <f t="shared" si="60"/>
        <v/>
      </c>
      <c r="T444" s="18" t="str">
        <f>IF($C444="","",IFERROR(INDEX('Asset Register'!$H:$H,MATCH($C444,'Asset Register'!$A:$A,0)),""))</f>
        <v/>
      </c>
      <c r="U444" s="18" t="str">
        <f t="shared" si="61"/>
        <v/>
      </c>
      <c r="V444" s="17" t="str">
        <f t="shared" si="62"/>
        <v/>
      </c>
    </row>
    <row r="445" spans="1:22" x14ac:dyDescent="0.25">
      <c r="A445" t="str">
        <f t="shared" si="56"/>
        <v/>
      </c>
      <c r="B445" s="16"/>
      <c r="D445" t="str">
        <f>IF($C445="","",IFERROR(INDEX('Asset Register'!$B:$B,MATCH($C445,'Asset Register'!$A:$A,0)),""))</f>
        <v/>
      </c>
      <c r="E445" t="str">
        <f>IF($C445="","",IFERROR(INDEX('Asset Register'!$C:$C,MATCH($C445,'Asset Register'!$A:$A,0)),""))</f>
        <v/>
      </c>
      <c r="F445" t="str">
        <f>IF($C445="","",IFERROR(INDEX('Asset Register'!$D:$D,MATCH($C445,'Asset Register'!$A:$A,0)),""))</f>
        <v/>
      </c>
      <c r="J445" s="17" t="str">
        <f t="shared" si="63"/>
        <v/>
      </c>
      <c r="K445" s="17" t="str">
        <f t="shared" si="64"/>
        <v/>
      </c>
      <c r="L445" s="17" t="str">
        <f t="shared" si="57"/>
        <v/>
      </c>
      <c r="O445" t="str">
        <f>IF($C445="","",IFERROR(INDEX('Asset Register'!$G:$G,MATCH($C445,'Asset Register'!$A:$A,0)),""))</f>
        <v/>
      </c>
      <c r="Q445" t="str">
        <f t="shared" si="58"/>
        <v/>
      </c>
      <c r="R445" t="str">
        <f t="shared" si="59"/>
        <v/>
      </c>
      <c r="S445" s="17" t="str">
        <f t="shared" si="60"/>
        <v/>
      </c>
      <c r="T445" s="18" t="str">
        <f>IF($C445="","",IFERROR(INDEX('Asset Register'!$H:$H,MATCH($C445,'Asset Register'!$A:$A,0)),""))</f>
        <v/>
      </c>
      <c r="U445" s="18" t="str">
        <f t="shared" si="61"/>
        <v/>
      </c>
      <c r="V445" s="17" t="str">
        <f t="shared" si="62"/>
        <v/>
      </c>
    </row>
    <row r="446" spans="1:22" x14ac:dyDescent="0.25">
      <c r="A446" t="str">
        <f t="shared" si="56"/>
        <v/>
      </c>
      <c r="B446" s="16"/>
      <c r="D446" t="str">
        <f>IF($C446="","",IFERROR(INDEX('Asset Register'!$B:$B,MATCH($C446,'Asset Register'!$A:$A,0)),""))</f>
        <v/>
      </c>
      <c r="E446" t="str">
        <f>IF($C446="","",IFERROR(INDEX('Asset Register'!$C:$C,MATCH($C446,'Asset Register'!$A:$A,0)),""))</f>
        <v/>
      </c>
      <c r="F446" t="str">
        <f>IF($C446="","",IFERROR(INDEX('Asset Register'!$D:$D,MATCH($C446,'Asset Register'!$A:$A,0)),""))</f>
        <v/>
      </c>
      <c r="J446" s="17" t="str">
        <f t="shared" si="63"/>
        <v/>
      </c>
      <c r="K446" s="17" t="str">
        <f t="shared" si="64"/>
        <v/>
      </c>
      <c r="L446" s="17" t="str">
        <f t="shared" si="57"/>
        <v/>
      </c>
      <c r="O446" t="str">
        <f>IF($C446="","",IFERROR(INDEX('Asset Register'!$G:$G,MATCH($C446,'Asset Register'!$A:$A,0)),""))</f>
        <v/>
      </c>
      <c r="Q446" t="str">
        <f t="shared" si="58"/>
        <v/>
      </c>
      <c r="R446" t="str">
        <f t="shared" si="59"/>
        <v/>
      </c>
      <c r="S446" s="17" t="str">
        <f t="shared" si="60"/>
        <v/>
      </c>
      <c r="T446" s="18" t="str">
        <f>IF($C446="","",IFERROR(INDEX('Asset Register'!$H:$H,MATCH($C446,'Asset Register'!$A:$A,0)),""))</f>
        <v/>
      </c>
      <c r="U446" s="18" t="str">
        <f t="shared" si="61"/>
        <v/>
      </c>
      <c r="V446" s="17" t="str">
        <f t="shared" si="62"/>
        <v/>
      </c>
    </row>
    <row r="447" spans="1:22" x14ac:dyDescent="0.25">
      <c r="A447" t="str">
        <f t="shared" si="56"/>
        <v/>
      </c>
      <c r="B447" s="16"/>
      <c r="D447" t="str">
        <f>IF($C447="","",IFERROR(INDEX('Asset Register'!$B:$B,MATCH($C447,'Asset Register'!$A:$A,0)),""))</f>
        <v/>
      </c>
      <c r="E447" t="str">
        <f>IF($C447="","",IFERROR(INDEX('Asset Register'!$C:$C,MATCH($C447,'Asset Register'!$A:$A,0)),""))</f>
        <v/>
      </c>
      <c r="F447" t="str">
        <f>IF($C447="","",IFERROR(INDEX('Asset Register'!$D:$D,MATCH($C447,'Asset Register'!$A:$A,0)),""))</f>
        <v/>
      </c>
      <c r="J447" s="17" t="str">
        <f t="shared" si="63"/>
        <v/>
      </c>
      <c r="K447" s="17" t="str">
        <f t="shared" si="64"/>
        <v/>
      </c>
      <c r="L447" s="17" t="str">
        <f t="shared" si="57"/>
        <v/>
      </c>
      <c r="O447" t="str">
        <f>IF($C447="","",IFERROR(INDEX('Asset Register'!$G:$G,MATCH($C447,'Asset Register'!$A:$A,0)),""))</f>
        <v/>
      </c>
      <c r="Q447" t="str">
        <f t="shared" si="58"/>
        <v/>
      </c>
      <c r="R447" t="str">
        <f t="shared" si="59"/>
        <v/>
      </c>
      <c r="S447" s="17" t="str">
        <f t="shared" si="60"/>
        <v/>
      </c>
      <c r="T447" s="18" t="str">
        <f>IF($C447="","",IFERROR(INDEX('Asset Register'!$H:$H,MATCH($C447,'Asset Register'!$A:$A,0)),""))</f>
        <v/>
      </c>
      <c r="U447" s="18" t="str">
        <f t="shared" si="61"/>
        <v/>
      </c>
      <c r="V447" s="17" t="str">
        <f t="shared" si="62"/>
        <v/>
      </c>
    </row>
    <row r="448" spans="1:22" x14ac:dyDescent="0.25">
      <c r="A448" t="str">
        <f t="shared" si="56"/>
        <v/>
      </c>
      <c r="B448" s="16"/>
      <c r="D448" t="str">
        <f>IF($C448="","",IFERROR(INDEX('Asset Register'!$B:$B,MATCH($C448,'Asset Register'!$A:$A,0)),""))</f>
        <v/>
      </c>
      <c r="E448" t="str">
        <f>IF($C448="","",IFERROR(INDEX('Asset Register'!$C:$C,MATCH($C448,'Asset Register'!$A:$A,0)),""))</f>
        <v/>
      </c>
      <c r="F448" t="str">
        <f>IF($C448="","",IFERROR(INDEX('Asset Register'!$D:$D,MATCH($C448,'Asset Register'!$A:$A,0)),""))</f>
        <v/>
      </c>
      <c r="J448" s="17" t="str">
        <f t="shared" si="63"/>
        <v/>
      </c>
      <c r="K448" s="17" t="str">
        <f t="shared" si="64"/>
        <v/>
      </c>
      <c r="L448" s="17" t="str">
        <f t="shared" si="57"/>
        <v/>
      </c>
      <c r="O448" t="str">
        <f>IF($C448="","",IFERROR(INDEX('Asset Register'!$G:$G,MATCH($C448,'Asset Register'!$A:$A,0)),""))</f>
        <v/>
      </c>
      <c r="Q448" t="str">
        <f t="shared" si="58"/>
        <v/>
      </c>
      <c r="R448" t="str">
        <f t="shared" si="59"/>
        <v/>
      </c>
      <c r="S448" s="17" t="str">
        <f t="shared" si="60"/>
        <v/>
      </c>
      <c r="T448" s="18" t="str">
        <f>IF($C448="","",IFERROR(INDEX('Asset Register'!$H:$H,MATCH($C448,'Asset Register'!$A:$A,0)),""))</f>
        <v/>
      </c>
      <c r="U448" s="18" t="str">
        <f t="shared" si="61"/>
        <v/>
      </c>
      <c r="V448" s="17" t="str">
        <f t="shared" si="62"/>
        <v/>
      </c>
    </row>
    <row r="449" spans="1:22" x14ac:dyDescent="0.25">
      <c r="A449" t="str">
        <f t="shared" si="56"/>
        <v/>
      </c>
      <c r="B449" s="16"/>
      <c r="D449" t="str">
        <f>IF($C449="","",IFERROR(INDEX('Asset Register'!$B:$B,MATCH($C449,'Asset Register'!$A:$A,0)),""))</f>
        <v/>
      </c>
      <c r="E449" t="str">
        <f>IF($C449="","",IFERROR(INDEX('Asset Register'!$C:$C,MATCH($C449,'Asset Register'!$A:$A,0)),""))</f>
        <v/>
      </c>
      <c r="F449" t="str">
        <f>IF($C449="","",IFERROR(INDEX('Asset Register'!$D:$D,MATCH($C449,'Asset Register'!$A:$A,0)),""))</f>
        <v/>
      </c>
      <c r="J449" s="17" t="str">
        <f t="shared" si="63"/>
        <v/>
      </c>
      <c r="K449" s="17" t="str">
        <f t="shared" si="64"/>
        <v/>
      </c>
      <c r="L449" s="17" t="str">
        <f t="shared" si="57"/>
        <v/>
      </c>
      <c r="O449" t="str">
        <f>IF($C449="","",IFERROR(INDEX('Asset Register'!$G:$G,MATCH($C449,'Asset Register'!$A:$A,0)),""))</f>
        <v/>
      </c>
      <c r="Q449" t="str">
        <f t="shared" si="58"/>
        <v/>
      </c>
      <c r="R449" t="str">
        <f t="shared" si="59"/>
        <v/>
      </c>
      <c r="S449" s="17" t="str">
        <f t="shared" si="60"/>
        <v/>
      </c>
      <c r="T449" s="18" t="str">
        <f>IF($C449="","",IFERROR(INDEX('Asset Register'!$H:$H,MATCH($C449,'Asset Register'!$A:$A,0)),""))</f>
        <v/>
      </c>
      <c r="U449" s="18" t="str">
        <f t="shared" si="61"/>
        <v/>
      </c>
      <c r="V449" s="17" t="str">
        <f t="shared" si="62"/>
        <v/>
      </c>
    </row>
    <row r="450" spans="1:22" x14ac:dyDescent="0.25">
      <c r="A450" t="str">
        <f t="shared" ref="A450:A500" si="65">IF(B450="","",ROW()-1)</f>
        <v/>
      </c>
      <c r="B450" s="16"/>
      <c r="D450" t="str">
        <f>IF($C450="","",IFERROR(INDEX('Asset Register'!$B:$B,MATCH($C450,'Asset Register'!$A:$A,0)),""))</f>
        <v/>
      </c>
      <c r="E450" t="str">
        <f>IF($C450="","",IFERROR(INDEX('Asset Register'!$C:$C,MATCH($C450,'Asset Register'!$A:$A,0)),""))</f>
        <v/>
      </c>
      <c r="F450" t="str">
        <f>IF($C450="","",IFERROR(INDEX('Asset Register'!$D:$D,MATCH($C450,'Asset Register'!$A:$A,0)),""))</f>
        <v/>
      </c>
      <c r="J450" s="17" t="str">
        <f t="shared" si="63"/>
        <v/>
      </c>
      <c r="K450" s="17" t="str">
        <f t="shared" si="64"/>
        <v/>
      </c>
      <c r="L450" s="17" t="str">
        <f t="shared" ref="L450:L500" si="66">IF($J450="","",1-$J450)</f>
        <v/>
      </c>
      <c r="O450" t="str">
        <f>IF($C450="","",IFERROR(INDEX('Asset Register'!$G:$G,MATCH($C450,'Asset Register'!$A:$A,0)),""))</f>
        <v/>
      </c>
      <c r="Q450" t="str">
        <f t="shared" ref="Q450:Q500" si="67">IF($O450="","",$O450*$G450)</f>
        <v/>
      </c>
      <c r="R450" t="str">
        <f t="shared" ref="R450:R500" si="68">IF(OR($P450="",$Q450=""),"",$P450-$Q450)</f>
        <v/>
      </c>
      <c r="S450" s="17" t="str">
        <f t="shared" ref="S450:S500" si="69">IF(OR($R450="",$Q450="",$Q450=0),"",$R450/$Q450)</f>
        <v/>
      </c>
      <c r="T450" s="18" t="str">
        <f>IF($C450="","",IFERROR(INDEX('Asset Register'!$H:$H,MATCH($C450,'Asset Register'!$A:$A,0)),""))</f>
        <v/>
      </c>
      <c r="U450" s="18" t="str">
        <f t="shared" ref="U450:U500" si="70">IF($T450="","",$G450*$T450)</f>
        <v/>
      </c>
      <c r="V450" s="17" t="str">
        <f t="shared" ref="V450:V500" si="71">IFERROR($H450/$G450,"")</f>
        <v/>
      </c>
    </row>
    <row r="451" spans="1:22" x14ac:dyDescent="0.25">
      <c r="A451" t="str">
        <f t="shared" si="65"/>
        <v/>
      </c>
      <c r="B451" s="16"/>
      <c r="D451" t="str">
        <f>IF($C451="","",IFERROR(INDEX('Asset Register'!$B:$B,MATCH($C451,'Asset Register'!$A:$A,0)),""))</f>
        <v/>
      </c>
      <c r="E451" t="str">
        <f>IF($C451="","",IFERROR(INDEX('Asset Register'!$C:$C,MATCH($C451,'Asset Register'!$A:$A,0)),""))</f>
        <v/>
      </c>
      <c r="F451" t="str">
        <f>IF($C451="","",IFERROR(INDEX('Asset Register'!$D:$D,MATCH($C451,'Asset Register'!$A:$A,0)),""))</f>
        <v/>
      </c>
      <c r="J451" s="17" t="str">
        <f t="shared" si="63"/>
        <v/>
      </c>
      <c r="K451" s="17" t="str">
        <f t="shared" si="64"/>
        <v/>
      </c>
      <c r="L451" s="17" t="str">
        <f t="shared" si="66"/>
        <v/>
      </c>
      <c r="O451" t="str">
        <f>IF($C451="","",IFERROR(INDEX('Asset Register'!$G:$G,MATCH($C451,'Asset Register'!$A:$A,0)),""))</f>
        <v/>
      </c>
      <c r="Q451" t="str">
        <f t="shared" si="67"/>
        <v/>
      </c>
      <c r="R451" t="str">
        <f t="shared" si="68"/>
        <v/>
      </c>
      <c r="S451" s="17" t="str">
        <f t="shared" si="69"/>
        <v/>
      </c>
      <c r="T451" s="18" t="str">
        <f>IF($C451="","",IFERROR(INDEX('Asset Register'!$H:$H,MATCH($C451,'Asset Register'!$A:$A,0)),""))</f>
        <v/>
      </c>
      <c r="U451" s="18" t="str">
        <f t="shared" si="70"/>
        <v/>
      </c>
      <c r="V451" s="17" t="str">
        <f t="shared" si="71"/>
        <v/>
      </c>
    </row>
    <row r="452" spans="1:22" x14ac:dyDescent="0.25">
      <c r="A452" t="str">
        <f t="shared" si="65"/>
        <v/>
      </c>
      <c r="B452" s="16"/>
      <c r="D452" t="str">
        <f>IF($C452="","",IFERROR(INDEX('Asset Register'!$B:$B,MATCH($C452,'Asset Register'!$A:$A,0)),""))</f>
        <v/>
      </c>
      <c r="E452" t="str">
        <f>IF($C452="","",IFERROR(INDEX('Asset Register'!$C:$C,MATCH($C452,'Asset Register'!$A:$A,0)),""))</f>
        <v/>
      </c>
      <c r="F452" t="str">
        <f>IF($C452="","",IFERROR(INDEX('Asset Register'!$D:$D,MATCH($C452,'Asset Register'!$A:$A,0)),""))</f>
        <v/>
      </c>
      <c r="J452" s="17" t="str">
        <f t="shared" si="63"/>
        <v/>
      </c>
      <c r="K452" s="17" t="str">
        <f t="shared" si="64"/>
        <v/>
      </c>
      <c r="L452" s="17" t="str">
        <f t="shared" si="66"/>
        <v/>
      </c>
      <c r="O452" t="str">
        <f>IF($C452="","",IFERROR(INDEX('Asset Register'!$G:$G,MATCH($C452,'Asset Register'!$A:$A,0)),""))</f>
        <v/>
      </c>
      <c r="Q452" t="str">
        <f t="shared" si="67"/>
        <v/>
      </c>
      <c r="R452" t="str">
        <f t="shared" si="68"/>
        <v/>
      </c>
      <c r="S452" s="17" t="str">
        <f t="shared" si="69"/>
        <v/>
      </c>
      <c r="T452" s="18" t="str">
        <f>IF($C452="","",IFERROR(INDEX('Asset Register'!$H:$H,MATCH($C452,'Asset Register'!$A:$A,0)),""))</f>
        <v/>
      </c>
      <c r="U452" s="18" t="str">
        <f t="shared" si="70"/>
        <v/>
      </c>
      <c r="V452" s="17" t="str">
        <f t="shared" si="71"/>
        <v/>
      </c>
    </row>
    <row r="453" spans="1:22" x14ac:dyDescent="0.25">
      <c r="A453" t="str">
        <f t="shared" si="65"/>
        <v/>
      </c>
      <c r="B453" s="16"/>
      <c r="D453" t="str">
        <f>IF($C453="","",IFERROR(INDEX('Asset Register'!$B:$B,MATCH($C453,'Asset Register'!$A:$A,0)),""))</f>
        <v/>
      </c>
      <c r="E453" t="str">
        <f>IF($C453="","",IFERROR(INDEX('Asset Register'!$C:$C,MATCH($C453,'Asset Register'!$A:$A,0)),""))</f>
        <v/>
      </c>
      <c r="F453" t="str">
        <f>IF($C453="","",IFERROR(INDEX('Asset Register'!$D:$D,MATCH($C453,'Asset Register'!$A:$A,0)),""))</f>
        <v/>
      </c>
      <c r="J453" s="17" t="str">
        <f t="shared" si="63"/>
        <v/>
      </c>
      <c r="K453" s="17" t="str">
        <f t="shared" si="64"/>
        <v/>
      </c>
      <c r="L453" s="17" t="str">
        <f t="shared" si="66"/>
        <v/>
      </c>
      <c r="O453" t="str">
        <f>IF($C453="","",IFERROR(INDEX('Asset Register'!$G:$G,MATCH($C453,'Asset Register'!$A:$A,0)),""))</f>
        <v/>
      </c>
      <c r="Q453" t="str">
        <f t="shared" si="67"/>
        <v/>
      </c>
      <c r="R453" t="str">
        <f t="shared" si="68"/>
        <v/>
      </c>
      <c r="S453" s="17" t="str">
        <f t="shared" si="69"/>
        <v/>
      </c>
      <c r="T453" s="18" t="str">
        <f>IF($C453="","",IFERROR(INDEX('Asset Register'!$H:$H,MATCH($C453,'Asset Register'!$A:$A,0)),""))</f>
        <v/>
      </c>
      <c r="U453" s="18" t="str">
        <f t="shared" si="70"/>
        <v/>
      </c>
      <c r="V453" s="17" t="str">
        <f t="shared" si="71"/>
        <v/>
      </c>
    </row>
    <row r="454" spans="1:22" x14ac:dyDescent="0.25">
      <c r="A454" t="str">
        <f t="shared" si="65"/>
        <v/>
      </c>
      <c r="B454" s="16"/>
      <c r="D454" t="str">
        <f>IF($C454="","",IFERROR(INDEX('Asset Register'!$B:$B,MATCH($C454,'Asset Register'!$A:$A,0)),""))</f>
        <v/>
      </c>
      <c r="E454" t="str">
        <f>IF($C454="","",IFERROR(INDEX('Asset Register'!$C:$C,MATCH($C454,'Asset Register'!$A:$A,0)),""))</f>
        <v/>
      </c>
      <c r="F454" t="str">
        <f>IF($C454="","",IFERROR(INDEX('Asset Register'!$D:$D,MATCH($C454,'Asset Register'!$A:$A,0)),""))</f>
        <v/>
      </c>
      <c r="J454" s="17" t="str">
        <f t="shared" si="63"/>
        <v/>
      </c>
      <c r="K454" s="17" t="str">
        <f t="shared" si="64"/>
        <v/>
      </c>
      <c r="L454" s="17" t="str">
        <f t="shared" si="66"/>
        <v/>
      </c>
      <c r="O454" t="str">
        <f>IF($C454="","",IFERROR(INDEX('Asset Register'!$G:$G,MATCH($C454,'Asset Register'!$A:$A,0)),""))</f>
        <v/>
      </c>
      <c r="Q454" t="str">
        <f t="shared" si="67"/>
        <v/>
      </c>
      <c r="R454" t="str">
        <f t="shared" si="68"/>
        <v/>
      </c>
      <c r="S454" s="17" t="str">
        <f t="shared" si="69"/>
        <v/>
      </c>
      <c r="T454" s="18" t="str">
        <f>IF($C454="","",IFERROR(INDEX('Asset Register'!$H:$H,MATCH($C454,'Asset Register'!$A:$A,0)),""))</f>
        <v/>
      </c>
      <c r="U454" s="18" t="str">
        <f t="shared" si="70"/>
        <v/>
      </c>
      <c r="V454" s="17" t="str">
        <f t="shared" si="71"/>
        <v/>
      </c>
    </row>
    <row r="455" spans="1:22" x14ac:dyDescent="0.25">
      <c r="A455" t="str">
        <f t="shared" si="65"/>
        <v/>
      </c>
      <c r="B455" s="16"/>
      <c r="D455" t="str">
        <f>IF($C455="","",IFERROR(INDEX('Asset Register'!$B:$B,MATCH($C455,'Asset Register'!$A:$A,0)),""))</f>
        <v/>
      </c>
      <c r="E455" t="str">
        <f>IF($C455="","",IFERROR(INDEX('Asset Register'!$C:$C,MATCH($C455,'Asset Register'!$A:$A,0)),""))</f>
        <v/>
      </c>
      <c r="F455" t="str">
        <f>IF($C455="","",IFERROR(INDEX('Asset Register'!$D:$D,MATCH($C455,'Asset Register'!$A:$A,0)),""))</f>
        <v/>
      </c>
      <c r="J455" s="17" t="str">
        <f t="shared" si="63"/>
        <v/>
      </c>
      <c r="K455" s="17" t="str">
        <f t="shared" si="64"/>
        <v/>
      </c>
      <c r="L455" s="17" t="str">
        <f t="shared" si="66"/>
        <v/>
      </c>
      <c r="O455" t="str">
        <f>IF($C455="","",IFERROR(INDEX('Asset Register'!$G:$G,MATCH($C455,'Asset Register'!$A:$A,0)),""))</f>
        <v/>
      </c>
      <c r="Q455" t="str">
        <f t="shared" si="67"/>
        <v/>
      </c>
      <c r="R455" t="str">
        <f t="shared" si="68"/>
        <v/>
      </c>
      <c r="S455" s="17" t="str">
        <f t="shared" si="69"/>
        <v/>
      </c>
      <c r="T455" s="18" t="str">
        <f>IF($C455="","",IFERROR(INDEX('Asset Register'!$H:$H,MATCH($C455,'Asset Register'!$A:$A,0)),""))</f>
        <v/>
      </c>
      <c r="U455" s="18" t="str">
        <f t="shared" si="70"/>
        <v/>
      </c>
      <c r="V455" s="17" t="str">
        <f t="shared" si="71"/>
        <v/>
      </c>
    </row>
    <row r="456" spans="1:22" x14ac:dyDescent="0.25">
      <c r="A456" t="str">
        <f t="shared" si="65"/>
        <v/>
      </c>
      <c r="B456" s="16"/>
      <c r="D456" t="str">
        <f>IF($C456="","",IFERROR(INDEX('Asset Register'!$B:$B,MATCH($C456,'Asset Register'!$A:$A,0)),""))</f>
        <v/>
      </c>
      <c r="E456" t="str">
        <f>IF($C456="","",IFERROR(INDEX('Asset Register'!$C:$C,MATCH($C456,'Asset Register'!$A:$A,0)),""))</f>
        <v/>
      </c>
      <c r="F456" t="str">
        <f>IF($C456="","",IFERROR(INDEX('Asset Register'!$D:$D,MATCH($C456,'Asset Register'!$A:$A,0)),""))</f>
        <v/>
      </c>
      <c r="J456" s="17" t="str">
        <f t="shared" si="63"/>
        <v/>
      </c>
      <c r="K456" s="17" t="str">
        <f t="shared" si="64"/>
        <v/>
      </c>
      <c r="L456" s="17" t="str">
        <f t="shared" si="66"/>
        <v/>
      </c>
      <c r="O456" t="str">
        <f>IF($C456="","",IFERROR(INDEX('Asset Register'!$G:$G,MATCH($C456,'Asset Register'!$A:$A,0)),""))</f>
        <v/>
      </c>
      <c r="Q456" t="str">
        <f t="shared" si="67"/>
        <v/>
      </c>
      <c r="R456" t="str">
        <f t="shared" si="68"/>
        <v/>
      </c>
      <c r="S456" s="17" t="str">
        <f t="shared" si="69"/>
        <v/>
      </c>
      <c r="T456" s="18" t="str">
        <f>IF($C456="","",IFERROR(INDEX('Asset Register'!$H:$H,MATCH($C456,'Asset Register'!$A:$A,0)),""))</f>
        <v/>
      </c>
      <c r="U456" s="18" t="str">
        <f t="shared" si="70"/>
        <v/>
      </c>
      <c r="V456" s="17" t="str">
        <f t="shared" si="71"/>
        <v/>
      </c>
    </row>
    <row r="457" spans="1:22" x14ac:dyDescent="0.25">
      <c r="A457" t="str">
        <f t="shared" si="65"/>
        <v/>
      </c>
      <c r="B457" s="16"/>
      <c r="D457" t="str">
        <f>IF($C457="","",IFERROR(INDEX('Asset Register'!$B:$B,MATCH($C457,'Asset Register'!$A:$A,0)),""))</f>
        <v/>
      </c>
      <c r="E457" t="str">
        <f>IF($C457="","",IFERROR(INDEX('Asset Register'!$C:$C,MATCH($C457,'Asset Register'!$A:$A,0)),""))</f>
        <v/>
      </c>
      <c r="F457" t="str">
        <f>IF($C457="","",IFERROR(INDEX('Asset Register'!$D:$D,MATCH($C457,'Asset Register'!$A:$A,0)),""))</f>
        <v/>
      </c>
      <c r="J457" s="17" t="str">
        <f t="shared" si="63"/>
        <v/>
      </c>
      <c r="K457" s="17" t="str">
        <f t="shared" si="64"/>
        <v/>
      </c>
      <c r="L457" s="17" t="str">
        <f t="shared" si="66"/>
        <v/>
      </c>
      <c r="O457" t="str">
        <f>IF($C457="","",IFERROR(INDEX('Asset Register'!$G:$G,MATCH($C457,'Asset Register'!$A:$A,0)),""))</f>
        <v/>
      </c>
      <c r="Q457" t="str">
        <f t="shared" si="67"/>
        <v/>
      </c>
      <c r="R457" t="str">
        <f t="shared" si="68"/>
        <v/>
      </c>
      <c r="S457" s="17" t="str">
        <f t="shared" si="69"/>
        <v/>
      </c>
      <c r="T457" s="18" t="str">
        <f>IF($C457="","",IFERROR(INDEX('Asset Register'!$H:$H,MATCH($C457,'Asset Register'!$A:$A,0)),""))</f>
        <v/>
      </c>
      <c r="U457" s="18" t="str">
        <f t="shared" si="70"/>
        <v/>
      </c>
      <c r="V457" s="17" t="str">
        <f t="shared" si="71"/>
        <v/>
      </c>
    </row>
    <row r="458" spans="1:22" x14ac:dyDescent="0.25">
      <c r="A458" t="str">
        <f t="shared" si="65"/>
        <v/>
      </c>
      <c r="B458" s="16"/>
      <c r="D458" t="str">
        <f>IF($C458="","",IFERROR(INDEX('Asset Register'!$B:$B,MATCH($C458,'Asset Register'!$A:$A,0)),""))</f>
        <v/>
      </c>
      <c r="E458" t="str">
        <f>IF($C458="","",IFERROR(INDEX('Asset Register'!$C:$C,MATCH($C458,'Asset Register'!$A:$A,0)),""))</f>
        <v/>
      </c>
      <c r="F458" t="str">
        <f>IF($C458="","",IFERROR(INDEX('Asset Register'!$D:$D,MATCH($C458,'Asset Register'!$A:$A,0)),""))</f>
        <v/>
      </c>
      <c r="J458" s="17" t="str">
        <f t="shared" si="63"/>
        <v/>
      </c>
      <c r="K458" s="17" t="str">
        <f t="shared" si="64"/>
        <v/>
      </c>
      <c r="L458" s="17" t="str">
        <f t="shared" si="66"/>
        <v/>
      </c>
      <c r="O458" t="str">
        <f>IF($C458="","",IFERROR(INDEX('Asset Register'!$G:$G,MATCH($C458,'Asset Register'!$A:$A,0)),""))</f>
        <v/>
      </c>
      <c r="Q458" t="str">
        <f t="shared" si="67"/>
        <v/>
      </c>
      <c r="R458" t="str">
        <f t="shared" si="68"/>
        <v/>
      </c>
      <c r="S458" s="17" t="str">
        <f t="shared" si="69"/>
        <v/>
      </c>
      <c r="T458" s="18" t="str">
        <f>IF($C458="","",IFERROR(INDEX('Asset Register'!$H:$H,MATCH($C458,'Asset Register'!$A:$A,0)),""))</f>
        <v/>
      </c>
      <c r="U458" s="18" t="str">
        <f t="shared" si="70"/>
        <v/>
      </c>
      <c r="V458" s="17" t="str">
        <f t="shared" si="71"/>
        <v/>
      </c>
    </row>
    <row r="459" spans="1:22" x14ac:dyDescent="0.25">
      <c r="A459" t="str">
        <f t="shared" si="65"/>
        <v/>
      </c>
      <c r="B459" s="16"/>
      <c r="D459" t="str">
        <f>IF($C459="","",IFERROR(INDEX('Asset Register'!$B:$B,MATCH($C459,'Asset Register'!$A:$A,0)),""))</f>
        <v/>
      </c>
      <c r="E459" t="str">
        <f>IF($C459="","",IFERROR(INDEX('Asset Register'!$C:$C,MATCH($C459,'Asset Register'!$A:$A,0)),""))</f>
        <v/>
      </c>
      <c r="F459" t="str">
        <f>IF($C459="","",IFERROR(INDEX('Asset Register'!$D:$D,MATCH($C459,'Asset Register'!$A:$A,0)),""))</f>
        <v/>
      </c>
      <c r="J459" s="17" t="str">
        <f t="shared" si="63"/>
        <v/>
      </c>
      <c r="K459" s="17" t="str">
        <f t="shared" si="64"/>
        <v/>
      </c>
      <c r="L459" s="17" t="str">
        <f t="shared" si="66"/>
        <v/>
      </c>
      <c r="O459" t="str">
        <f>IF($C459="","",IFERROR(INDEX('Asset Register'!$G:$G,MATCH($C459,'Asset Register'!$A:$A,0)),""))</f>
        <v/>
      </c>
      <c r="Q459" t="str">
        <f t="shared" si="67"/>
        <v/>
      </c>
      <c r="R459" t="str">
        <f t="shared" si="68"/>
        <v/>
      </c>
      <c r="S459" s="17" t="str">
        <f t="shared" si="69"/>
        <v/>
      </c>
      <c r="T459" s="18" t="str">
        <f>IF($C459="","",IFERROR(INDEX('Asset Register'!$H:$H,MATCH($C459,'Asset Register'!$A:$A,0)),""))</f>
        <v/>
      </c>
      <c r="U459" s="18" t="str">
        <f t="shared" si="70"/>
        <v/>
      </c>
      <c r="V459" s="17" t="str">
        <f t="shared" si="71"/>
        <v/>
      </c>
    </row>
    <row r="460" spans="1:22" x14ac:dyDescent="0.25">
      <c r="A460" t="str">
        <f t="shared" si="65"/>
        <v/>
      </c>
      <c r="B460" s="16"/>
      <c r="D460" t="str">
        <f>IF($C460="","",IFERROR(INDEX('Asset Register'!$B:$B,MATCH($C460,'Asset Register'!$A:$A,0)),""))</f>
        <v/>
      </c>
      <c r="E460" t="str">
        <f>IF($C460="","",IFERROR(INDEX('Asset Register'!$C:$C,MATCH($C460,'Asset Register'!$A:$A,0)),""))</f>
        <v/>
      </c>
      <c r="F460" t="str">
        <f>IF($C460="","",IFERROR(INDEX('Asset Register'!$D:$D,MATCH($C460,'Asset Register'!$A:$A,0)),""))</f>
        <v/>
      </c>
      <c r="J460" s="17" t="str">
        <f t="shared" si="63"/>
        <v/>
      </c>
      <c r="K460" s="17" t="str">
        <f t="shared" si="64"/>
        <v/>
      </c>
      <c r="L460" s="17" t="str">
        <f t="shared" si="66"/>
        <v/>
      </c>
      <c r="O460" t="str">
        <f>IF($C460="","",IFERROR(INDEX('Asset Register'!$G:$G,MATCH($C460,'Asset Register'!$A:$A,0)),""))</f>
        <v/>
      </c>
      <c r="Q460" t="str">
        <f t="shared" si="67"/>
        <v/>
      </c>
      <c r="R460" t="str">
        <f t="shared" si="68"/>
        <v/>
      </c>
      <c r="S460" s="17" t="str">
        <f t="shared" si="69"/>
        <v/>
      </c>
      <c r="T460" s="18" t="str">
        <f>IF($C460="","",IFERROR(INDEX('Asset Register'!$H:$H,MATCH($C460,'Asset Register'!$A:$A,0)),""))</f>
        <v/>
      </c>
      <c r="U460" s="18" t="str">
        <f t="shared" si="70"/>
        <v/>
      </c>
      <c r="V460" s="17" t="str">
        <f t="shared" si="71"/>
        <v/>
      </c>
    </row>
    <row r="461" spans="1:22" x14ac:dyDescent="0.25">
      <c r="A461" t="str">
        <f t="shared" si="65"/>
        <v/>
      </c>
      <c r="B461" s="16"/>
      <c r="D461" t="str">
        <f>IF($C461="","",IFERROR(INDEX('Asset Register'!$B:$B,MATCH($C461,'Asset Register'!$A:$A,0)),""))</f>
        <v/>
      </c>
      <c r="E461" t="str">
        <f>IF($C461="","",IFERROR(INDEX('Asset Register'!$C:$C,MATCH($C461,'Asset Register'!$A:$A,0)),""))</f>
        <v/>
      </c>
      <c r="F461" t="str">
        <f>IF($C461="","",IFERROR(INDEX('Asset Register'!$D:$D,MATCH($C461,'Asset Register'!$A:$A,0)),""))</f>
        <v/>
      </c>
      <c r="J461" s="17" t="str">
        <f t="shared" si="63"/>
        <v/>
      </c>
      <c r="K461" s="17" t="str">
        <f t="shared" si="64"/>
        <v/>
      </c>
      <c r="L461" s="17" t="str">
        <f t="shared" si="66"/>
        <v/>
      </c>
      <c r="O461" t="str">
        <f>IF($C461="","",IFERROR(INDEX('Asset Register'!$G:$G,MATCH($C461,'Asset Register'!$A:$A,0)),""))</f>
        <v/>
      </c>
      <c r="Q461" t="str">
        <f t="shared" si="67"/>
        <v/>
      </c>
      <c r="R461" t="str">
        <f t="shared" si="68"/>
        <v/>
      </c>
      <c r="S461" s="17" t="str">
        <f t="shared" si="69"/>
        <v/>
      </c>
      <c r="T461" s="18" t="str">
        <f>IF($C461="","",IFERROR(INDEX('Asset Register'!$H:$H,MATCH($C461,'Asset Register'!$A:$A,0)),""))</f>
        <v/>
      </c>
      <c r="U461" s="18" t="str">
        <f t="shared" si="70"/>
        <v/>
      </c>
      <c r="V461" s="17" t="str">
        <f t="shared" si="71"/>
        <v/>
      </c>
    </row>
    <row r="462" spans="1:22" x14ac:dyDescent="0.25">
      <c r="A462" t="str">
        <f t="shared" si="65"/>
        <v/>
      </c>
      <c r="B462" s="16"/>
      <c r="D462" t="str">
        <f>IF($C462="","",IFERROR(INDEX('Asset Register'!$B:$B,MATCH($C462,'Asset Register'!$A:$A,0)),""))</f>
        <v/>
      </c>
      <c r="E462" t="str">
        <f>IF($C462="","",IFERROR(INDEX('Asset Register'!$C:$C,MATCH($C462,'Asset Register'!$A:$A,0)),""))</f>
        <v/>
      </c>
      <c r="F462" t="str">
        <f>IF($C462="","",IFERROR(INDEX('Asset Register'!$D:$D,MATCH($C462,'Asset Register'!$A:$A,0)),""))</f>
        <v/>
      </c>
      <c r="J462" s="17" t="str">
        <f t="shared" si="63"/>
        <v/>
      </c>
      <c r="K462" s="17" t="str">
        <f t="shared" si="64"/>
        <v/>
      </c>
      <c r="L462" s="17" t="str">
        <f t="shared" si="66"/>
        <v/>
      </c>
      <c r="O462" t="str">
        <f>IF($C462="","",IFERROR(INDEX('Asset Register'!$G:$G,MATCH($C462,'Asset Register'!$A:$A,0)),""))</f>
        <v/>
      </c>
      <c r="Q462" t="str">
        <f t="shared" si="67"/>
        <v/>
      </c>
      <c r="R462" t="str">
        <f t="shared" si="68"/>
        <v/>
      </c>
      <c r="S462" s="17" t="str">
        <f t="shared" si="69"/>
        <v/>
      </c>
      <c r="T462" s="18" t="str">
        <f>IF($C462="","",IFERROR(INDEX('Asset Register'!$H:$H,MATCH($C462,'Asset Register'!$A:$A,0)),""))</f>
        <v/>
      </c>
      <c r="U462" s="18" t="str">
        <f t="shared" si="70"/>
        <v/>
      </c>
      <c r="V462" s="17" t="str">
        <f t="shared" si="71"/>
        <v/>
      </c>
    </row>
    <row r="463" spans="1:22" x14ac:dyDescent="0.25">
      <c r="A463" t="str">
        <f t="shared" si="65"/>
        <v/>
      </c>
      <c r="B463" s="16"/>
      <c r="D463" t="str">
        <f>IF($C463="","",IFERROR(INDEX('Asset Register'!$B:$B,MATCH($C463,'Asset Register'!$A:$A,0)),""))</f>
        <v/>
      </c>
      <c r="E463" t="str">
        <f>IF($C463="","",IFERROR(INDEX('Asset Register'!$C:$C,MATCH($C463,'Asset Register'!$A:$A,0)),""))</f>
        <v/>
      </c>
      <c r="F463" t="str">
        <f>IF($C463="","",IFERROR(INDEX('Asset Register'!$D:$D,MATCH($C463,'Asset Register'!$A:$A,0)),""))</f>
        <v/>
      </c>
      <c r="J463" s="17" t="str">
        <f t="shared" si="63"/>
        <v/>
      </c>
      <c r="K463" s="17" t="str">
        <f t="shared" si="64"/>
        <v/>
      </c>
      <c r="L463" s="17" t="str">
        <f t="shared" si="66"/>
        <v/>
      </c>
      <c r="O463" t="str">
        <f>IF($C463="","",IFERROR(INDEX('Asset Register'!$G:$G,MATCH($C463,'Asset Register'!$A:$A,0)),""))</f>
        <v/>
      </c>
      <c r="Q463" t="str">
        <f t="shared" si="67"/>
        <v/>
      </c>
      <c r="R463" t="str">
        <f t="shared" si="68"/>
        <v/>
      </c>
      <c r="S463" s="17" t="str">
        <f t="shared" si="69"/>
        <v/>
      </c>
      <c r="T463" s="18" t="str">
        <f>IF($C463="","",IFERROR(INDEX('Asset Register'!$H:$H,MATCH($C463,'Asset Register'!$A:$A,0)),""))</f>
        <v/>
      </c>
      <c r="U463" s="18" t="str">
        <f t="shared" si="70"/>
        <v/>
      </c>
      <c r="V463" s="17" t="str">
        <f t="shared" si="71"/>
        <v/>
      </c>
    </row>
    <row r="464" spans="1:22" x14ac:dyDescent="0.25">
      <c r="A464" t="str">
        <f t="shared" si="65"/>
        <v/>
      </c>
      <c r="B464" s="16"/>
      <c r="D464" t="str">
        <f>IF($C464="","",IFERROR(INDEX('Asset Register'!$B:$B,MATCH($C464,'Asset Register'!$A:$A,0)),""))</f>
        <v/>
      </c>
      <c r="E464" t="str">
        <f>IF($C464="","",IFERROR(INDEX('Asset Register'!$C:$C,MATCH($C464,'Asset Register'!$A:$A,0)),""))</f>
        <v/>
      </c>
      <c r="F464" t="str">
        <f>IF($C464="","",IFERROR(INDEX('Asset Register'!$D:$D,MATCH($C464,'Asset Register'!$A:$A,0)),""))</f>
        <v/>
      </c>
      <c r="J464" s="17" t="str">
        <f t="shared" si="63"/>
        <v/>
      </c>
      <c r="K464" s="17" t="str">
        <f t="shared" si="64"/>
        <v/>
      </c>
      <c r="L464" s="17" t="str">
        <f t="shared" si="66"/>
        <v/>
      </c>
      <c r="O464" t="str">
        <f>IF($C464="","",IFERROR(INDEX('Asset Register'!$G:$G,MATCH($C464,'Asset Register'!$A:$A,0)),""))</f>
        <v/>
      </c>
      <c r="Q464" t="str">
        <f t="shared" si="67"/>
        <v/>
      </c>
      <c r="R464" t="str">
        <f t="shared" si="68"/>
        <v/>
      </c>
      <c r="S464" s="17" t="str">
        <f t="shared" si="69"/>
        <v/>
      </c>
      <c r="T464" s="18" t="str">
        <f>IF($C464="","",IFERROR(INDEX('Asset Register'!$H:$H,MATCH($C464,'Asset Register'!$A:$A,0)),""))</f>
        <v/>
      </c>
      <c r="U464" s="18" t="str">
        <f t="shared" si="70"/>
        <v/>
      </c>
      <c r="V464" s="17" t="str">
        <f t="shared" si="71"/>
        <v/>
      </c>
    </row>
    <row r="465" spans="1:22" x14ac:dyDescent="0.25">
      <c r="A465" t="str">
        <f t="shared" si="65"/>
        <v/>
      </c>
      <c r="B465" s="16"/>
      <c r="D465" t="str">
        <f>IF($C465="","",IFERROR(INDEX('Asset Register'!$B:$B,MATCH($C465,'Asset Register'!$A:$A,0)),""))</f>
        <v/>
      </c>
      <c r="E465" t="str">
        <f>IF($C465="","",IFERROR(INDEX('Asset Register'!$C:$C,MATCH($C465,'Asset Register'!$A:$A,0)),""))</f>
        <v/>
      </c>
      <c r="F465" t="str">
        <f>IF($C465="","",IFERROR(INDEX('Asset Register'!$D:$D,MATCH($C465,'Asset Register'!$A:$A,0)),""))</f>
        <v/>
      </c>
      <c r="J465" s="17" t="str">
        <f t="shared" ref="J465:J500" si="72">IF(OR($G465="",$G465+$I465=0),"",$G465/($G465+$I465))</f>
        <v/>
      </c>
      <c r="K465" s="17" t="str">
        <f t="shared" ref="K465:K500" si="73">IF(OR($G465="",$G465+$H465+$I465=0),"",$G465/($G465+$H465+$I465))</f>
        <v/>
      </c>
      <c r="L465" s="17" t="str">
        <f t="shared" si="66"/>
        <v/>
      </c>
      <c r="O465" t="str">
        <f>IF($C465="","",IFERROR(INDEX('Asset Register'!$G:$G,MATCH($C465,'Asset Register'!$A:$A,0)),""))</f>
        <v/>
      </c>
      <c r="Q465" t="str">
        <f t="shared" si="67"/>
        <v/>
      </c>
      <c r="R465" t="str">
        <f t="shared" si="68"/>
        <v/>
      </c>
      <c r="S465" s="17" t="str">
        <f t="shared" si="69"/>
        <v/>
      </c>
      <c r="T465" s="18" t="str">
        <f>IF($C465="","",IFERROR(INDEX('Asset Register'!$H:$H,MATCH($C465,'Asset Register'!$A:$A,0)),""))</f>
        <v/>
      </c>
      <c r="U465" s="18" t="str">
        <f t="shared" si="70"/>
        <v/>
      </c>
      <c r="V465" s="17" t="str">
        <f t="shared" si="71"/>
        <v/>
      </c>
    </row>
    <row r="466" spans="1:22" x14ac:dyDescent="0.25">
      <c r="A466" t="str">
        <f t="shared" si="65"/>
        <v/>
      </c>
      <c r="B466" s="16"/>
      <c r="D466" t="str">
        <f>IF($C466="","",IFERROR(INDEX('Asset Register'!$B:$B,MATCH($C466,'Asset Register'!$A:$A,0)),""))</f>
        <v/>
      </c>
      <c r="E466" t="str">
        <f>IF($C466="","",IFERROR(INDEX('Asset Register'!$C:$C,MATCH($C466,'Asset Register'!$A:$A,0)),""))</f>
        <v/>
      </c>
      <c r="F466" t="str">
        <f>IF($C466="","",IFERROR(INDEX('Asset Register'!$D:$D,MATCH($C466,'Asset Register'!$A:$A,0)),""))</f>
        <v/>
      </c>
      <c r="J466" s="17" t="str">
        <f t="shared" si="72"/>
        <v/>
      </c>
      <c r="K466" s="17" t="str">
        <f t="shared" si="73"/>
        <v/>
      </c>
      <c r="L466" s="17" t="str">
        <f t="shared" si="66"/>
        <v/>
      </c>
      <c r="O466" t="str">
        <f>IF($C466="","",IFERROR(INDEX('Asset Register'!$G:$G,MATCH($C466,'Asset Register'!$A:$A,0)),""))</f>
        <v/>
      </c>
      <c r="Q466" t="str">
        <f t="shared" si="67"/>
        <v/>
      </c>
      <c r="R466" t="str">
        <f t="shared" si="68"/>
        <v/>
      </c>
      <c r="S466" s="17" t="str">
        <f t="shared" si="69"/>
        <v/>
      </c>
      <c r="T466" s="18" t="str">
        <f>IF($C466="","",IFERROR(INDEX('Asset Register'!$H:$H,MATCH($C466,'Asset Register'!$A:$A,0)),""))</f>
        <v/>
      </c>
      <c r="U466" s="18" t="str">
        <f t="shared" si="70"/>
        <v/>
      </c>
      <c r="V466" s="17" t="str">
        <f t="shared" si="71"/>
        <v/>
      </c>
    </row>
    <row r="467" spans="1:22" x14ac:dyDescent="0.25">
      <c r="A467" t="str">
        <f t="shared" si="65"/>
        <v/>
      </c>
      <c r="B467" s="16"/>
      <c r="D467" t="str">
        <f>IF($C467="","",IFERROR(INDEX('Asset Register'!$B:$B,MATCH($C467,'Asset Register'!$A:$A,0)),""))</f>
        <v/>
      </c>
      <c r="E467" t="str">
        <f>IF($C467="","",IFERROR(INDEX('Asset Register'!$C:$C,MATCH($C467,'Asset Register'!$A:$A,0)),""))</f>
        <v/>
      </c>
      <c r="F467" t="str">
        <f>IF($C467="","",IFERROR(INDEX('Asset Register'!$D:$D,MATCH($C467,'Asset Register'!$A:$A,0)),""))</f>
        <v/>
      </c>
      <c r="J467" s="17" t="str">
        <f t="shared" si="72"/>
        <v/>
      </c>
      <c r="K467" s="17" t="str">
        <f t="shared" si="73"/>
        <v/>
      </c>
      <c r="L467" s="17" t="str">
        <f t="shared" si="66"/>
        <v/>
      </c>
      <c r="O467" t="str">
        <f>IF($C467="","",IFERROR(INDEX('Asset Register'!$G:$G,MATCH($C467,'Asset Register'!$A:$A,0)),""))</f>
        <v/>
      </c>
      <c r="Q467" t="str">
        <f t="shared" si="67"/>
        <v/>
      </c>
      <c r="R467" t="str">
        <f t="shared" si="68"/>
        <v/>
      </c>
      <c r="S467" s="17" t="str">
        <f t="shared" si="69"/>
        <v/>
      </c>
      <c r="T467" s="18" t="str">
        <f>IF($C467="","",IFERROR(INDEX('Asset Register'!$H:$H,MATCH($C467,'Asset Register'!$A:$A,0)),""))</f>
        <v/>
      </c>
      <c r="U467" s="18" t="str">
        <f t="shared" si="70"/>
        <v/>
      </c>
      <c r="V467" s="17" t="str">
        <f t="shared" si="71"/>
        <v/>
      </c>
    </row>
    <row r="468" spans="1:22" x14ac:dyDescent="0.25">
      <c r="A468" t="str">
        <f t="shared" si="65"/>
        <v/>
      </c>
      <c r="B468" s="16"/>
      <c r="D468" t="str">
        <f>IF($C468="","",IFERROR(INDEX('Asset Register'!$B:$B,MATCH($C468,'Asset Register'!$A:$A,0)),""))</f>
        <v/>
      </c>
      <c r="E468" t="str">
        <f>IF($C468="","",IFERROR(INDEX('Asset Register'!$C:$C,MATCH($C468,'Asset Register'!$A:$A,0)),""))</f>
        <v/>
      </c>
      <c r="F468" t="str">
        <f>IF($C468="","",IFERROR(INDEX('Asset Register'!$D:$D,MATCH($C468,'Asset Register'!$A:$A,0)),""))</f>
        <v/>
      </c>
      <c r="J468" s="17" t="str">
        <f t="shared" si="72"/>
        <v/>
      </c>
      <c r="K468" s="17" t="str">
        <f t="shared" si="73"/>
        <v/>
      </c>
      <c r="L468" s="17" t="str">
        <f t="shared" si="66"/>
        <v/>
      </c>
      <c r="O468" t="str">
        <f>IF($C468="","",IFERROR(INDEX('Asset Register'!$G:$G,MATCH($C468,'Asset Register'!$A:$A,0)),""))</f>
        <v/>
      </c>
      <c r="Q468" t="str">
        <f t="shared" si="67"/>
        <v/>
      </c>
      <c r="R468" t="str">
        <f t="shared" si="68"/>
        <v/>
      </c>
      <c r="S468" s="17" t="str">
        <f t="shared" si="69"/>
        <v/>
      </c>
      <c r="T468" s="18" t="str">
        <f>IF($C468="","",IFERROR(INDEX('Asset Register'!$H:$H,MATCH($C468,'Asset Register'!$A:$A,0)),""))</f>
        <v/>
      </c>
      <c r="U468" s="18" t="str">
        <f t="shared" si="70"/>
        <v/>
      </c>
      <c r="V468" s="17" t="str">
        <f t="shared" si="71"/>
        <v/>
      </c>
    </row>
    <row r="469" spans="1:22" x14ac:dyDescent="0.25">
      <c r="A469" t="str">
        <f t="shared" si="65"/>
        <v/>
      </c>
      <c r="B469" s="16"/>
      <c r="D469" t="str">
        <f>IF($C469="","",IFERROR(INDEX('Asset Register'!$B:$B,MATCH($C469,'Asset Register'!$A:$A,0)),""))</f>
        <v/>
      </c>
      <c r="E469" t="str">
        <f>IF($C469="","",IFERROR(INDEX('Asset Register'!$C:$C,MATCH($C469,'Asset Register'!$A:$A,0)),""))</f>
        <v/>
      </c>
      <c r="F469" t="str">
        <f>IF($C469="","",IFERROR(INDEX('Asset Register'!$D:$D,MATCH($C469,'Asset Register'!$A:$A,0)),""))</f>
        <v/>
      </c>
      <c r="J469" s="17" t="str">
        <f t="shared" si="72"/>
        <v/>
      </c>
      <c r="K469" s="17" t="str">
        <f t="shared" si="73"/>
        <v/>
      </c>
      <c r="L469" s="17" t="str">
        <f t="shared" si="66"/>
        <v/>
      </c>
      <c r="O469" t="str">
        <f>IF($C469="","",IFERROR(INDEX('Asset Register'!$G:$G,MATCH($C469,'Asset Register'!$A:$A,0)),""))</f>
        <v/>
      </c>
      <c r="Q469" t="str">
        <f t="shared" si="67"/>
        <v/>
      </c>
      <c r="R469" t="str">
        <f t="shared" si="68"/>
        <v/>
      </c>
      <c r="S469" s="17" t="str">
        <f t="shared" si="69"/>
        <v/>
      </c>
      <c r="T469" s="18" t="str">
        <f>IF($C469="","",IFERROR(INDEX('Asset Register'!$H:$H,MATCH($C469,'Asset Register'!$A:$A,0)),""))</f>
        <v/>
      </c>
      <c r="U469" s="18" t="str">
        <f t="shared" si="70"/>
        <v/>
      </c>
      <c r="V469" s="17" t="str">
        <f t="shared" si="71"/>
        <v/>
      </c>
    </row>
    <row r="470" spans="1:22" x14ac:dyDescent="0.25">
      <c r="A470" t="str">
        <f t="shared" si="65"/>
        <v/>
      </c>
      <c r="B470" s="16"/>
      <c r="D470" t="str">
        <f>IF($C470="","",IFERROR(INDEX('Asset Register'!$B:$B,MATCH($C470,'Asset Register'!$A:$A,0)),""))</f>
        <v/>
      </c>
      <c r="E470" t="str">
        <f>IF($C470="","",IFERROR(INDEX('Asset Register'!$C:$C,MATCH($C470,'Asset Register'!$A:$A,0)),""))</f>
        <v/>
      </c>
      <c r="F470" t="str">
        <f>IF($C470="","",IFERROR(INDEX('Asset Register'!$D:$D,MATCH($C470,'Asset Register'!$A:$A,0)),""))</f>
        <v/>
      </c>
      <c r="J470" s="17" t="str">
        <f t="shared" si="72"/>
        <v/>
      </c>
      <c r="K470" s="17" t="str">
        <f t="shared" si="73"/>
        <v/>
      </c>
      <c r="L470" s="17" t="str">
        <f t="shared" si="66"/>
        <v/>
      </c>
      <c r="O470" t="str">
        <f>IF($C470="","",IFERROR(INDEX('Asset Register'!$G:$G,MATCH($C470,'Asset Register'!$A:$A,0)),""))</f>
        <v/>
      </c>
      <c r="Q470" t="str">
        <f t="shared" si="67"/>
        <v/>
      </c>
      <c r="R470" t="str">
        <f t="shared" si="68"/>
        <v/>
      </c>
      <c r="S470" s="17" t="str">
        <f t="shared" si="69"/>
        <v/>
      </c>
      <c r="T470" s="18" t="str">
        <f>IF($C470="","",IFERROR(INDEX('Asset Register'!$H:$H,MATCH($C470,'Asset Register'!$A:$A,0)),""))</f>
        <v/>
      </c>
      <c r="U470" s="18" t="str">
        <f t="shared" si="70"/>
        <v/>
      </c>
      <c r="V470" s="17" t="str">
        <f t="shared" si="71"/>
        <v/>
      </c>
    </row>
    <row r="471" spans="1:22" x14ac:dyDescent="0.25">
      <c r="A471" t="str">
        <f t="shared" si="65"/>
        <v/>
      </c>
      <c r="B471" s="16"/>
      <c r="D471" t="str">
        <f>IF($C471="","",IFERROR(INDEX('Asset Register'!$B:$B,MATCH($C471,'Asset Register'!$A:$A,0)),""))</f>
        <v/>
      </c>
      <c r="E471" t="str">
        <f>IF($C471="","",IFERROR(INDEX('Asset Register'!$C:$C,MATCH($C471,'Asset Register'!$A:$A,0)),""))</f>
        <v/>
      </c>
      <c r="F471" t="str">
        <f>IF($C471="","",IFERROR(INDEX('Asset Register'!$D:$D,MATCH($C471,'Asset Register'!$A:$A,0)),""))</f>
        <v/>
      </c>
      <c r="J471" s="17" t="str">
        <f t="shared" si="72"/>
        <v/>
      </c>
      <c r="K471" s="17" t="str">
        <f t="shared" si="73"/>
        <v/>
      </c>
      <c r="L471" s="17" t="str">
        <f t="shared" si="66"/>
        <v/>
      </c>
      <c r="O471" t="str">
        <f>IF($C471="","",IFERROR(INDEX('Asset Register'!$G:$G,MATCH($C471,'Asset Register'!$A:$A,0)),""))</f>
        <v/>
      </c>
      <c r="Q471" t="str">
        <f t="shared" si="67"/>
        <v/>
      </c>
      <c r="R471" t="str">
        <f t="shared" si="68"/>
        <v/>
      </c>
      <c r="S471" s="17" t="str">
        <f t="shared" si="69"/>
        <v/>
      </c>
      <c r="T471" s="18" t="str">
        <f>IF($C471="","",IFERROR(INDEX('Asset Register'!$H:$H,MATCH($C471,'Asset Register'!$A:$A,0)),""))</f>
        <v/>
      </c>
      <c r="U471" s="18" t="str">
        <f t="shared" si="70"/>
        <v/>
      </c>
      <c r="V471" s="17" t="str">
        <f t="shared" si="71"/>
        <v/>
      </c>
    </row>
    <row r="472" spans="1:22" x14ac:dyDescent="0.25">
      <c r="A472" t="str">
        <f t="shared" si="65"/>
        <v/>
      </c>
      <c r="B472" s="16"/>
      <c r="D472" t="str">
        <f>IF($C472="","",IFERROR(INDEX('Asset Register'!$B:$B,MATCH($C472,'Asset Register'!$A:$A,0)),""))</f>
        <v/>
      </c>
      <c r="E472" t="str">
        <f>IF($C472="","",IFERROR(INDEX('Asset Register'!$C:$C,MATCH($C472,'Asset Register'!$A:$A,0)),""))</f>
        <v/>
      </c>
      <c r="F472" t="str">
        <f>IF($C472="","",IFERROR(INDEX('Asset Register'!$D:$D,MATCH($C472,'Asset Register'!$A:$A,0)),""))</f>
        <v/>
      </c>
      <c r="J472" s="17" t="str">
        <f t="shared" si="72"/>
        <v/>
      </c>
      <c r="K472" s="17" t="str">
        <f t="shared" si="73"/>
        <v/>
      </c>
      <c r="L472" s="17" t="str">
        <f t="shared" si="66"/>
        <v/>
      </c>
      <c r="O472" t="str">
        <f>IF($C472="","",IFERROR(INDEX('Asset Register'!$G:$G,MATCH($C472,'Asset Register'!$A:$A,0)),""))</f>
        <v/>
      </c>
      <c r="Q472" t="str">
        <f t="shared" si="67"/>
        <v/>
      </c>
      <c r="R472" t="str">
        <f t="shared" si="68"/>
        <v/>
      </c>
      <c r="S472" s="17" t="str">
        <f t="shared" si="69"/>
        <v/>
      </c>
      <c r="T472" s="18" t="str">
        <f>IF($C472="","",IFERROR(INDEX('Asset Register'!$H:$H,MATCH($C472,'Asset Register'!$A:$A,0)),""))</f>
        <v/>
      </c>
      <c r="U472" s="18" t="str">
        <f t="shared" si="70"/>
        <v/>
      </c>
      <c r="V472" s="17" t="str">
        <f t="shared" si="71"/>
        <v/>
      </c>
    </row>
    <row r="473" spans="1:22" x14ac:dyDescent="0.25">
      <c r="A473" t="str">
        <f t="shared" si="65"/>
        <v/>
      </c>
      <c r="B473" s="16"/>
      <c r="D473" t="str">
        <f>IF($C473="","",IFERROR(INDEX('Asset Register'!$B:$B,MATCH($C473,'Asset Register'!$A:$A,0)),""))</f>
        <v/>
      </c>
      <c r="E473" t="str">
        <f>IF($C473="","",IFERROR(INDEX('Asset Register'!$C:$C,MATCH($C473,'Asset Register'!$A:$A,0)),""))</f>
        <v/>
      </c>
      <c r="F473" t="str">
        <f>IF($C473="","",IFERROR(INDEX('Asset Register'!$D:$D,MATCH($C473,'Asset Register'!$A:$A,0)),""))</f>
        <v/>
      </c>
      <c r="J473" s="17" t="str">
        <f t="shared" si="72"/>
        <v/>
      </c>
      <c r="K473" s="17" t="str">
        <f t="shared" si="73"/>
        <v/>
      </c>
      <c r="L473" s="17" t="str">
        <f t="shared" si="66"/>
        <v/>
      </c>
      <c r="O473" t="str">
        <f>IF($C473="","",IFERROR(INDEX('Asset Register'!$G:$G,MATCH($C473,'Asset Register'!$A:$A,0)),""))</f>
        <v/>
      </c>
      <c r="Q473" t="str">
        <f t="shared" si="67"/>
        <v/>
      </c>
      <c r="R473" t="str">
        <f t="shared" si="68"/>
        <v/>
      </c>
      <c r="S473" s="17" t="str">
        <f t="shared" si="69"/>
        <v/>
      </c>
      <c r="T473" s="18" t="str">
        <f>IF($C473="","",IFERROR(INDEX('Asset Register'!$H:$H,MATCH($C473,'Asset Register'!$A:$A,0)),""))</f>
        <v/>
      </c>
      <c r="U473" s="18" t="str">
        <f t="shared" si="70"/>
        <v/>
      </c>
      <c r="V473" s="17" t="str">
        <f t="shared" si="71"/>
        <v/>
      </c>
    </row>
    <row r="474" spans="1:22" x14ac:dyDescent="0.25">
      <c r="A474" t="str">
        <f t="shared" si="65"/>
        <v/>
      </c>
      <c r="B474" s="16"/>
      <c r="D474" t="str">
        <f>IF($C474="","",IFERROR(INDEX('Asset Register'!$B:$B,MATCH($C474,'Asset Register'!$A:$A,0)),""))</f>
        <v/>
      </c>
      <c r="E474" t="str">
        <f>IF($C474="","",IFERROR(INDEX('Asset Register'!$C:$C,MATCH($C474,'Asset Register'!$A:$A,0)),""))</f>
        <v/>
      </c>
      <c r="F474" t="str">
        <f>IF($C474="","",IFERROR(INDEX('Asset Register'!$D:$D,MATCH($C474,'Asset Register'!$A:$A,0)),""))</f>
        <v/>
      </c>
      <c r="J474" s="17" t="str">
        <f t="shared" si="72"/>
        <v/>
      </c>
      <c r="K474" s="17" t="str">
        <f t="shared" si="73"/>
        <v/>
      </c>
      <c r="L474" s="17" t="str">
        <f t="shared" si="66"/>
        <v/>
      </c>
      <c r="O474" t="str">
        <f>IF($C474="","",IFERROR(INDEX('Asset Register'!$G:$G,MATCH($C474,'Asset Register'!$A:$A,0)),""))</f>
        <v/>
      </c>
      <c r="Q474" t="str">
        <f t="shared" si="67"/>
        <v/>
      </c>
      <c r="R474" t="str">
        <f t="shared" si="68"/>
        <v/>
      </c>
      <c r="S474" s="17" t="str">
        <f t="shared" si="69"/>
        <v/>
      </c>
      <c r="T474" s="18" t="str">
        <f>IF($C474="","",IFERROR(INDEX('Asset Register'!$H:$H,MATCH($C474,'Asset Register'!$A:$A,0)),""))</f>
        <v/>
      </c>
      <c r="U474" s="18" t="str">
        <f t="shared" si="70"/>
        <v/>
      </c>
      <c r="V474" s="17" t="str">
        <f t="shared" si="71"/>
        <v/>
      </c>
    </row>
    <row r="475" spans="1:22" x14ac:dyDescent="0.25">
      <c r="A475" t="str">
        <f t="shared" si="65"/>
        <v/>
      </c>
      <c r="B475" s="16"/>
      <c r="D475" t="str">
        <f>IF($C475="","",IFERROR(INDEX('Asset Register'!$B:$B,MATCH($C475,'Asset Register'!$A:$A,0)),""))</f>
        <v/>
      </c>
      <c r="E475" t="str">
        <f>IF($C475="","",IFERROR(INDEX('Asset Register'!$C:$C,MATCH($C475,'Asset Register'!$A:$A,0)),""))</f>
        <v/>
      </c>
      <c r="F475" t="str">
        <f>IF($C475="","",IFERROR(INDEX('Asset Register'!$D:$D,MATCH($C475,'Asset Register'!$A:$A,0)),""))</f>
        <v/>
      </c>
      <c r="J475" s="17" t="str">
        <f t="shared" si="72"/>
        <v/>
      </c>
      <c r="K475" s="17" t="str">
        <f t="shared" si="73"/>
        <v/>
      </c>
      <c r="L475" s="17" t="str">
        <f t="shared" si="66"/>
        <v/>
      </c>
      <c r="O475" t="str">
        <f>IF($C475="","",IFERROR(INDEX('Asset Register'!$G:$G,MATCH($C475,'Asset Register'!$A:$A,0)),""))</f>
        <v/>
      </c>
      <c r="Q475" t="str">
        <f t="shared" si="67"/>
        <v/>
      </c>
      <c r="R475" t="str">
        <f t="shared" si="68"/>
        <v/>
      </c>
      <c r="S475" s="17" t="str">
        <f t="shared" si="69"/>
        <v/>
      </c>
      <c r="T475" s="18" t="str">
        <f>IF($C475="","",IFERROR(INDEX('Asset Register'!$H:$H,MATCH($C475,'Asset Register'!$A:$A,0)),""))</f>
        <v/>
      </c>
      <c r="U475" s="18" t="str">
        <f t="shared" si="70"/>
        <v/>
      </c>
      <c r="V475" s="17" t="str">
        <f t="shared" si="71"/>
        <v/>
      </c>
    </row>
    <row r="476" spans="1:22" x14ac:dyDescent="0.25">
      <c r="A476" t="str">
        <f t="shared" si="65"/>
        <v/>
      </c>
      <c r="B476" s="16"/>
      <c r="D476" t="str">
        <f>IF($C476="","",IFERROR(INDEX('Asset Register'!$B:$B,MATCH($C476,'Asset Register'!$A:$A,0)),""))</f>
        <v/>
      </c>
      <c r="E476" t="str">
        <f>IF($C476="","",IFERROR(INDEX('Asset Register'!$C:$C,MATCH($C476,'Asset Register'!$A:$A,0)),""))</f>
        <v/>
      </c>
      <c r="F476" t="str">
        <f>IF($C476="","",IFERROR(INDEX('Asset Register'!$D:$D,MATCH($C476,'Asset Register'!$A:$A,0)),""))</f>
        <v/>
      </c>
      <c r="J476" s="17" t="str">
        <f t="shared" si="72"/>
        <v/>
      </c>
      <c r="K476" s="17" t="str">
        <f t="shared" si="73"/>
        <v/>
      </c>
      <c r="L476" s="17" t="str">
        <f t="shared" si="66"/>
        <v/>
      </c>
      <c r="O476" t="str">
        <f>IF($C476="","",IFERROR(INDEX('Asset Register'!$G:$G,MATCH($C476,'Asset Register'!$A:$A,0)),""))</f>
        <v/>
      </c>
      <c r="Q476" t="str">
        <f t="shared" si="67"/>
        <v/>
      </c>
      <c r="R476" t="str">
        <f t="shared" si="68"/>
        <v/>
      </c>
      <c r="S476" s="17" t="str">
        <f t="shared" si="69"/>
        <v/>
      </c>
      <c r="T476" s="18" t="str">
        <f>IF($C476="","",IFERROR(INDEX('Asset Register'!$H:$H,MATCH($C476,'Asset Register'!$A:$A,0)),""))</f>
        <v/>
      </c>
      <c r="U476" s="18" t="str">
        <f t="shared" si="70"/>
        <v/>
      </c>
      <c r="V476" s="17" t="str">
        <f t="shared" si="71"/>
        <v/>
      </c>
    </row>
    <row r="477" spans="1:22" x14ac:dyDescent="0.25">
      <c r="A477" t="str">
        <f t="shared" si="65"/>
        <v/>
      </c>
      <c r="B477" s="16"/>
      <c r="D477" t="str">
        <f>IF($C477="","",IFERROR(INDEX('Asset Register'!$B:$B,MATCH($C477,'Asset Register'!$A:$A,0)),""))</f>
        <v/>
      </c>
      <c r="E477" t="str">
        <f>IF($C477="","",IFERROR(INDEX('Asset Register'!$C:$C,MATCH($C477,'Asset Register'!$A:$A,0)),""))</f>
        <v/>
      </c>
      <c r="F477" t="str">
        <f>IF($C477="","",IFERROR(INDEX('Asset Register'!$D:$D,MATCH($C477,'Asset Register'!$A:$A,0)),""))</f>
        <v/>
      </c>
      <c r="J477" s="17" t="str">
        <f t="shared" si="72"/>
        <v/>
      </c>
      <c r="K477" s="17" t="str">
        <f t="shared" si="73"/>
        <v/>
      </c>
      <c r="L477" s="17" t="str">
        <f t="shared" si="66"/>
        <v/>
      </c>
      <c r="O477" t="str">
        <f>IF($C477="","",IFERROR(INDEX('Asset Register'!$G:$G,MATCH($C477,'Asset Register'!$A:$A,0)),""))</f>
        <v/>
      </c>
      <c r="Q477" t="str">
        <f t="shared" si="67"/>
        <v/>
      </c>
      <c r="R477" t="str">
        <f t="shared" si="68"/>
        <v/>
      </c>
      <c r="S477" s="17" t="str">
        <f t="shared" si="69"/>
        <v/>
      </c>
      <c r="T477" s="18" t="str">
        <f>IF($C477="","",IFERROR(INDEX('Asset Register'!$H:$H,MATCH($C477,'Asset Register'!$A:$A,0)),""))</f>
        <v/>
      </c>
      <c r="U477" s="18" t="str">
        <f t="shared" si="70"/>
        <v/>
      </c>
      <c r="V477" s="17" t="str">
        <f t="shared" si="71"/>
        <v/>
      </c>
    </row>
    <row r="478" spans="1:22" x14ac:dyDescent="0.25">
      <c r="A478" t="str">
        <f t="shared" si="65"/>
        <v/>
      </c>
      <c r="B478" s="16"/>
      <c r="D478" t="str">
        <f>IF($C478="","",IFERROR(INDEX('Asset Register'!$B:$B,MATCH($C478,'Asset Register'!$A:$A,0)),""))</f>
        <v/>
      </c>
      <c r="E478" t="str">
        <f>IF($C478="","",IFERROR(INDEX('Asset Register'!$C:$C,MATCH($C478,'Asset Register'!$A:$A,0)),""))</f>
        <v/>
      </c>
      <c r="F478" t="str">
        <f>IF($C478="","",IFERROR(INDEX('Asset Register'!$D:$D,MATCH($C478,'Asset Register'!$A:$A,0)),""))</f>
        <v/>
      </c>
      <c r="J478" s="17" t="str">
        <f t="shared" si="72"/>
        <v/>
      </c>
      <c r="K478" s="17" t="str">
        <f t="shared" si="73"/>
        <v/>
      </c>
      <c r="L478" s="17" t="str">
        <f t="shared" si="66"/>
        <v/>
      </c>
      <c r="O478" t="str">
        <f>IF($C478="","",IFERROR(INDEX('Asset Register'!$G:$G,MATCH($C478,'Asset Register'!$A:$A,0)),""))</f>
        <v/>
      </c>
      <c r="Q478" t="str">
        <f t="shared" si="67"/>
        <v/>
      </c>
      <c r="R478" t="str">
        <f t="shared" si="68"/>
        <v/>
      </c>
      <c r="S478" s="17" t="str">
        <f t="shared" si="69"/>
        <v/>
      </c>
      <c r="T478" s="18" t="str">
        <f>IF($C478="","",IFERROR(INDEX('Asset Register'!$H:$H,MATCH($C478,'Asset Register'!$A:$A,0)),""))</f>
        <v/>
      </c>
      <c r="U478" s="18" t="str">
        <f t="shared" si="70"/>
        <v/>
      </c>
      <c r="V478" s="17" t="str">
        <f t="shared" si="71"/>
        <v/>
      </c>
    </row>
    <row r="479" spans="1:22" x14ac:dyDescent="0.25">
      <c r="A479" t="str">
        <f t="shared" si="65"/>
        <v/>
      </c>
      <c r="B479" s="16"/>
      <c r="D479" t="str">
        <f>IF($C479="","",IFERROR(INDEX('Asset Register'!$B:$B,MATCH($C479,'Asset Register'!$A:$A,0)),""))</f>
        <v/>
      </c>
      <c r="E479" t="str">
        <f>IF($C479="","",IFERROR(INDEX('Asset Register'!$C:$C,MATCH($C479,'Asset Register'!$A:$A,0)),""))</f>
        <v/>
      </c>
      <c r="F479" t="str">
        <f>IF($C479="","",IFERROR(INDEX('Asset Register'!$D:$D,MATCH($C479,'Asset Register'!$A:$A,0)),""))</f>
        <v/>
      </c>
      <c r="J479" s="17" t="str">
        <f t="shared" si="72"/>
        <v/>
      </c>
      <c r="K479" s="17" t="str">
        <f t="shared" si="73"/>
        <v/>
      </c>
      <c r="L479" s="17" t="str">
        <f t="shared" si="66"/>
        <v/>
      </c>
      <c r="O479" t="str">
        <f>IF($C479="","",IFERROR(INDEX('Asset Register'!$G:$G,MATCH($C479,'Asset Register'!$A:$A,0)),""))</f>
        <v/>
      </c>
      <c r="Q479" t="str">
        <f t="shared" si="67"/>
        <v/>
      </c>
      <c r="R479" t="str">
        <f t="shared" si="68"/>
        <v/>
      </c>
      <c r="S479" s="17" t="str">
        <f t="shared" si="69"/>
        <v/>
      </c>
      <c r="T479" s="18" t="str">
        <f>IF($C479="","",IFERROR(INDEX('Asset Register'!$H:$H,MATCH($C479,'Asset Register'!$A:$A,0)),""))</f>
        <v/>
      </c>
      <c r="U479" s="18" t="str">
        <f t="shared" si="70"/>
        <v/>
      </c>
      <c r="V479" s="17" t="str">
        <f t="shared" si="71"/>
        <v/>
      </c>
    </row>
    <row r="480" spans="1:22" x14ac:dyDescent="0.25">
      <c r="A480" t="str">
        <f t="shared" si="65"/>
        <v/>
      </c>
      <c r="B480" s="16"/>
      <c r="D480" t="str">
        <f>IF($C480="","",IFERROR(INDEX('Asset Register'!$B:$B,MATCH($C480,'Asset Register'!$A:$A,0)),""))</f>
        <v/>
      </c>
      <c r="E480" t="str">
        <f>IF($C480="","",IFERROR(INDEX('Asset Register'!$C:$C,MATCH($C480,'Asset Register'!$A:$A,0)),""))</f>
        <v/>
      </c>
      <c r="F480" t="str">
        <f>IF($C480="","",IFERROR(INDEX('Asset Register'!$D:$D,MATCH($C480,'Asset Register'!$A:$A,0)),""))</f>
        <v/>
      </c>
      <c r="J480" s="17" t="str">
        <f t="shared" si="72"/>
        <v/>
      </c>
      <c r="K480" s="17" t="str">
        <f t="shared" si="73"/>
        <v/>
      </c>
      <c r="L480" s="17" t="str">
        <f t="shared" si="66"/>
        <v/>
      </c>
      <c r="O480" t="str">
        <f>IF($C480="","",IFERROR(INDEX('Asset Register'!$G:$G,MATCH($C480,'Asset Register'!$A:$A,0)),""))</f>
        <v/>
      </c>
      <c r="Q480" t="str">
        <f t="shared" si="67"/>
        <v/>
      </c>
      <c r="R480" t="str">
        <f t="shared" si="68"/>
        <v/>
      </c>
      <c r="S480" s="17" t="str">
        <f t="shared" si="69"/>
        <v/>
      </c>
      <c r="T480" s="18" t="str">
        <f>IF($C480="","",IFERROR(INDEX('Asset Register'!$H:$H,MATCH($C480,'Asset Register'!$A:$A,0)),""))</f>
        <v/>
      </c>
      <c r="U480" s="18" t="str">
        <f t="shared" si="70"/>
        <v/>
      </c>
      <c r="V480" s="17" t="str">
        <f t="shared" si="71"/>
        <v/>
      </c>
    </row>
    <row r="481" spans="1:22" x14ac:dyDescent="0.25">
      <c r="A481" t="str">
        <f t="shared" si="65"/>
        <v/>
      </c>
      <c r="B481" s="16"/>
      <c r="D481" t="str">
        <f>IF($C481="","",IFERROR(INDEX('Asset Register'!$B:$B,MATCH($C481,'Asset Register'!$A:$A,0)),""))</f>
        <v/>
      </c>
      <c r="E481" t="str">
        <f>IF($C481="","",IFERROR(INDEX('Asset Register'!$C:$C,MATCH($C481,'Asset Register'!$A:$A,0)),""))</f>
        <v/>
      </c>
      <c r="F481" t="str">
        <f>IF($C481="","",IFERROR(INDEX('Asset Register'!$D:$D,MATCH($C481,'Asset Register'!$A:$A,0)),""))</f>
        <v/>
      </c>
      <c r="J481" s="17" t="str">
        <f t="shared" si="72"/>
        <v/>
      </c>
      <c r="K481" s="17" t="str">
        <f t="shared" si="73"/>
        <v/>
      </c>
      <c r="L481" s="17" t="str">
        <f t="shared" si="66"/>
        <v/>
      </c>
      <c r="O481" t="str">
        <f>IF($C481="","",IFERROR(INDEX('Asset Register'!$G:$G,MATCH($C481,'Asset Register'!$A:$A,0)),""))</f>
        <v/>
      </c>
      <c r="Q481" t="str">
        <f t="shared" si="67"/>
        <v/>
      </c>
      <c r="R481" t="str">
        <f t="shared" si="68"/>
        <v/>
      </c>
      <c r="S481" s="17" t="str">
        <f t="shared" si="69"/>
        <v/>
      </c>
      <c r="T481" s="18" t="str">
        <f>IF($C481="","",IFERROR(INDEX('Asset Register'!$H:$H,MATCH($C481,'Asset Register'!$A:$A,0)),""))</f>
        <v/>
      </c>
      <c r="U481" s="18" t="str">
        <f t="shared" si="70"/>
        <v/>
      </c>
      <c r="V481" s="17" t="str">
        <f t="shared" si="71"/>
        <v/>
      </c>
    </row>
    <row r="482" spans="1:22" x14ac:dyDescent="0.25">
      <c r="A482" t="str">
        <f t="shared" si="65"/>
        <v/>
      </c>
      <c r="B482" s="16"/>
      <c r="D482" t="str">
        <f>IF($C482="","",IFERROR(INDEX('Asset Register'!$B:$B,MATCH($C482,'Asset Register'!$A:$A,0)),""))</f>
        <v/>
      </c>
      <c r="E482" t="str">
        <f>IF($C482="","",IFERROR(INDEX('Asset Register'!$C:$C,MATCH($C482,'Asset Register'!$A:$A,0)),""))</f>
        <v/>
      </c>
      <c r="F482" t="str">
        <f>IF($C482="","",IFERROR(INDEX('Asset Register'!$D:$D,MATCH($C482,'Asset Register'!$A:$A,0)),""))</f>
        <v/>
      </c>
      <c r="J482" s="17" t="str">
        <f t="shared" si="72"/>
        <v/>
      </c>
      <c r="K482" s="17" t="str">
        <f t="shared" si="73"/>
        <v/>
      </c>
      <c r="L482" s="17" t="str">
        <f t="shared" si="66"/>
        <v/>
      </c>
      <c r="O482" t="str">
        <f>IF($C482="","",IFERROR(INDEX('Asset Register'!$G:$G,MATCH($C482,'Asset Register'!$A:$A,0)),""))</f>
        <v/>
      </c>
      <c r="Q482" t="str">
        <f t="shared" si="67"/>
        <v/>
      </c>
      <c r="R482" t="str">
        <f t="shared" si="68"/>
        <v/>
      </c>
      <c r="S482" s="17" t="str">
        <f t="shared" si="69"/>
        <v/>
      </c>
      <c r="T482" s="18" t="str">
        <f>IF($C482="","",IFERROR(INDEX('Asset Register'!$H:$H,MATCH($C482,'Asset Register'!$A:$A,0)),""))</f>
        <v/>
      </c>
      <c r="U482" s="18" t="str">
        <f t="shared" si="70"/>
        <v/>
      </c>
      <c r="V482" s="17" t="str">
        <f t="shared" si="71"/>
        <v/>
      </c>
    </row>
    <row r="483" spans="1:22" x14ac:dyDescent="0.25">
      <c r="A483" t="str">
        <f t="shared" si="65"/>
        <v/>
      </c>
      <c r="B483" s="16"/>
      <c r="D483" t="str">
        <f>IF($C483="","",IFERROR(INDEX('Asset Register'!$B:$B,MATCH($C483,'Asset Register'!$A:$A,0)),""))</f>
        <v/>
      </c>
      <c r="E483" t="str">
        <f>IF($C483="","",IFERROR(INDEX('Asset Register'!$C:$C,MATCH($C483,'Asset Register'!$A:$A,0)),""))</f>
        <v/>
      </c>
      <c r="F483" t="str">
        <f>IF($C483="","",IFERROR(INDEX('Asset Register'!$D:$D,MATCH($C483,'Asset Register'!$A:$A,0)),""))</f>
        <v/>
      </c>
      <c r="J483" s="17" t="str">
        <f t="shared" si="72"/>
        <v/>
      </c>
      <c r="K483" s="17" t="str">
        <f t="shared" si="73"/>
        <v/>
      </c>
      <c r="L483" s="17" t="str">
        <f t="shared" si="66"/>
        <v/>
      </c>
      <c r="O483" t="str">
        <f>IF($C483="","",IFERROR(INDEX('Asset Register'!$G:$G,MATCH($C483,'Asset Register'!$A:$A,0)),""))</f>
        <v/>
      </c>
      <c r="Q483" t="str">
        <f t="shared" si="67"/>
        <v/>
      </c>
      <c r="R483" t="str">
        <f t="shared" si="68"/>
        <v/>
      </c>
      <c r="S483" s="17" t="str">
        <f t="shared" si="69"/>
        <v/>
      </c>
      <c r="T483" s="18" t="str">
        <f>IF($C483="","",IFERROR(INDEX('Asset Register'!$H:$H,MATCH($C483,'Asset Register'!$A:$A,0)),""))</f>
        <v/>
      </c>
      <c r="U483" s="18" t="str">
        <f t="shared" si="70"/>
        <v/>
      </c>
      <c r="V483" s="17" t="str">
        <f t="shared" si="71"/>
        <v/>
      </c>
    </row>
    <row r="484" spans="1:22" x14ac:dyDescent="0.25">
      <c r="A484" t="str">
        <f t="shared" si="65"/>
        <v/>
      </c>
      <c r="B484" s="16"/>
      <c r="D484" t="str">
        <f>IF($C484="","",IFERROR(INDEX('Asset Register'!$B:$B,MATCH($C484,'Asset Register'!$A:$A,0)),""))</f>
        <v/>
      </c>
      <c r="E484" t="str">
        <f>IF($C484="","",IFERROR(INDEX('Asset Register'!$C:$C,MATCH($C484,'Asset Register'!$A:$A,0)),""))</f>
        <v/>
      </c>
      <c r="F484" t="str">
        <f>IF($C484="","",IFERROR(INDEX('Asset Register'!$D:$D,MATCH($C484,'Asset Register'!$A:$A,0)),""))</f>
        <v/>
      </c>
      <c r="J484" s="17" t="str">
        <f t="shared" si="72"/>
        <v/>
      </c>
      <c r="K484" s="17" t="str">
        <f t="shared" si="73"/>
        <v/>
      </c>
      <c r="L484" s="17" t="str">
        <f t="shared" si="66"/>
        <v/>
      </c>
      <c r="O484" t="str">
        <f>IF($C484="","",IFERROR(INDEX('Asset Register'!$G:$G,MATCH($C484,'Asset Register'!$A:$A,0)),""))</f>
        <v/>
      </c>
      <c r="Q484" t="str">
        <f t="shared" si="67"/>
        <v/>
      </c>
      <c r="R484" t="str">
        <f t="shared" si="68"/>
        <v/>
      </c>
      <c r="S484" s="17" t="str">
        <f t="shared" si="69"/>
        <v/>
      </c>
      <c r="T484" s="18" t="str">
        <f>IF($C484="","",IFERROR(INDEX('Asset Register'!$H:$H,MATCH($C484,'Asset Register'!$A:$A,0)),""))</f>
        <v/>
      </c>
      <c r="U484" s="18" t="str">
        <f t="shared" si="70"/>
        <v/>
      </c>
      <c r="V484" s="17" t="str">
        <f t="shared" si="71"/>
        <v/>
      </c>
    </row>
    <row r="485" spans="1:22" x14ac:dyDescent="0.25">
      <c r="A485" t="str">
        <f t="shared" si="65"/>
        <v/>
      </c>
      <c r="B485" s="16"/>
      <c r="D485" t="str">
        <f>IF($C485="","",IFERROR(INDEX('Asset Register'!$B:$B,MATCH($C485,'Asset Register'!$A:$A,0)),""))</f>
        <v/>
      </c>
      <c r="E485" t="str">
        <f>IF($C485="","",IFERROR(INDEX('Asset Register'!$C:$C,MATCH($C485,'Asset Register'!$A:$A,0)),""))</f>
        <v/>
      </c>
      <c r="F485" t="str">
        <f>IF($C485="","",IFERROR(INDEX('Asset Register'!$D:$D,MATCH($C485,'Asset Register'!$A:$A,0)),""))</f>
        <v/>
      </c>
      <c r="J485" s="17" t="str">
        <f t="shared" si="72"/>
        <v/>
      </c>
      <c r="K485" s="17" t="str">
        <f t="shared" si="73"/>
        <v/>
      </c>
      <c r="L485" s="17" t="str">
        <f t="shared" si="66"/>
        <v/>
      </c>
      <c r="O485" t="str">
        <f>IF($C485="","",IFERROR(INDEX('Asset Register'!$G:$G,MATCH($C485,'Asset Register'!$A:$A,0)),""))</f>
        <v/>
      </c>
      <c r="Q485" t="str">
        <f t="shared" si="67"/>
        <v/>
      </c>
      <c r="R485" t="str">
        <f t="shared" si="68"/>
        <v/>
      </c>
      <c r="S485" s="17" t="str">
        <f t="shared" si="69"/>
        <v/>
      </c>
      <c r="T485" s="18" t="str">
        <f>IF($C485="","",IFERROR(INDEX('Asset Register'!$H:$H,MATCH($C485,'Asset Register'!$A:$A,0)),""))</f>
        <v/>
      </c>
      <c r="U485" s="18" t="str">
        <f t="shared" si="70"/>
        <v/>
      </c>
      <c r="V485" s="17" t="str">
        <f t="shared" si="71"/>
        <v/>
      </c>
    </row>
    <row r="486" spans="1:22" x14ac:dyDescent="0.25">
      <c r="A486" t="str">
        <f t="shared" si="65"/>
        <v/>
      </c>
      <c r="B486" s="16"/>
      <c r="D486" t="str">
        <f>IF($C486="","",IFERROR(INDEX('Asset Register'!$B:$B,MATCH($C486,'Asset Register'!$A:$A,0)),""))</f>
        <v/>
      </c>
      <c r="E486" t="str">
        <f>IF($C486="","",IFERROR(INDEX('Asset Register'!$C:$C,MATCH($C486,'Asset Register'!$A:$A,0)),""))</f>
        <v/>
      </c>
      <c r="F486" t="str">
        <f>IF($C486="","",IFERROR(INDEX('Asset Register'!$D:$D,MATCH($C486,'Asset Register'!$A:$A,0)),""))</f>
        <v/>
      </c>
      <c r="J486" s="17" t="str">
        <f t="shared" si="72"/>
        <v/>
      </c>
      <c r="K486" s="17" t="str">
        <f t="shared" si="73"/>
        <v/>
      </c>
      <c r="L486" s="17" t="str">
        <f t="shared" si="66"/>
        <v/>
      </c>
      <c r="O486" t="str">
        <f>IF($C486="","",IFERROR(INDEX('Asset Register'!$G:$G,MATCH($C486,'Asset Register'!$A:$A,0)),""))</f>
        <v/>
      </c>
      <c r="Q486" t="str">
        <f t="shared" si="67"/>
        <v/>
      </c>
      <c r="R486" t="str">
        <f t="shared" si="68"/>
        <v/>
      </c>
      <c r="S486" s="17" t="str">
        <f t="shared" si="69"/>
        <v/>
      </c>
      <c r="T486" s="18" t="str">
        <f>IF($C486="","",IFERROR(INDEX('Asset Register'!$H:$H,MATCH($C486,'Asset Register'!$A:$A,0)),""))</f>
        <v/>
      </c>
      <c r="U486" s="18" t="str">
        <f t="shared" si="70"/>
        <v/>
      </c>
      <c r="V486" s="17" t="str">
        <f t="shared" si="71"/>
        <v/>
      </c>
    </row>
    <row r="487" spans="1:22" x14ac:dyDescent="0.25">
      <c r="A487" t="str">
        <f t="shared" si="65"/>
        <v/>
      </c>
      <c r="B487" s="16"/>
      <c r="D487" t="str">
        <f>IF($C487="","",IFERROR(INDEX('Asset Register'!$B:$B,MATCH($C487,'Asset Register'!$A:$A,0)),""))</f>
        <v/>
      </c>
      <c r="E487" t="str">
        <f>IF($C487="","",IFERROR(INDEX('Asset Register'!$C:$C,MATCH($C487,'Asset Register'!$A:$A,0)),""))</f>
        <v/>
      </c>
      <c r="F487" t="str">
        <f>IF($C487="","",IFERROR(INDEX('Asset Register'!$D:$D,MATCH($C487,'Asset Register'!$A:$A,0)),""))</f>
        <v/>
      </c>
      <c r="J487" s="17" t="str">
        <f t="shared" si="72"/>
        <v/>
      </c>
      <c r="K487" s="17" t="str">
        <f t="shared" si="73"/>
        <v/>
      </c>
      <c r="L487" s="17" t="str">
        <f t="shared" si="66"/>
        <v/>
      </c>
      <c r="O487" t="str">
        <f>IF($C487="","",IFERROR(INDEX('Asset Register'!$G:$G,MATCH($C487,'Asset Register'!$A:$A,0)),""))</f>
        <v/>
      </c>
      <c r="Q487" t="str">
        <f t="shared" si="67"/>
        <v/>
      </c>
      <c r="R487" t="str">
        <f t="shared" si="68"/>
        <v/>
      </c>
      <c r="S487" s="17" t="str">
        <f t="shared" si="69"/>
        <v/>
      </c>
      <c r="T487" s="18" t="str">
        <f>IF($C487="","",IFERROR(INDEX('Asset Register'!$H:$H,MATCH($C487,'Asset Register'!$A:$A,0)),""))</f>
        <v/>
      </c>
      <c r="U487" s="18" t="str">
        <f t="shared" si="70"/>
        <v/>
      </c>
      <c r="V487" s="17" t="str">
        <f t="shared" si="71"/>
        <v/>
      </c>
    </row>
    <row r="488" spans="1:22" x14ac:dyDescent="0.25">
      <c r="A488" t="str">
        <f t="shared" si="65"/>
        <v/>
      </c>
      <c r="B488" s="16"/>
      <c r="D488" t="str">
        <f>IF($C488="","",IFERROR(INDEX('Asset Register'!$B:$B,MATCH($C488,'Asset Register'!$A:$A,0)),""))</f>
        <v/>
      </c>
      <c r="E488" t="str">
        <f>IF($C488="","",IFERROR(INDEX('Asset Register'!$C:$C,MATCH($C488,'Asset Register'!$A:$A,0)),""))</f>
        <v/>
      </c>
      <c r="F488" t="str">
        <f>IF($C488="","",IFERROR(INDEX('Asset Register'!$D:$D,MATCH($C488,'Asset Register'!$A:$A,0)),""))</f>
        <v/>
      </c>
      <c r="J488" s="17" t="str">
        <f t="shared" si="72"/>
        <v/>
      </c>
      <c r="K488" s="17" t="str">
        <f t="shared" si="73"/>
        <v/>
      </c>
      <c r="L488" s="17" t="str">
        <f t="shared" si="66"/>
        <v/>
      </c>
      <c r="O488" t="str">
        <f>IF($C488="","",IFERROR(INDEX('Asset Register'!$G:$G,MATCH($C488,'Asset Register'!$A:$A,0)),""))</f>
        <v/>
      </c>
      <c r="Q488" t="str">
        <f t="shared" si="67"/>
        <v/>
      </c>
      <c r="R488" t="str">
        <f t="shared" si="68"/>
        <v/>
      </c>
      <c r="S488" s="17" t="str">
        <f t="shared" si="69"/>
        <v/>
      </c>
      <c r="T488" s="18" t="str">
        <f>IF($C488="","",IFERROR(INDEX('Asset Register'!$H:$H,MATCH($C488,'Asset Register'!$A:$A,0)),""))</f>
        <v/>
      </c>
      <c r="U488" s="18" t="str">
        <f t="shared" si="70"/>
        <v/>
      </c>
      <c r="V488" s="17" t="str">
        <f t="shared" si="71"/>
        <v/>
      </c>
    </row>
    <row r="489" spans="1:22" x14ac:dyDescent="0.25">
      <c r="A489" t="str">
        <f t="shared" si="65"/>
        <v/>
      </c>
      <c r="B489" s="16"/>
      <c r="D489" t="str">
        <f>IF($C489="","",IFERROR(INDEX('Asset Register'!$B:$B,MATCH($C489,'Asset Register'!$A:$A,0)),""))</f>
        <v/>
      </c>
      <c r="E489" t="str">
        <f>IF($C489="","",IFERROR(INDEX('Asset Register'!$C:$C,MATCH($C489,'Asset Register'!$A:$A,0)),""))</f>
        <v/>
      </c>
      <c r="F489" t="str">
        <f>IF($C489="","",IFERROR(INDEX('Asset Register'!$D:$D,MATCH($C489,'Asset Register'!$A:$A,0)),""))</f>
        <v/>
      </c>
      <c r="J489" s="17" t="str">
        <f t="shared" si="72"/>
        <v/>
      </c>
      <c r="K489" s="17" t="str">
        <f t="shared" si="73"/>
        <v/>
      </c>
      <c r="L489" s="17" t="str">
        <f t="shared" si="66"/>
        <v/>
      </c>
      <c r="O489" t="str">
        <f>IF($C489="","",IFERROR(INDEX('Asset Register'!$G:$G,MATCH($C489,'Asset Register'!$A:$A,0)),""))</f>
        <v/>
      </c>
      <c r="Q489" t="str">
        <f t="shared" si="67"/>
        <v/>
      </c>
      <c r="R489" t="str">
        <f t="shared" si="68"/>
        <v/>
      </c>
      <c r="S489" s="17" t="str">
        <f t="shared" si="69"/>
        <v/>
      </c>
      <c r="T489" s="18" t="str">
        <f>IF($C489="","",IFERROR(INDEX('Asset Register'!$H:$H,MATCH($C489,'Asset Register'!$A:$A,0)),""))</f>
        <v/>
      </c>
      <c r="U489" s="18" t="str">
        <f t="shared" si="70"/>
        <v/>
      </c>
      <c r="V489" s="17" t="str">
        <f t="shared" si="71"/>
        <v/>
      </c>
    </row>
    <row r="490" spans="1:22" x14ac:dyDescent="0.25">
      <c r="A490" t="str">
        <f t="shared" si="65"/>
        <v/>
      </c>
      <c r="B490" s="16"/>
      <c r="D490" t="str">
        <f>IF($C490="","",IFERROR(INDEX('Asset Register'!$B:$B,MATCH($C490,'Asset Register'!$A:$A,0)),""))</f>
        <v/>
      </c>
      <c r="E490" t="str">
        <f>IF($C490="","",IFERROR(INDEX('Asset Register'!$C:$C,MATCH($C490,'Asset Register'!$A:$A,0)),""))</f>
        <v/>
      </c>
      <c r="F490" t="str">
        <f>IF($C490="","",IFERROR(INDEX('Asset Register'!$D:$D,MATCH($C490,'Asset Register'!$A:$A,0)),""))</f>
        <v/>
      </c>
      <c r="J490" s="17" t="str">
        <f t="shared" si="72"/>
        <v/>
      </c>
      <c r="K490" s="17" t="str">
        <f t="shared" si="73"/>
        <v/>
      </c>
      <c r="L490" s="17" t="str">
        <f t="shared" si="66"/>
        <v/>
      </c>
      <c r="O490" t="str">
        <f>IF($C490="","",IFERROR(INDEX('Asset Register'!$G:$G,MATCH($C490,'Asset Register'!$A:$A,0)),""))</f>
        <v/>
      </c>
      <c r="Q490" t="str">
        <f t="shared" si="67"/>
        <v/>
      </c>
      <c r="R490" t="str">
        <f t="shared" si="68"/>
        <v/>
      </c>
      <c r="S490" s="17" t="str">
        <f t="shared" si="69"/>
        <v/>
      </c>
      <c r="T490" s="18" t="str">
        <f>IF($C490="","",IFERROR(INDEX('Asset Register'!$H:$H,MATCH($C490,'Asset Register'!$A:$A,0)),""))</f>
        <v/>
      </c>
      <c r="U490" s="18" t="str">
        <f t="shared" si="70"/>
        <v/>
      </c>
      <c r="V490" s="17" t="str">
        <f t="shared" si="71"/>
        <v/>
      </c>
    </row>
    <row r="491" spans="1:22" x14ac:dyDescent="0.25">
      <c r="A491" t="str">
        <f t="shared" si="65"/>
        <v/>
      </c>
      <c r="B491" s="16"/>
      <c r="D491" t="str">
        <f>IF($C491="","",IFERROR(INDEX('Asset Register'!$B:$B,MATCH($C491,'Asset Register'!$A:$A,0)),""))</f>
        <v/>
      </c>
      <c r="E491" t="str">
        <f>IF($C491="","",IFERROR(INDEX('Asset Register'!$C:$C,MATCH($C491,'Asset Register'!$A:$A,0)),""))</f>
        <v/>
      </c>
      <c r="F491" t="str">
        <f>IF($C491="","",IFERROR(INDEX('Asset Register'!$D:$D,MATCH($C491,'Asset Register'!$A:$A,0)),""))</f>
        <v/>
      </c>
      <c r="J491" s="17" t="str">
        <f t="shared" si="72"/>
        <v/>
      </c>
      <c r="K491" s="17" t="str">
        <f t="shared" si="73"/>
        <v/>
      </c>
      <c r="L491" s="17" t="str">
        <f t="shared" si="66"/>
        <v/>
      </c>
      <c r="O491" t="str">
        <f>IF($C491="","",IFERROR(INDEX('Asset Register'!$G:$G,MATCH($C491,'Asset Register'!$A:$A,0)),""))</f>
        <v/>
      </c>
      <c r="Q491" t="str">
        <f t="shared" si="67"/>
        <v/>
      </c>
      <c r="R491" t="str">
        <f t="shared" si="68"/>
        <v/>
      </c>
      <c r="S491" s="17" t="str">
        <f t="shared" si="69"/>
        <v/>
      </c>
      <c r="T491" s="18" t="str">
        <f>IF($C491="","",IFERROR(INDEX('Asset Register'!$H:$H,MATCH($C491,'Asset Register'!$A:$A,0)),""))</f>
        <v/>
      </c>
      <c r="U491" s="18" t="str">
        <f t="shared" si="70"/>
        <v/>
      </c>
      <c r="V491" s="17" t="str">
        <f t="shared" si="71"/>
        <v/>
      </c>
    </row>
    <row r="492" spans="1:22" x14ac:dyDescent="0.25">
      <c r="A492" t="str">
        <f t="shared" si="65"/>
        <v/>
      </c>
      <c r="B492" s="16"/>
      <c r="D492" t="str">
        <f>IF($C492="","",IFERROR(INDEX('Asset Register'!$B:$B,MATCH($C492,'Asset Register'!$A:$A,0)),""))</f>
        <v/>
      </c>
      <c r="E492" t="str">
        <f>IF($C492="","",IFERROR(INDEX('Asset Register'!$C:$C,MATCH($C492,'Asset Register'!$A:$A,0)),""))</f>
        <v/>
      </c>
      <c r="F492" t="str">
        <f>IF($C492="","",IFERROR(INDEX('Asset Register'!$D:$D,MATCH($C492,'Asset Register'!$A:$A,0)),""))</f>
        <v/>
      </c>
      <c r="J492" s="17" t="str">
        <f t="shared" si="72"/>
        <v/>
      </c>
      <c r="K492" s="17" t="str">
        <f t="shared" si="73"/>
        <v/>
      </c>
      <c r="L492" s="17" t="str">
        <f t="shared" si="66"/>
        <v/>
      </c>
      <c r="O492" t="str">
        <f>IF($C492="","",IFERROR(INDEX('Asset Register'!$G:$G,MATCH($C492,'Asset Register'!$A:$A,0)),""))</f>
        <v/>
      </c>
      <c r="Q492" t="str">
        <f t="shared" si="67"/>
        <v/>
      </c>
      <c r="R492" t="str">
        <f t="shared" si="68"/>
        <v/>
      </c>
      <c r="S492" s="17" t="str">
        <f t="shared" si="69"/>
        <v/>
      </c>
      <c r="T492" s="18" t="str">
        <f>IF($C492="","",IFERROR(INDEX('Asset Register'!$H:$H,MATCH($C492,'Asset Register'!$A:$A,0)),""))</f>
        <v/>
      </c>
      <c r="U492" s="18" t="str">
        <f t="shared" si="70"/>
        <v/>
      </c>
      <c r="V492" s="17" t="str">
        <f t="shared" si="71"/>
        <v/>
      </c>
    </row>
    <row r="493" spans="1:22" x14ac:dyDescent="0.25">
      <c r="A493" t="str">
        <f t="shared" si="65"/>
        <v/>
      </c>
      <c r="B493" s="16"/>
      <c r="D493" t="str">
        <f>IF($C493="","",IFERROR(INDEX('Asset Register'!$B:$B,MATCH($C493,'Asset Register'!$A:$A,0)),""))</f>
        <v/>
      </c>
      <c r="E493" t="str">
        <f>IF($C493="","",IFERROR(INDEX('Asset Register'!$C:$C,MATCH($C493,'Asset Register'!$A:$A,0)),""))</f>
        <v/>
      </c>
      <c r="F493" t="str">
        <f>IF($C493="","",IFERROR(INDEX('Asset Register'!$D:$D,MATCH($C493,'Asset Register'!$A:$A,0)),""))</f>
        <v/>
      </c>
      <c r="J493" s="17" t="str">
        <f t="shared" si="72"/>
        <v/>
      </c>
      <c r="K493" s="17" t="str">
        <f t="shared" si="73"/>
        <v/>
      </c>
      <c r="L493" s="17" t="str">
        <f t="shared" si="66"/>
        <v/>
      </c>
      <c r="O493" t="str">
        <f>IF($C493="","",IFERROR(INDEX('Asset Register'!$G:$G,MATCH($C493,'Asset Register'!$A:$A,0)),""))</f>
        <v/>
      </c>
      <c r="Q493" t="str">
        <f t="shared" si="67"/>
        <v/>
      </c>
      <c r="R493" t="str">
        <f t="shared" si="68"/>
        <v/>
      </c>
      <c r="S493" s="17" t="str">
        <f t="shared" si="69"/>
        <v/>
      </c>
      <c r="T493" s="18" t="str">
        <f>IF($C493="","",IFERROR(INDEX('Asset Register'!$H:$H,MATCH($C493,'Asset Register'!$A:$A,0)),""))</f>
        <v/>
      </c>
      <c r="U493" s="18" t="str">
        <f t="shared" si="70"/>
        <v/>
      </c>
      <c r="V493" s="17" t="str">
        <f t="shared" si="71"/>
        <v/>
      </c>
    </row>
    <row r="494" spans="1:22" x14ac:dyDescent="0.25">
      <c r="A494" t="str">
        <f t="shared" si="65"/>
        <v/>
      </c>
      <c r="B494" s="16"/>
      <c r="D494" t="str">
        <f>IF($C494="","",IFERROR(INDEX('Asset Register'!$B:$B,MATCH($C494,'Asset Register'!$A:$A,0)),""))</f>
        <v/>
      </c>
      <c r="E494" t="str">
        <f>IF($C494="","",IFERROR(INDEX('Asset Register'!$C:$C,MATCH($C494,'Asset Register'!$A:$A,0)),""))</f>
        <v/>
      </c>
      <c r="F494" t="str">
        <f>IF($C494="","",IFERROR(INDEX('Asset Register'!$D:$D,MATCH($C494,'Asset Register'!$A:$A,0)),""))</f>
        <v/>
      </c>
      <c r="J494" s="17" t="str">
        <f t="shared" si="72"/>
        <v/>
      </c>
      <c r="K494" s="17" t="str">
        <f t="shared" si="73"/>
        <v/>
      </c>
      <c r="L494" s="17" t="str">
        <f t="shared" si="66"/>
        <v/>
      </c>
      <c r="O494" t="str">
        <f>IF($C494="","",IFERROR(INDEX('Asset Register'!$G:$G,MATCH($C494,'Asset Register'!$A:$A,0)),""))</f>
        <v/>
      </c>
      <c r="Q494" t="str">
        <f t="shared" si="67"/>
        <v/>
      </c>
      <c r="R494" t="str">
        <f t="shared" si="68"/>
        <v/>
      </c>
      <c r="S494" s="17" t="str">
        <f t="shared" si="69"/>
        <v/>
      </c>
      <c r="T494" s="18" t="str">
        <f>IF($C494="","",IFERROR(INDEX('Asset Register'!$H:$H,MATCH($C494,'Asset Register'!$A:$A,0)),""))</f>
        <v/>
      </c>
      <c r="U494" s="18" t="str">
        <f t="shared" si="70"/>
        <v/>
      </c>
      <c r="V494" s="17" t="str">
        <f t="shared" si="71"/>
        <v/>
      </c>
    </row>
    <row r="495" spans="1:22" x14ac:dyDescent="0.25">
      <c r="A495" t="str">
        <f t="shared" si="65"/>
        <v/>
      </c>
      <c r="B495" s="16"/>
      <c r="D495" t="str">
        <f>IF($C495="","",IFERROR(INDEX('Asset Register'!$B:$B,MATCH($C495,'Asset Register'!$A:$A,0)),""))</f>
        <v/>
      </c>
      <c r="E495" t="str">
        <f>IF($C495="","",IFERROR(INDEX('Asset Register'!$C:$C,MATCH($C495,'Asset Register'!$A:$A,0)),""))</f>
        <v/>
      </c>
      <c r="F495" t="str">
        <f>IF($C495="","",IFERROR(INDEX('Asset Register'!$D:$D,MATCH($C495,'Asset Register'!$A:$A,0)),""))</f>
        <v/>
      </c>
      <c r="J495" s="17" t="str">
        <f t="shared" si="72"/>
        <v/>
      </c>
      <c r="K495" s="17" t="str">
        <f t="shared" si="73"/>
        <v/>
      </c>
      <c r="L495" s="17" t="str">
        <f t="shared" si="66"/>
        <v/>
      </c>
      <c r="O495" t="str">
        <f>IF($C495="","",IFERROR(INDEX('Asset Register'!$G:$G,MATCH($C495,'Asset Register'!$A:$A,0)),""))</f>
        <v/>
      </c>
      <c r="Q495" t="str">
        <f t="shared" si="67"/>
        <v/>
      </c>
      <c r="R495" t="str">
        <f t="shared" si="68"/>
        <v/>
      </c>
      <c r="S495" s="17" t="str">
        <f t="shared" si="69"/>
        <v/>
      </c>
      <c r="T495" s="18" t="str">
        <f>IF($C495="","",IFERROR(INDEX('Asset Register'!$H:$H,MATCH($C495,'Asset Register'!$A:$A,0)),""))</f>
        <v/>
      </c>
      <c r="U495" s="18" t="str">
        <f t="shared" si="70"/>
        <v/>
      </c>
      <c r="V495" s="17" t="str">
        <f t="shared" si="71"/>
        <v/>
      </c>
    </row>
    <row r="496" spans="1:22" x14ac:dyDescent="0.25">
      <c r="A496" t="str">
        <f t="shared" si="65"/>
        <v/>
      </c>
      <c r="B496" s="16"/>
      <c r="D496" t="str">
        <f>IF($C496="","",IFERROR(INDEX('Asset Register'!$B:$B,MATCH($C496,'Asset Register'!$A:$A,0)),""))</f>
        <v/>
      </c>
      <c r="E496" t="str">
        <f>IF($C496="","",IFERROR(INDEX('Asset Register'!$C:$C,MATCH($C496,'Asset Register'!$A:$A,0)),""))</f>
        <v/>
      </c>
      <c r="F496" t="str">
        <f>IF($C496="","",IFERROR(INDEX('Asset Register'!$D:$D,MATCH($C496,'Asset Register'!$A:$A,0)),""))</f>
        <v/>
      </c>
      <c r="J496" s="17" t="str">
        <f t="shared" si="72"/>
        <v/>
      </c>
      <c r="K496" s="17" t="str">
        <f t="shared" si="73"/>
        <v/>
      </c>
      <c r="L496" s="17" t="str">
        <f t="shared" si="66"/>
        <v/>
      </c>
      <c r="O496" t="str">
        <f>IF($C496="","",IFERROR(INDEX('Asset Register'!$G:$G,MATCH($C496,'Asset Register'!$A:$A,0)),""))</f>
        <v/>
      </c>
      <c r="Q496" t="str">
        <f t="shared" si="67"/>
        <v/>
      </c>
      <c r="R496" t="str">
        <f t="shared" si="68"/>
        <v/>
      </c>
      <c r="S496" s="17" t="str">
        <f t="shared" si="69"/>
        <v/>
      </c>
      <c r="T496" s="18" t="str">
        <f>IF($C496="","",IFERROR(INDEX('Asset Register'!$H:$H,MATCH($C496,'Asset Register'!$A:$A,0)),""))</f>
        <v/>
      </c>
      <c r="U496" s="18" t="str">
        <f t="shared" si="70"/>
        <v/>
      </c>
      <c r="V496" s="17" t="str">
        <f t="shared" si="71"/>
        <v/>
      </c>
    </row>
    <row r="497" spans="1:22" x14ac:dyDescent="0.25">
      <c r="A497" t="str">
        <f t="shared" si="65"/>
        <v/>
      </c>
      <c r="B497" s="16"/>
      <c r="D497" t="str">
        <f>IF($C497="","",IFERROR(INDEX('Asset Register'!$B:$B,MATCH($C497,'Asset Register'!$A:$A,0)),""))</f>
        <v/>
      </c>
      <c r="E497" t="str">
        <f>IF($C497="","",IFERROR(INDEX('Asset Register'!$C:$C,MATCH($C497,'Asset Register'!$A:$A,0)),""))</f>
        <v/>
      </c>
      <c r="F497" t="str">
        <f>IF($C497="","",IFERROR(INDEX('Asset Register'!$D:$D,MATCH($C497,'Asset Register'!$A:$A,0)),""))</f>
        <v/>
      </c>
      <c r="J497" s="17" t="str">
        <f t="shared" si="72"/>
        <v/>
      </c>
      <c r="K497" s="17" t="str">
        <f t="shared" si="73"/>
        <v/>
      </c>
      <c r="L497" s="17" t="str">
        <f t="shared" si="66"/>
        <v/>
      </c>
      <c r="O497" t="str">
        <f>IF($C497="","",IFERROR(INDEX('Asset Register'!$G:$G,MATCH($C497,'Asset Register'!$A:$A,0)),""))</f>
        <v/>
      </c>
      <c r="Q497" t="str">
        <f t="shared" si="67"/>
        <v/>
      </c>
      <c r="R497" t="str">
        <f t="shared" si="68"/>
        <v/>
      </c>
      <c r="S497" s="17" t="str">
        <f t="shared" si="69"/>
        <v/>
      </c>
      <c r="T497" s="18" t="str">
        <f>IF($C497="","",IFERROR(INDEX('Asset Register'!$H:$H,MATCH($C497,'Asset Register'!$A:$A,0)),""))</f>
        <v/>
      </c>
      <c r="U497" s="18" t="str">
        <f t="shared" si="70"/>
        <v/>
      </c>
      <c r="V497" s="17" t="str">
        <f t="shared" si="71"/>
        <v/>
      </c>
    </row>
    <row r="498" spans="1:22" x14ac:dyDescent="0.25">
      <c r="A498" t="str">
        <f t="shared" si="65"/>
        <v/>
      </c>
      <c r="B498" s="16"/>
      <c r="D498" t="str">
        <f>IF($C498="","",IFERROR(INDEX('Asset Register'!$B:$B,MATCH($C498,'Asset Register'!$A:$A,0)),""))</f>
        <v/>
      </c>
      <c r="E498" t="str">
        <f>IF($C498="","",IFERROR(INDEX('Asset Register'!$C:$C,MATCH($C498,'Asset Register'!$A:$A,0)),""))</f>
        <v/>
      </c>
      <c r="F498" t="str">
        <f>IF($C498="","",IFERROR(INDEX('Asset Register'!$D:$D,MATCH($C498,'Asset Register'!$A:$A,0)),""))</f>
        <v/>
      </c>
      <c r="J498" s="17" t="str">
        <f t="shared" si="72"/>
        <v/>
      </c>
      <c r="K498" s="17" t="str">
        <f t="shared" si="73"/>
        <v/>
      </c>
      <c r="L498" s="17" t="str">
        <f t="shared" si="66"/>
        <v/>
      </c>
      <c r="O498" t="str">
        <f>IF($C498="","",IFERROR(INDEX('Asset Register'!$G:$G,MATCH($C498,'Asset Register'!$A:$A,0)),""))</f>
        <v/>
      </c>
      <c r="Q498" t="str">
        <f t="shared" si="67"/>
        <v/>
      </c>
      <c r="R498" t="str">
        <f t="shared" si="68"/>
        <v/>
      </c>
      <c r="S498" s="17" t="str">
        <f t="shared" si="69"/>
        <v/>
      </c>
      <c r="T498" s="18" t="str">
        <f>IF($C498="","",IFERROR(INDEX('Asset Register'!$H:$H,MATCH($C498,'Asset Register'!$A:$A,0)),""))</f>
        <v/>
      </c>
      <c r="U498" s="18" t="str">
        <f t="shared" si="70"/>
        <v/>
      </c>
      <c r="V498" s="17" t="str">
        <f t="shared" si="71"/>
        <v/>
      </c>
    </row>
    <row r="499" spans="1:22" x14ac:dyDescent="0.25">
      <c r="A499" t="str">
        <f t="shared" si="65"/>
        <v/>
      </c>
      <c r="B499" s="16"/>
      <c r="D499" t="str">
        <f>IF($C499="","",IFERROR(INDEX('Asset Register'!$B:$B,MATCH($C499,'Asset Register'!$A:$A,0)),""))</f>
        <v/>
      </c>
      <c r="E499" t="str">
        <f>IF($C499="","",IFERROR(INDEX('Asset Register'!$C:$C,MATCH($C499,'Asset Register'!$A:$A,0)),""))</f>
        <v/>
      </c>
      <c r="F499" t="str">
        <f>IF($C499="","",IFERROR(INDEX('Asset Register'!$D:$D,MATCH($C499,'Asset Register'!$A:$A,0)),""))</f>
        <v/>
      </c>
      <c r="J499" s="17" t="str">
        <f t="shared" si="72"/>
        <v/>
      </c>
      <c r="K499" s="17" t="str">
        <f t="shared" si="73"/>
        <v/>
      </c>
      <c r="L499" s="17" t="str">
        <f t="shared" si="66"/>
        <v/>
      </c>
      <c r="O499" t="str">
        <f>IF($C499="","",IFERROR(INDEX('Asset Register'!$G:$G,MATCH($C499,'Asset Register'!$A:$A,0)),""))</f>
        <v/>
      </c>
      <c r="Q499" t="str">
        <f t="shared" si="67"/>
        <v/>
      </c>
      <c r="R499" t="str">
        <f t="shared" si="68"/>
        <v/>
      </c>
      <c r="S499" s="17" t="str">
        <f t="shared" si="69"/>
        <v/>
      </c>
      <c r="T499" s="18" t="str">
        <f>IF($C499="","",IFERROR(INDEX('Asset Register'!$H:$H,MATCH($C499,'Asset Register'!$A:$A,0)),""))</f>
        <v/>
      </c>
      <c r="U499" s="18" t="str">
        <f t="shared" si="70"/>
        <v/>
      </c>
      <c r="V499" s="17" t="str">
        <f t="shared" si="71"/>
        <v/>
      </c>
    </row>
    <row r="500" spans="1:22" x14ac:dyDescent="0.25">
      <c r="A500" t="str">
        <f t="shared" si="65"/>
        <v/>
      </c>
      <c r="B500" s="16"/>
      <c r="D500" t="str">
        <f>IF($C500="","",IFERROR(INDEX('Asset Register'!$B:$B,MATCH($C500,'Asset Register'!$A:$A,0)),""))</f>
        <v/>
      </c>
      <c r="E500" t="str">
        <f>IF($C500="","",IFERROR(INDEX('Asset Register'!$C:$C,MATCH($C500,'Asset Register'!$A:$A,0)),""))</f>
        <v/>
      </c>
      <c r="F500" t="str">
        <f>IF($C500="","",IFERROR(INDEX('Asset Register'!$D:$D,MATCH($C500,'Asset Register'!$A:$A,0)),""))</f>
        <v/>
      </c>
      <c r="J500" s="17" t="str">
        <f t="shared" si="72"/>
        <v/>
      </c>
      <c r="K500" s="17" t="str">
        <f t="shared" si="73"/>
        <v/>
      </c>
      <c r="L500" s="17" t="str">
        <f t="shared" si="66"/>
        <v/>
      </c>
      <c r="O500" t="str">
        <f>IF($C500="","",IFERROR(INDEX('Asset Register'!$G:$G,MATCH($C500,'Asset Register'!$A:$A,0)),""))</f>
        <v/>
      </c>
      <c r="Q500" t="str">
        <f t="shared" si="67"/>
        <v/>
      </c>
      <c r="R500" t="str">
        <f t="shared" si="68"/>
        <v/>
      </c>
      <c r="S500" s="17" t="str">
        <f t="shared" si="69"/>
        <v/>
      </c>
      <c r="T500" s="18" t="str">
        <f>IF($C500="","",IFERROR(INDEX('Asset Register'!$H:$H,MATCH($C500,'Asset Register'!$A:$A,0)),""))</f>
        <v/>
      </c>
      <c r="U500" s="18" t="str">
        <f t="shared" si="70"/>
        <v/>
      </c>
      <c r="V500" s="17" t="str">
        <f t="shared" si="71"/>
        <v/>
      </c>
    </row>
  </sheetData>
  <dataValidations count="1">
    <dataValidation type="list" allowBlank="1" sqref="C2:C500" xr:uid="{00000000-0002-0000-0400-000000000000}">
      <formula1>AssetList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F1000"/>
  <sheetViews>
    <sheetView topLeftCell="O1" zoomScaleNormal="100" workbookViewId="0">
      <pane ySplit="1" topLeftCell="A2" activePane="bottomLeft" state="frozen"/>
      <selection pane="bottomLeft" activeCell="AB16" sqref="AB16"/>
    </sheetView>
  </sheetViews>
  <sheetFormatPr defaultColWidth="8.7109375" defaultRowHeight="15" x14ac:dyDescent="0.25"/>
  <cols>
    <col min="1" max="1" width="8" customWidth="1"/>
    <col min="2" max="2" width="12" customWidth="1"/>
    <col min="3" max="3" width="11" customWidth="1"/>
    <col min="4" max="4" width="22" customWidth="1"/>
    <col min="5" max="5" width="11" customWidth="1"/>
    <col min="6" max="6" width="32" customWidth="1"/>
    <col min="7" max="7" width="45" customWidth="1"/>
    <col min="8" max="8" width="30" customWidth="1"/>
    <col min="9" max="9" width="12" customWidth="1"/>
    <col min="10" max="10" width="16" customWidth="1"/>
    <col min="11" max="11" width="13" customWidth="1"/>
    <col min="12" max="12" width="12.7109375" customWidth="1"/>
    <col min="13" max="13" width="15" customWidth="1"/>
    <col min="14" max="14" width="14" customWidth="1"/>
    <col min="15" max="15" width="22" customWidth="1"/>
    <col min="16" max="16" width="8" customWidth="1"/>
    <col min="17" max="18" width="13" customWidth="1"/>
    <col min="19" max="19" width="22" customWidth="1"/>
    <col min="20" max="20" width="8" customWidth="1"/>
    <col min="21" max="22" width="13" customWidth="1"/>
    <col min="23" max="23" width="22" customWidth="1"/>
    <col min="24" max="24" width="8" customWidth="1"/>
    <col min="25" max="26" width="13" customWidth="1"/>
    <col min="27" max="27" width="12" customWidth="1"/>
    <col min="28" max="28" width="14" customWidth="1"/>
    <col min="29" max="29" width="13" customWidth="1"/>
    <col min="30" max="30" width="14" customWidth="1"/>
    <col min="31" max="31" width="26" customWidth="1"/>
    <col min="32" max="32" width="13" hidden="1" customWidth="1"/>
  </cols>
  <sheetData>
    <row r="1" spans="1:32" ht="45" x14ac:dyDescent="0.25">
      <c r="A1" s="6" t="s">
        <v>1514</v>
      </c>
      <c r="B1" s="6" t="s">
        <v>1515</v>
      </c>
      <c r="C1" s="6" t="s">
        <v>1469</v>
      </c>
      <c r="D1" s="6" t="s">
        <v>1516</v>
      </c>
      <c r="E1" s="6" t="s">
        <v>37</v>
      </c>
      <c r="F1" s="6" t="s">
        <v>38</v>
      </c>
      <c r="G1" s="6" t="s">
        <v>1535</v>
      </c>
      <c r="H1" s="6" t="s">
        <v>40</v>
      </c>
      <c r="I1" s="6" t="s">
        <v>25</v>
      </c>
      <c r="J1" s="6" t="s">
        <v>1536</v>
      </c>
      <c r="K1" s="6" t="s">
        <v>1537</v>
      </c>
      <c r="L1" s="6" t="s">
        <v>1538</v>
      </c>
      <c r="M1" s="6" t="s">
        <v>1539</v>
      </c>
      <c r="N1" s="6" t="s">
        <v>1540</v>
      </c>
      <c r="O1" s="6" t="s">
        <v>1541</v>
      </c>
      <c r="P1" s="6" t="s">
        <v>1542</v>
      </c>
      <c r="Q1" s="6" t="s">
        <v>1543</v>
      </c>
      <c r="R1" s="6" t="s">
        <v>1544</v>
      </c>
      <c r="S1" s="6" t="s">
        <v>1545</v>
      </c>
      <c r="T1" s="6" t="s">
        <v>1546</v>
      </c>
      <c r="U1" s="6" t="s">
        <v>1547</v>
      </c>
      <c r="V1" s="6" t="s">
        <v>1548</v>
      </c>
      <c r="W1" s="6" t="s">
        <v>1549</v>
      </c>
      <c r="X1" s="6" t="s">
        <v>1550</v>
      </c>
      <c r="Y1" s="6" t="s">
        <v>1551</v>
      </c>
      <c r="Z1" s="6" t="s">
        <v>1552</v>
      </c>
      <c r="AA1" s="6" t="s">
        <v>1553</v>
      </c>
      <c r="AB1" s="6" t="s">
        <v>1554</v>
      </c>
      <c r="AC1" s="6" t="s">
        <v>1555</v>
      </c>
      <c r="AD1" s="6" t="s">
        <v>1556</v>
      </c>
      <c r="AE1" s="6" t="s">
        <v>1557</v>
      </c>
      <c r="AF1" s="19" t="s">
        <v>1558</v>
      </c>
    </row>
    <row r="2" spans="1:32" x14ac:dyDescent="0.25">
      <c r="A2" s="7">
        <f t="shared" ref="A2:A65" si="0">IF(B2="","",ROW()-1)</f>
        <v>1</v>
      </c>
      <c r="B2" s="11" t="s">
        <v>1559</v>
      </c>
      <c r="C2" s="12" t="s">
        <v>1476</v>
      </c>
      <c r="D2" s="7" t="str">
        <f>IFERROR(INDEX('Asset Register'!$B:$B,MATCH($C2,'Asset Register'!$A:$A,0)),"")</f>
        <v>Bull Dozer (CAT)</v>
      </c>
      <c r="E2" s="12" t="s">
        <v>881</v>
      </c>
      <c r="F2" s="12" t="s">
        <v>976</v>
      </c>
      <c r="G2" s="12" t="s">
        <v>1006</v>
      </c>
      <c r="H2" s="7" t="str">
        <f>IFERROR(INDEX('Task Master'!$E:$E,MATCH($F2&amp;"||"&amp;$G2,'Task Master'!$K:$K,0)),"")</f>
        <v>I. Hydraulic and Power Train System</v>
      </c>
      <c r="I2" s="7" t="str">
        <f>IFERROR(INDEX('Task Master'!$F:$F,MATCH($F2&amp;"||"&amp;$G2,'Task Master'!$K:$K,0)),"")</f>
        <v>Corrective</v>
      </c>
      <c r="J2" s="7">
        <f>IFERROR(INDEX('Task Master'!$H:$H,MATCH($F2&amp;"||"&amp;$G2,'Task Master'!$K:$K,0)),"")</f>
        <v>9</v>
      </c>
      <c r="K2" s="8">
        <v>6</v>
      </c>
      <c r="L2" s="8">
        <v>2</v>
      </c>
      <c r="M2" s="8">
        <v>250</v>
      </c>
      <c r="N2" s="15">
        <f t="shared" ref="N2:N65" si="1">IF(OR($K2="",$L2="",$M2=""),"",$K2*$L2*$M2)</f>
        <v>3000</v>
      </c>
      <c r="O2" s="8" t="s">
        <v>1560</v>
      </c>
      <c r="P2" s="8">
        <v>2</v>
      </c>
      <c r="Q2" s="10">
        <v>7400</v>
      </c>
      <c r="R2" s="15">
        <f t="shared" ref="R2:R65" si="2">IF(OR($P2="",$Q2=""),0,$P2*$Q2)</f>
        <v>14800</v>
      </c>
      <c r="S2" s="8"/>
      <c r="T2" s="8"/>
      <c r="U2" s="10"/>
      <c r="V2" s="15">
        <f t="shared" ref="V2:V65" si="3">IF(OR($T2="",$U2=""),0,$T2*$U2)</f>
        <v>0</v>
      </c>
      <c r="W2" s="8"/>
      <c r="X2" s="8"/>
      <c r="Y2" s="10"/>
      <c r="Z2" s="15">
        <f t="shared" ref="Z2:Z65" si="4">IF(OR($X2="",$Y2=""),0,$X2*$Y2)</f>
        <v>0</v>
      </c>
      <c r="AA2" s="10">
        <v>500</v>
      </c>
      <c r="AB2" s="15">
        <f t="shared" ref="AB2:AB65" si="5">$R2+$V2+$Z2</f>
        <v>14800</v>
      </c>
      <c r="AC2" s="15">
        <f t="shared" ref="AC2:AC65" si="6">IF($B2="","",$AB2+$AA2+$N2)</f>
        <v>18300</v>
      </c>
      <c r="AD2" s="15">
        <f t="shared" ref="AD2:AD65" si="7">IF(OR($K2="",$K2=0,$AC2=""),"",$AC2/$K2)</f>
        <v>3050</v>
      </c>
      <c r="AE2" s="8" t="s">
        <v>1561</v>
      </c>
      <c r="AF2" t="str">
        <f>IFERROR(INDEX('Task Master'!$D:$D,MATCH($F2,'Task Master'!$C:$C,0)),"")</f>
        <v>Dozer</v>
      </c>
    </row>
    <row r="3" spans="1:32" x14ac:dyDescent="0.25">
      <c r="A3" s="7">
        <f t="shared" si="0"/>
        <v>2</v>
      </c>
      <c r="B3" s="11" t="s">
        <v>1562</v>
      </c>
      <c r="C3" s="12" t="s">
        <v>1488</v>
      </c>
      <c r="D3" s="7" t="str">
        <f>IFERROR(INDEX('Asset Register'!$B:$B,MATCH($C3,'Asset Register'!$A:$A,0)),"")</f>
        <v>Bull Dozer (CAT)</v>
      </c>
      <c r="E3" s="12" t="s">
        <v>881</v>
      </c>
      <c r="F3" s="12" t="s">
        <v>882</v>
      </c>
      <c r="G3" s="12" t="s">
        <v>305</v>
      </c>
      <c r="H3" s="7" t="str">
        <f>IFERROR(INDEX('Task Master'!$E:$E,MATCH($F3&amp;"||"&amp;$G3,'Task Master'!$K:$K,0)),"")</f>
        <v>VI. Engine Repair</v>
      </c>
      <c r="I3" s="7" t="str">
        <f>IFERROR(INDEX('Task Master'!$F:$F,MATCH($F3&amp;"||"&amp;$G3,'Task Master'!$K:$K,0)),"")</f>
        <v>Corrective</v>
      </c>
      <c r="J3" s="7">
        <f>IFERROR(INDEX('Task Master'!$H:$H,MATCH($F3&amp;"||"&amp;$G3,'Task Master'!$K:$K,0)),"")</f>
        <v>8</v>
      </c>
      <c r="K3" s="8">
        <v>5</v>
      </c>
      <c r="L3" s="8">
        <v>2</v>
      </c>
      <c r="M3" s="8">
        <v>250</v>
      </c>
      <c r="N3" s="15">
        <f t="shared" si="1"/>
        <v>2500</v>
      </c>
      <c r="O3" s="8" t="s">
        <v>1563</v>
      </c>
      <c r="P3" s="8">
        <v>1</v>
      </c>
      <c r="Q3" s="10">
        <v>3500</v>
      </c>
      <c r="R3" s="15">
        <f t="shared" si="2"/>
        <v>3500</v>
      </c>
      <c r="S3" s="8" t="s">
        <v>1564</v>
      </c>
      <c r="T3" s="8">
        <v>4</v>
      </c>
      <c r="U3" s="10">
        <v>50</v>
      </c>
      <c r="V3" s="15">
        <f t="shared" si="3"/>
        <v>200</v>
      </c>
      <c r="W3" s="8"/>
      <c r="X3" s="8"/>
      <c r="Y3" s="10"/>
      <c r="Z3" s="15">
        <f t="shared" si="4"/>
        <v>0</v>
      </c>
      <c r="AA3" s="10">
        <v>0</v>
      </c>
      <c r="AB3" s="15">
        <f t="shared" si="5"/>
        <v>3700</v>
      </c>
      <c r="AC3" s="15">
        <f t="shared" si="6"/>
        <v>6200</v>
      </c>
      <c r="AD3" s="15">
        <f t="shared" si="7"/>
        <v>1240</v>
      </c>
      <c r="AE3" s="8" t="s">
        <v>1565</v>
      </c>
      <c r="AF3" t="str">
        <f>IFERROR(INDEX('Task Master'!$D:$D,MATCH($F3,'Task Master'!$C:$C,0)),"")</f>
        <v>Earth_Moving_Machinery_General_PM_Engine</v>
      </c>
    </row>
    <row r="4" spans="1:32" x14ac:dyDescent="0.25">
      <c r="A4" s="7">
        <f t="shared" si="0"/>
        <v>3</v>
      </c>
      <c r="B4" s="11" t="s">
        <v>1531</v>
      </c>
      <c r="C4" s="12" t="s">
        <v>1485</v>
      </c>
      <c r="D4" s="7" t="str">
        <f>IFERROR(INDEX('Asset Register'!$B:$B,MATCH($C4,'Asset Register'!$A:$A,0)),"")</f>
        <v>Dump Truck (Volvo)</v>
      </c>
      <c r="E4" s="12" t="s">
        <v>657</v>
      </c>
      <c r="F4" s="12" t="s">
        <v>658</v>
      </c>
      <c r="G4" s="12" t="s">
        <v>672</v>
      </c>
      <c r="H4" s="7" t="str">
        <f>IFERROR(INDEX('Task Master'!$E:$E,MATCH($F4&amp;"||"&amp;$G4,'Task Master'!$K:$K,0)),"")</f>
        <v>II. General Service B = 10,000 KM</v>
      </c>
      <c r="I4" s="7" t="str">
        <f>IFERROR(INDEX('Task Master'!$F:$F,MATCH($F4&amp;"||"&amp;$G4,'Task Master'!$K:$K,0)),"")</f>
        <v>Preventive</v>
      </c>
      <c r="J4" s="7">
        <f>IFERROR(INDEX('Task Master'!$H:$H,MATCH($F4&amp;"||"&amp;$G4,'Task Master'!$K:$K,0)),"")</f>
        <v>18</v>
      </c>
      <c r="K4" s="8">
        <v>4</v>
      </c>
      <c r="L4" s="8">
        <v>2</v>
      </c>
      <c r="M4" s="8">
        <v>200</v>
      </c>
      <c r="N4" s="15">
        <f t="shared" si="1"/>
        <v>1600</v>
      </c>
      <c r="O4" s="8"/>
      <c r="P4" s="8"/>
      <c r="Q4" s="10"/>
      <c r="R4" s="15">
        <f t="shared" si="2"/>
        <v>0</v>
      </c>
      <c r="S4" s="8"/>
      <c r="T4" s="8"/>
      <c r="U4" s="10"/>
      <c r="V4" s="15">
        <f t="shared" si="3"/>
        <v>0</v>
      </c>
      <c r="W4" s="8"/>
      <c r="X4" s="8"/>
      <c r="Y4" s="10"/>
      <c r="Z4" s="15">
        <f t="shared" si="4"/>
        <v>0</v>
      </c>
      <c r="AA4" s="10">
        <v>0</v>
      </c>
      <c r="AB4" s="15">
        <f t="shared" si="5"/>
        <v>0</v>
      </c>
      <c r="AC4" s="15">
        <f t="shared" si="6"/>
        <v>1600</v>
      </c>
      <c r="AD4" s="15">
        <f t="shared" si="7"/>
        <v>400</v>
      </c>
      <c r="AE4" s="8" t="s">
        <v>1566</v>
      </c>
      <c r="AF4" t="str">
        <f>IFERROR(INDEX('Task Master'!$D:$D,MATCH($F4,'Task Master'!$C:$C,0)),"")</f>
        <v>Heavy_Truck</v>
      </c>
    </row>
    <row r="5" spans="1:32" x14ac:dyDescent="0.25">
      <c r="A5" s="7">
        <f t="shared" si="0"/>
        <v>4</v>
      </c>
      <c r="B5" s="11" t="s">
        <v>1531</v>
      </c>
      <c r="C5" s="12" t="s">
        <v>1482</v>
      </c>
      <c r="D5" s="7" t="str">
        <f>IFERROR(INDEX('Asset Register'!$B:$B,MATCH($C5,'Asset Register'!$A:$A,0)),"")</f>
        <v>Bull Dozer (Komatsu)</v>
      </c>
      <c r="E5" s="12" t="s">
        <v>881</v>
      </c>
      <c r="F5" s="12" t="s">
        <v>882</v>
      </c>
      <c r="G5" s="12" t="s">
        <v>896</v>
      </c>
      <c r="H5" s="7" t="str">
        <f>IFERROR(INDEX('Task Master'!$E:$E,MATCH($F5&amp;"||"&amp;$G5,'Task Master'!$K:$K,0)),"")</f>
        <v>II. Every 250 Service Hours or Monthly</v>
      </c>
      <c r="I5" s="7" t="str">
        <f>IFERROR(INDEX('Task Master'!$F:$F,MATCH($F5&amp;"||"&amp;$G5,'Task Master'!$K:$K,0)),"")</f>
        <v>Preventive</v>
      </c>
      <c r="J5" s="7">
        <f>IFERROR(INDEX('Task Master'!$H:$H,MATCH($F5&amp;"||"&amp;$G5,'Task Master'!$K:$K,0)),"")</f>
        <v>2</v>
      </c>
      <c r="K5" s="8">
        <v>2</v>
      </c>
      <c r="L5" s="8">
        <v>1</v>
      </c>
      <c r="M5" s="8">
        <v>250</v>
      </c>
      <c r="N5" s="15">
        <f t="shared" si="1"/>
        <v>500</v>
      </c>
      <c r="O5" s="8" t="s">
        <v>1567</v>
      </c>
      <c r="P5" s="8">
        <v>2</v>
      </c>
      <c r="Q5" s="10">
        <v>150</v>
      </c>
      <c r="R5" s="15">
        <f t="shared" si="2"/>
        <v>300</v>
      </c>
      <c r="S5" s="8"/>
      <c r="T5" s="8"/>
      <c r="U5" s="10"/>
      <c r="V5" s="15">
        <f t="shared" si="3"/>
        <v>0</v>
      </c>
      <c r="W5" s="8"/>
      <c r="X5" s="8"/>
      <c r="Y5" s="10"/>
      <c r="Z5" s="15">
        <f t="shared" si="4"/>
        <v>0</v>
      </c>
      <c r="AA5" s="10">
        <v>0</v>
      </c>
      <c r="AB5" s="15">
        <f t="shared" si="5"/>
        <v>300</v>
      </c>
      <c r="AC5" s="15">
        <f t="shared" si="6"/>
        <v>800</v>
      </c>
      <c r="AD5" s="15">
        <f t="shared" si="7"/>
        <v>400</v>
      </c>
      <c r="AE5" s="8" t="s">
        <v>1568</v>
      </c>
      <c r="AF5" t="str">
        <f>IFERROR(INDEX('Task Master'!$D:$D,MATCH($F5,'Task Master'!$C:$C,0)),"")</f>
        <v>Earth_Moving_Machinery_General_PM_Engine</v>
      </c>
    </row>
    <row r="6" spans="1:32" x14ac:dyDescent="0.25">
      <c r="A6" s="7">
        <f t="shared" si="0"/>
        <v>5</v>
      </c>
      <c r="B6" s="11" t="s">
        <v>1569</v>
      </c>
      <c r="C6" s="12" t="s">
        <v>1489</v>
      </c>
      <c r="D6" s="7" t="str">
        <f>IFERROR(INDEX('Asset Register'!$B:$B,MATCH($C6,'Asset Register'!$A:$A,0)),"")</f>
        <v>Toyota Land Cruiser</v>
      </c>
      <c r="E6" s="12" t="s">
        <v>46</v>
      </c>
      <c r="F6" s="12" t="s">
        <v>47</v>
      </c>
      <c r="G6" s="12" t="s">
        <v>50</v>
      </c>
      <c r="H6" s="7" t="str">
        <f>IFERROR(INDEX('Task Master'!$E:$E,MATCH($F6&amp;"||"&amp;$G6,'Task Master'!$K:$K,0)),"")</f>
        <v>I. General Service A = 5,000 KM</v>
      </c>
      <c r="I6" s="7" t="str">
        <f>IFERROR(INDEX('Task Master'!$F:$F,MATCH($F6&amp;"||"&amp;$G6,'Task Master'!$K:$K,0)),"")</f>
        <v>Preventive</v>
      </c>
      <c r="J6" s="7">
        <f>IFERROR(INDEX('Task Master'!$H:$H,MATCH($F6&amp;"||"&amp;$G6,'Task Master'!$K:$K,0)),"")</f>
        <v>1.5</v>
      </c>
      <c r="K6" s="8">
        <v>1.5</v>
      </c>
      <c r="L6" s="8">
        <v>1</v>
      </c>
      <c r="M6" s="8">
        <v>150</v>
      </c>
      <c r="N6" s="15">
        <f t="shared" si="1"/>
        <v>225</v>
      </c>
      <c r="O6" s="8" t="s">
        <v>1570</v>
      </c>
      <c r="P6" s="8">
        <v>5</v>
      </c>
      <c r="Q6" s="10">
        <v>150</v>
      </c>
      <c r="R6" s="15">
        <f t="shared" si="2"/>
        <v>750</v>
      </c>
      <c r="S6" s="8" t="s">
        <v>1571</v>
      </c>
      <c r="T6" s="8">
        <v>1</v>
      </c>
      <c r="U6" s="10">
        <v>500</v>
      </c>
      <c r="V6" s="15">
        <f t="shared" si="3"/>
        <v>500</v>
      </c>
      <c r="W6" s="8"/>
      <c r="X6" s="8"/>
      <c r="Y6" s="10"/>
      <c r="Z6" s="15">
        <f t="shared" si="4"/>
        <v>0</v>
      </c>
      <c r="AA6" s="10">
        <v>0</v>
      </c>
      <c r="AB6" s="15">
        <f t="shared" si="5"/>
        <v>1250</v>
      </c>
      <c r="AC6" s="15">
        <f t="shared" si="6"/>
        <v>1475</v>
      </c>
      <c r="AD6" s="15">
        <f t="shared" si="7"/>
        <v>983.33333333333337</v>
      </c>
      <c r="AE6" s="8" t="s">
        <v>1572</v>
      </c>
      <c r="AF6" t="str">
        <f>IFERROR(INDEX('Task Master'!$D:$D,MATCH($F6,'Task Master'!$C:$C,0)),"")</f>
        <v>Automobile</v>
      </c>
    </row>
    <row r="7" spans="1:32" x14ac:dyDescent="0.25">
      <c r="A7" s="7">
        <f t="shared" si="0"/>
        <v>6</v>
      </c>
      <c r="B7" s="11" t="s">
        <v>1569</v>
      </c>
      <c r="C7" s="12" t="s">
        <v>1492</v>
      </c>
      <c r="D7" s="7" t="str">
        <f>IFERROR(INDEX('Asset Register'!$B:$B,MATCH($C7,'Asset Register'!$A:$A,0)),"")</f>
        <v>Toyota Hilux Pickup</v>
      </c>
      <c r="E7" s="12" t="s">
        <v>46</v>
      </c>
      <c r="F7" s="12" t="s">
        <v>397</v>
      </c>
      <c r="G7" s="12" t="s">
        <v>401</v>
      </c>
      <c r="H7" s="7" t="str">
        <f>IFERROR(INDEX('Task Master'!$E:$E,MATCH($F7&amp;"||"&amp;$G7,'Task Master'!$K:$K,0)),"")</f>
        <v>I. General Service A = 5,000 KM</v>
      </c>
      <c r="I7" s="7" t="str">
        <f>IFERROR(INDEX('Task Master'!$F:$F,MATCH($F7&amp;"||"&amp;$G7,'Task Master'!$K:$K,0)),"")</f>
        <v>Preventive</v>
      </c>
      <c r="J7" s="7">
        <f>IFERROR(INDEX('Task Master'!$H:$H,MATCH($F7&amp;"||"&amp;$G7,'Task Master'!$K:$K,0)),"")</f>
        <v>4</v>
      </c>
      <c r="K7" s="8">
        <v>4</v>
      </c>
      <c r="L7" s="8">
        <v>2</v>
      </c>
      <c r="M7" s="8">
        <v>150</v>
      </c>
      <c r="N7" s="15">
        <f t="shared" si="1"/>
        <v>1200</v>
      </c>
      <c r="O7" s="8" t="s">
        <v>1573</v>
      </c>
      <c r="P7" s="8">
        <v>1</v>
      </c>
      <c r="Q7" s="10">
        <v>2100</v>
      </c>
      <c r="R7" s="15">
        <f t="shared" si="2"/>
        <v>2100</v>
      </c>
      <c r="S7" s="8"/>
      <c r="T7" s="8"/>
      <c r="U7" s="10"/>
      <c r="V7" s="15">
        <f t="shared" si="3"/>
        <v>0</v>
      </c>
      <c r="W7" s="8"/>
      <c r="X7" s="8"/>
      <c r="Y7" s="10"/>
      <c r="Z7" s="15">
        <f t="shared" si="4"/>
        <v>0</v>
      </c>
      <c r="AA7" s="10">
        <v>0</v>
      </c>
      <c r="AB7" s="15">
        <f t="shared" si="5"/>
        <v>2100</v>
      </c>
      <c r="AC7" s="15">
        <f t="shared" si="6"/>
        <v>3300</v>
      </c>
      <c r="AD7" s="15">
        <f t="shared" si="7"/>
        <v>825</v>
      </c>
      <c r="AE7" s="8" t="s">
        <v>1574</v>
      </c>
      <c r="AF7" t="str">
        <f>IFERROR(INDEX('Task Master'!$D:$D,MATCH($F7,'Task Master'!$C:$C,0)),"")</f>
        <v>Pick_Up_Station_Wagon_Mini_Bus</v>
      </c>
    </row>
    <row r="8" spans="1:32" x14ac:dyDescent="0.25">
      <c r="A8" s="7">
        <f t="shared" si="0"/>
        <v>7</v>
      </c>
      <c r="B8" s="11" t="s">
        <v>1575</v>
      </c>
      <c r="C8" s="12" t="s">
        <v>1496</v>
      </c>
      <c r="D8" s="7" t="str">
        <f>IFERROR(INDEX('Asset Register'!$B:$B,MATCH($C8,'Asset Register'!$A:$A,0)),"")</f>
        <v>Excavator (Komatsu PC200)</v>
      </c>
      <c r="E8" s="12" t="s">
        <v>881</v>
      </c>
      <c r="F8" s="12" t="s">
        <v>1047</v>
      </c>
      <c r="G8" s="12" t="s">
        <v>1072</v>
      </c>
      <c r="H8" s="7" t="str">
        <f>IFERROR(INDEX('Task Master'!$E:$E,MATCH($F8&amp;"||"&amp;$G8,'Task Master'!$K:$K,0)),"")</f>
        <v>I. Hydraulic and Power Train System</v>
      </c>
      <c r="I8" s="7" t="str">
        <f>IFERROR(INDEX('Task Master'!$F:$F,MATCH($F8&amp;"||"&amp;$G8,'Task Master'!$K:$K,0)),"")</f>
        <v>Corrective</v>
      </c>
      <c r="J8" s="7">
        <f>IFERROR(INDEX('Task Master'!$H:$H,MATCH($F8&amp;"||"&amp;$G8,'Task Master'!$K:$K,0)),"")</f>
        <v>60</v>
      </c>
      <c r="K8" s="8">
        <v>60</v>
      </c>
      <c r="L8" s="8">
        <v>2</v>
      </c>
      <c r="M8" s="8">
        <v>300</v>
      </c>
      <c r="N8" s="15">
        <f t="shared" si="1"/>
        <v>36000</v>
      </c>
      <c r="O8" s="8" t="s">
        <v>1576</v>
      </c>
      <c r="P8" s="8">
        <v>1</v>
      </c>
      <c r="Q8" s="10">
        <v>44000</v>
      </c>
      <c r="R8" s="15">
        <f t="shared" si="2"/>
        <v>44000</v>
      </c>
      <c r="S8" s="8"/>
      <c r="T8" s="8"/>
      <c r="U8" s="10"/>
      <c r="V8" s="15">
        <f t="shared" si="3"/>
        <v>0</v>
      </c>
      <c r="W8" s="8"/>
      <c r="X8" s="8"/>
      <c r="Y8" s="10"/>
      <c r="Z8" s="15">
        <f t="shared" si="4"/>
        <v>0</v>
      </c>
      <c r="AA8" s="10">
        <v>4000</v>
      </c>
      <c r="AB8" s="15">
        <f t="shared" si="5"/>
        <v>44000</v>
      </c>
      <c r="AC8" s="15">
        <f t="shared" si="6"/>
        <v>84000</v>
      </c>
      <c r="AD8" s="15">
        <f t="shared" si="7"/>
        <v>1400</v>
      </c>
      <c r="AE8" s="8" t="s">
        <v>1577</v>
      </c>
      <c r="AF8" t="str">
        <f>IFERROR(INDEX('Task Master'!$D:$D,MATCH($F8,'Task Master'!$C:$C,0)),"")</f>
        <v>Excavator</v>
      </c>
    </row>
    <row r="9" spans="1:32" x14ac:dyDescent="0.25">
      <c r="A9" s="7">
        <f t="shared" si="0"/>
        <v>8</v>
      </c>
      <c r="B9" s="11" t="s">
        <v>1575</v>
      </c>
      <c r="C9" s="12" t="s">
        <v>1498</v>
      </c>
      <c r="D9" s="7" t="str">
        <f>IFERROR(INDEX('Asset Register'!$B:$B,MATCH($C9,'Asset Register'!$A:$A,0)),"")</f>
        <v>Grader (CAT 140K)</v>
      </c>
      <c r="E9" s="12" t="s">
        <v>881</v>
      </c>
      <c r="F9" s="12" t="s">
        <v>1142</v>
      </c>
      <c r="G9" s="12" t="s">
        <v>1180</v>
      </c>
      <c r="H9" s="7" t="str">
        <f>IFERROR(INDEX('Task Master'!$E:$E,MATCH($F9&amp;"||"&amp;$G9,'Task Master'!$K:$K,0)),"")</f>
        <v>I. Hydraulic System and Power Train System</v>
      </c>
      <c r="I9" s="7" t="str">
        <f>IFERROR(INDEX('Task Master'!$F:$F,MATCH($F9&amp;"||"&amp;$G9,'Task Master'!$K:$K,0)),"")</f>
        <v>Corrective</v>
      </c>
      <c r="J9" s="7">
        <f>IFERROR(INDEX('Task Master'!$H:$H,MATCH($F9&amp;"||"&amp;$G9,'Task Master'!$K:$K,0)),"")</f>
        <v>12</v>
      </c>
      <c r="K9" s="8">
        <v>14</v>
      </c>
      <c r="L9" s="8">
        <v>2</v>
      </c>
      <c r="M9" s="8">
        <v>280</v>
      </c>
      <c r="N9" s="15">
        <f t="shared" si="1"/>
        <v>7840</v>
      </c>
      <c r="O9" s="8" t="s">
        <v>1578</v>
      </c>
      <c r="P9" s="8">
        <v>1</v>
      </c>
      <c r="Q9" s="10">
        <v>8500</v>
      </c>
      <c r="R9" s="15">
        <f t="shared" si="2"/>
        <v>8500</v>
      </c>
      <c r="S9" s="8" t="s">
        <v>1579</v>
      </c>
      <c r="T9" s="8">
        <v>1</v>
      </c>
      <c r="U9" s="10">
        <v>500</v>
      </c>
      <c r="V9" s="15">
        <f t="shared" si="3"/>
        <v>500</v>
      </c>
      <c r="W9" s="8"/>
      <c r="X9" s="8"/>
      <c r="Y9" s="10"/>
      <c r="Z9" s="15">
        <f t="shared" si="4"/>
        <v>0</v>
      </c>
      <c r="AA9" s="10">
        <v>0</v>
      </c>
      <c r="AB9" s="15">
        <f t="shared" si="5"/>
        <v>9000</v>
      </c>
      <c r="AC9" s="15">
        <f t="shared" si="6"/>
        <v>16840</v>
      </c>
      <c r="AD9" s="15">
        <f t="shared" si="7"/>
        <v>1202.8571428571429</v>
      </c>
      <c r="AE9" s="8" t="s">
        <v>1580</v>
      </c>
      <c r="AF9" t="str">
        <f>IFERROR(INDEX('Task Master'!$D:$D,MATCH($F9,'Task Master'!$C:$C,0)),"")</f>
        <v>Grader</v>
      </c>
    </row>
    <row r="10" spans="1:32" x14ac:dyDescent="0.25">
      <c r="A10" s="7">
        <f t="shared" si="0"/>
        <v>9</v>
      </c>
      <c r="B10" s="11" t="s">
        <v>1534</v>
      </c>
      <c r="C10" s="12" t="s">
        <v>1500</v>
      </c>
      <c r="D10" s="7" t="str">
        <f>IFERROR(INDEX('Asset Register'!$B:$B,MATCH($C10,'Asset Register'!$A:$A,0)),"")</f>
        <v>Wheel Loader (CAT 950)</v>
      </c>
      <c r="E10" s="12" t="s">
        <v>881</v>
      </c>
      <c r="F10" s="12" t="s">
        <v>1096</v>
      </c>
      <c r="G10" s="12" t="s">
        <v>1101</v>
      </c>
      <c r="H10" s="7" t="str">
        <f>IFERROR(INDEX('Task Master'!$E:$E,MATCH($F10&amp;"||"&amp;$G10,'Task Master'!$K:$K,0)),"")</f>
        <v>I. Hydraulic and Power Train System</v>
      </c>
      <c r="I10" s="7" t="str">
        <f>IFERROR(INDEX('Task Master'!$F:$F,MATCH($F10&amp;"||"&amp;$G10,'Task Master'!$K:$K,0)),"")</f>
        <v>Corrective</v>
      </c>
      <c r="J10" s="7">
        <f>IFERROR(INDEX('Task Master'!$H:$H,MATCH($F10&amp;"||"&amp;$G10,'Task Master'!$K:$K,0)),"")</f>
        <v>6</v>
      </c>
      <c r="K10" s="8">
        <v>6</v>
      </c>
      <c r="L10" s="8">
        <v>2</v>
      </c>
      <c r="M10" s="8">
        <v>250</v>
      </c>
      <c r="N10" s="15">
        <f t="shared" si="1"/>
        <v>3000</v>
      </c>
      <c r="O10" s="8" t="s">
        <v>1581</v>
      </c>
      <c r="P10" s="8">
        <v>1</v>
      </c>
      <c r="Q10" s="10">
        <v>4200</v>
      </c>
      <c r="R10" s="15">
        <f t="shared" si="2"/>
        <v>4200</v>
      </c>
      <c r="S10" s="8"/>
      <c r="T10" s="8"/>
      <c r="U10" s="10"/>
      <c r="V10" s="15">
        <f t="shared" si="3"/>
        <v>0</v>
      </c>
      <c r="W10" s="8"/>
      <c r="X10" s="8"/>
      <c r="Y10" s="10"/>
      <c r="Z10" s="15">
        <f t="shared" si="4"/>
        <v>0</v>
      </c>
      <c r="AA10" s="10">
        <v>0</v>
      </c>
      <c r="AB10" s="15">
        <f t="shared" si="5"/>
        <v>4200</v>
      </c>
      <c r="AC10" s="15">
        <f t="shared" si="6"/>
        <v>7200</v>
      </c>
      <c r="AD10" s="15">
        <f t="shared" si="7"/>
        <v>1200</v>
      </c>
      <c r="AE10" s="8" t="s">
        <v>1582</v>
      </c>
      <c r="AF10" t="str">
        <f>IFERROR(INDEX('Task Master'!$D:$D,MATCH($F10,'Task Master'!$C:$C,0)),"")</f>
        <v>Loader</v>
      </c>
    </row>
    <row r="11" spans="1:32" x14ac:dyDescent="0.25">
      <c r="A11" s="7">
        <f t="shared" si="0"/>
        <v>10</v>
      </c>
      <c r="B11" s="11" t="s">
        <v>1534</v>
      </c>
      <c r="C11" s="12" t="s">
        <v>1502</v>
      </c>
      <c r="D11" s="7" t="str">
        <f>IFERROR(INDEX('Asset Register'!$B:$B,MATCH($C11,'Asset Register'!$A:$A,0)),"")</f>
        <v>Standby Generator 150KVA</v>
      </c>
      <c r="E11" s="12" t="s">
        <v>1190</v>
      </c>
      <c r="F11" s="12" t="s">
        <v>1191</v>
      </c>
      <c r="G11" s="12" t="s">
        <v>1194</v>
      </c>
      <c r="H11" s="7" t="str">
        <f>IFERROR(INDEX('Task Master'!$E:$E,MATCH($F11&amp;"||"&amp;$G11,'Task Master'!$K:$K,0)),"")</f>
        <v>II. Every 250 Service Hours or Monthly</v>
      </c>
      <c r="I11" s="7" t="str">
        <f>IFERROR(INDEX('Task Master'!$F:$F,MATCH($F11&amp;"||"&amp;$G11,'Task Master'!$K:$K,0)),"")</f>
        <v>Preventive</v>
      </c>
      <c r="J11" s="7">
        <f>IFERROR(INDEX('Task Master'!$H:$H,MATCH($F11&amp;"||"&amp;$G11,'Task Master'!$K:$K,0)),"")</f>
        <v>2</v>
      </c>
      <c r="K11" s="8">
        <v>2</v>
      </c>
      <c r="L11" s="8">
        <v>2</v>
      </c>
      <c r="M11" s="8">
        <v>180</v>
      </c>
      <c r="N11" s="15">
        <f t="shared" si="1"/>
        <v>720</v>
      </c>
      <c r="O11" s="8" t="s">
        <v>1583</v>
      </c>
      <c r="P11" s="8">
        <v>4</v>
      </c>
      <c r="Q11" s="10">
        <v>150</v>
      </c>
      <c r="R11" s="15">
        <f t="shared" si="2"/>
        <v>600</v>
      </c>
      <c r="S11" s="8" t="s">
        <v>1571</v>
      </c>
      <c r="T11" s="8">
        <v>1</v>
      </c>
      <c r="U11" s="10">
        <v>300</v>
      </c>
      <c r="V11" s="15">
        <f t="shared" si="3"/>
        <v>300</v>
      </c>
      <c r="W11" s="8"/>
      <c r="X11" s="8"/>
      <c r="Y11" s="10"/>
      <c r="Z11" s="15">
        <f t="shared" si="4"/>
        <v>0</v>
      </c>
      <c r="AA11" s="10">
        <v>0</v>
      </c>
      <c r="AB11" s="15">
        <f t="shared" si="5"/>
        <v>900</v>
      </c>
      <c r="AC11" s="15">
        <f t="shared" si="6"/>
        <v>1620</v>
      </c>
      <c r="AD11" s="15">
        <f t="shared" si="7"/>
        <v>810</v>
      </c>
      <c r="AE11" s="8" t="s">
        <v>1584</v>
      </c>
      <c r="AF11" t="str">
        <f>IFERROR(INDEX('Task Master'!$D:$D,MATCH($F11,'Task Master'!$C:$C,0)),"")</f>
        <v>Generator</v>
      </c>
    </row>
    <row r="12" spans="1:32" x14ac:dyDescent="0.25">
      <c r="A12" s="7">
        <f t="shared" si="0"/>
        <v>11</v>
      </c>
      <c r="B12" s="11" t="s">
        <v>1534</v>
      </c>
      <c r="C12" s="12" t="s">
        <v>1505</v>
      </c>
      <c r="D12" s="7" t="str">
        <f>IFERROR(INDEX('Asset Register'!$B:$B,MATCH($C12,'Asset Register'!$A:$A,0)),"")</f>
        <v>Air Compressor Unit 1</v>
      </c>
      <c r="E12" s="12" t="s">
        <v>1190</v>
      </c>
      <c r="F12" s="12" t="s">
        <v>1259</v>
      </c>
      <c r="G12" s="12" t="s">
        <v>1272</v>
      </c>
      <c r="H12" s="7" t="str">
        <f>IFERROR(INDEX('Task Master'!$E:$E,MATCH($F12&amp;"||"&amp;$G12,'Task Master'!$K:$K,0)),"")</f>
        <v>III. Every 500 Service Hours or 3 months</v>
      </c>
      <c r="I12" s="7" t="str">
        <f>IFERROR(INDEX('Task Master'!$F:$F,MATCH($F12&amp;"||"&amp;$G12,'Task Master'!$K:$K,0)),"")</f>
        <v>Preventive</v>
      </c>
      <c r="J12" s="7">
        <f>IFERROR(INDEX('Task Master'!$H:$H,MATCH($F12&amp;"||"&amp;$G12,'Task Master'!$K:$K,0)),"")</f>
        <v>1.5</v>
      </c>
      <c r="K12" s="8">
        <v>1.5</v>
      </c>
      <c r="L12" s="8">
        <v>2</v>
      </c>
      <c r="M12" s="8">
        <v>180</v>
      </c>
      <c r="N12" s="15">
        <f t="shared" si="1"/>
        <v>540</v>
      </c>
      <c r="O12" s="8" t="s">
        <v>1585</v>
      </c>
      <c r="P12" s="8">
        <v>4</v>
      </c>
      <c r="Q12" s="10">
        <v>150</v>
      </c>
      <c r="R12" s="15">
        <f t="shared" si="2"/>
        <v>600</v>
      </c>
      <c r="S12" s="8"/>
      <c r="T12" s="8"/>
      <c r="U12" s="10"/>
      <c r="V12" s="15">
        <f t="shared" si="3"/>
        <v>0</v>
      </c>
      <c r="W12" s="8"/>
      <c r="X12" s="8"/>
      <c r="Y12" s="10"/>
      <c r="Z12" s="15">
        <f t="shared" si="4"/>
        <v>0</v>
      </c>
      <c r="AA12" s="10">
        <v>0</v>
      </c>
      <c r="AB12" s="15">
        <f t="shared" si="5"/>
        <v>600</v>
      </c>
      <c r="AC12" s="15">
        <f t="shared" si="6"/>
        <v>1140</v>
      </c>
      <c r="AD12" s="15">
        <f t="shared" si="7"/>
        <v>760</v>
      </c>
      <c r="AE12" s="8" t="s">
        <v>1586</v>
      </c>
      <c r="AF12" t="str">
        <f>IFERROR(INDEX('Task Master'!$D:$D,MATCH($F12,'Task Master'!$C:$C,0)),"")</f>
        <v>Air_Compressor</v>
      </c>
    </row>
    <row r="13" spans="1:32" x14ac:dyDescent="0.25">
      <c r="A13" s="7">
        <f t="shared" si="0"/>
        <v>12</v>
      </c>
      <c r="B13" s="11" t="s">
        <v>1587</v>
      </c>
      <c r="C13" s="12" t="s">
        <v>1494</v>
      </c>
      <c r="D13" s="7" t="str">
        <f>IFERROR(INDEX('Asset Register'!$B:$B,MATCH($C13,'Asset Register'!$A:$A,0)),"")</f>
        <v>Sedan Pool Car</v>
      </c>
      <c r="E13" s="12" t="s">
        <v>46</v>
      </c>
      <c r="F13" s="12" t="s">
        <v>47</v>
      </c>
      <c r="G13" s="12" t="s">
        <v>93</v>
      </c>
      <c r="H13" s="7" t="str">
        <f>IFERROR(INDEX('Task Master'!$E:$E,MATCH($F13&amp;"||"&amp;$G13,'Task Master'!$K:$K,0)),"")</f>
        <v>III. General Service C = 20,000 KM</v>
      </c>
      <c r="I13" s="7" t="str">
        <f>IFERROR(INDEX('Task Master'!$F:$F,MATCH($F13&amp;"||"&amp;$G13,'Task Master'!$K:$K,0)),"")</f>
        <v>Preventive</v>
      </c>
      <c r="J13" s="7">
        <f>IFERROR(INDEX('Task Master'!$H:$H,MATCH($F13&amp;"||"&amp;$G13,'Task Master'!$K:$K,0)),"")</f>
        <v>1</v>
      </c>
      <c r="K13" s="8">
        <v>1</v>
      </c>
      <c r="L13" s="8">
        <v>1</v>
      </c>
      <c r="M13" s="8">
        <v>150</v>
      </c>
      <c r="N13" s="15">
        <f t="shared" si="1"/>
        <v>150</v>
      </c>
      <c r="O13" s="8" t="s">
        <v>1588</v>
      </c>
      <c r="P13" s="8">
        <v>4</v>
      </c>
      <c r="Q13" s="10">
        <v>75</v>
      </c>
      <c r="R13" s="15">
        <f t="shared" si="2"/>
        <v>300</v>
      </c>
      <c r="S13" s="8"/>
      <c r="T13" s="8"/>
      <c r="U13" s="10"/>
      <c r="V13" s="15">
        <f t="shared" si="3"/>
        <v>0</v>
      </c>
      <c r="W13" s="8"/>
      <c r="X13" s="8"/>
      <c r="Y13" s="10"/>
      <c r="Z13" s="15">
        <f t="shared" si="4"/>
        <v>0</v>
      </c>
      <c r="AA13" s="10">
        <v>0</v>
      </c>
      <c r="AB13" s="15">
        <f t="shared" si="5"/>
        <v>300</v>
      </c>
      <c r="AC13" s="15">
        <f t="shared" si="6"/>
        <v>450</v>
      </c>
      <c r="AD13" s="15">
        <f t="shared" si="7"/>
        <v>450</v>
      </c>
      <c r="AE13" s="8" t="s">
        <v>1589</v>
      </c>
      <c r="AF13" t="str">
        <f>IFERROR(INDEX('Task Master'!$D:$D,MATCH($F13,'Task Master'!$C:$C,0)),"")</f>
        <v>Automobile</v>
      </c>
    </row>
    <row r="14" spans="1:32" x14ac:dyDescent="0.25">
      <c r="A14" s="7">
        <f t="shared" si="0"/>
        <v>13</v>
      </c>
      <c r="B14" s="11" t="s">
        <v>1587</v>
      </c>
      <c r="C14" s="12" t="s">
        <v>1476</v>
      </c>
      <c r="D14" s="7" t="str">
        <f>IFERROR(INDEX('Asset Register'!$B:$B,MATCH($C14,'Asset Register'!$A:$A,0)),"")</f>
        <v>Bull Dozer (CAT)</v>
      </c>
      <c r="E14" s="12" t="s">
        <v>881</v>
      </c>
      <c r="F14" s="12" t="s">
        <v>976</v>
      </c>
      <c r="G14" s="12" t="s">
        <v>998</v>
      </c>
      <c r="H14" s="7" t="str">
        <f>IFERROR(INDEX('Task Master'!$E:$E,MATCH($F14&amp;"||"&amp;$G14,'Task Master'!$K:$K,0)),"")</f>
        <v>I. Hydraulic and Power Train System</v>
      </c>
      <c r="I14" s="7" t="str">
        <f>IFERROR(INDEX('Task Master'!$F:$F,MATCH($F14&amp;"||"&amp;$G14,'Task Master'!$K:$K,0)),"")</f>
        <v>Corrective</v>
      </c>
      <c r="J14" s="7">
        <f>IFERROR(INDEX('Task Master'!$H:$H,MATCH($F14&amp;"||"&amp;$G14,'Task Master'!$K:$K,0)),"")</f>
        <v>9</v>
      </c>
      <c r="K14" s="8">
        <v>9</v>
      </c>
      <c r="L14" s="8">
        <v>2</v>
      </c>
      <c r="M14" s="8">
        <v>250</v>
      </c>
      <c r="N14" s="15">
        <f t="shared" si="1"/>
        <v>4500</v>
      </c>
      <c r="O14" s="8" t="s">
        <v>1590</v>
      </c>
      <c r="P14" s="8">
        <v>1</v>
      </c>
      <c r="Q14" s="10">
        <v>4500</v>
      </c>
      <c r="R14" s="15">
        <f t="shared" si="2"/>
        <v>4500</v>
      </c>
      <c r="S14" s="8"/>
      <c r="T14" s="8"/>
      <c r="U14" s="10"/>
      <c r="V14" s="15">
        <f t="shared" si="3"/>
        <v>0</v>
      </c>
      <c r="W14" s="8"/>
      <c r="X14" s="8"/>
      <c r="Y14" s="10"/>
      <c r="Z14" s="15">
        <f t="shared" si="4"/>
        <v>0</v>
      </c>
      <c r="AA14" s="10">
        <v>0</v>
      </c>
      <c r="AB14" s="15">
        <f t="shared" si="5"/>
        <v>4500</v>
      </c>
      <c r="AC14" s="15">
        <f t="shared" si="6"/>
        <v>9000</v>
      </c>
      <c r="AD14" s="15">
        <f t="shared" si="7"/>
        <v>1000</v>
      </c>
      <c r="AE14" s="8" t="s">
        <v>1591</v>
      </c>
      <c r="AF14" t="str">
        <f>IFERROR(INDEX('Task Master'!$D:$D,MATCH($F14,'Task Master'!$C:$C,0)),"")</f>
        <v>Dozer</v>
      </c>
    </row>
    <row r="15" spans="1:32" x14ac:dyDescent="0.25">
      <c r="A15" s="7">
        <f t="shared" si="0"/>
        <v>14</v>
      </c>
      <c r="B15" s="11" t="s">
        <v>1587</v>
      </c>
      <c r="C15" s="12" t="s">
        <v>1508</v>
      </c>
      <c r="D15" s="7" t="str">
        <f>IFERROR(INDEX('Asset Register'!$B:$B,MATCH($C15,'Asset Register'!$A:$A,0)),"")</f>
        <v>Heavy Fuel Tanker</v>
      </c>
      <c r="E15" s="12" t="s">
        <v>657</v>
      </c>
      <c r="F15" s="12" t="s">
        <v>658</v>
      </c>
      <c r="G15" s="12" t="s">
        <v>91</v>
      </c>
      <c r="H15" s="7" t="str">
        <f>IFERROR(INDEX('Task Master'!$E:$E,MATCH($F15&amp;"||"&amp;$G15,'Task Master'!$K:$K,0)),"")</f>
        <v>III. General Service C = 20,000 KM</v>
      </c>
      <c r="I15" s="7" t="str">
        <f>IFERROR(INDEX('Task Master'!$F:$F,MATCH($F15&amp;"||"&amp;$G15,'Task Master'!$K:$K,0)),"")</f>
        <v>Preventive</v>
      </c>
      <c r="J15" s="7">
        <f>IFERROR(INDEX('Task Master'!$H:$H,MATCH($F15&amp;"||"&amp;$G15,'Task Master'!$K:$K,0)),"")</f>
        <v>3</v>
      </c>
      <c r="K15" s="8">
        <v>3</v>
      </c>
      <c r="L15" s="8">
        <v>2</v>
      </c>
      <c r="M15" s="8">
        <v>220</v>
      </c>
      <c r="N15" s="15">
        <f t="shared" si="1"/>
        <v>1320</v>
      </c>
      <c r="O15" s="8" t="s">
        <v>1592</v>
      </c>
      <c r="P15" s="8">
        <v>8</v>
      </c>
      <c r="Q15" s="10">
        <v>200</v>
      </c>
      <c r="R15" s="15">
        <f t="shared" si="2"/>
        <v>1600</v>
      </c>
      <c r="S15" s="8" t="s">
        <v>1593</v>
      </c>
      <c r="T15" s="8">
        <v>4</v>
      </c>
      <c r="U15" s="10">
        <v>200</v>
      </c>
      <c r="V15" s="15">
        <f t="shared" si="3"/>
        <v>800</v>
      </c>
      <c r="W15" s="8"/>
      <c r="X15" s="8"/>
      <c r="Y15" s="10"/>
      <c r="Z15" s="15">
        <f t="shared" si="4"/>
        <v>0</v>
      </c>
      <c r="AA15" s="10">
        <v>200</v>
      </c>
      <c r="AB15" s="15">
        <f t="shared" si="5"/>
        <v>2400</v>
      </c>
      <c r="AC15" s="15">
        <f t="shared" si="6"/>
        <v>3920</v>
      </c>
      <c r="AD15" s="15">
        <f t="shared" si="7"/>
        <v>1306.6666666666667</v>
      </c>
      <c r="AE15" s="8" t="s">
        <v>1594</v>
      </c>
      <c r="AF15" t="str">
        <f>IFERROR(INDEX('Task Master'!$D:$D,MATCH($F15,'Task Master'!$C:$C,0)),"")</f>
        <v>Heavy_Truck</v>
      </c>
    </row>
    <row r="16" spans="1:32" x14ac:dyDescent="0.25">
      <c r="A16" s="7">
        <f t="shared" si="0"/>
        <v>15</v>
      </c>
      <c r="B16" s="11" t="s">
        <v>1587</v>
      </c>
      <c r="C16" s="12" t="s">
        <v>1511</v>
      </c>
      <c r="D16" s="7" t="str">
        <f>IFERROR(INDEX('Asset Register'!$B:$B,MATCH($C16,'Asset Register'!$A:$A,0)),"")</f>
        <v>Site Electrical Panel</v>
      </c>
      <c r="E16" s="12" t="s">
        <v>1190</v>
      </c>
      <c r="F16" s="12" t="s">
        <v>1336</v>
      </c>
      <c r="G16" s="12" t="s">
        <v>1361</v>
      </c>
      <c r="H16" s="7" t="str">
        <f>IFERROR(INDEX('Task Master'!$E:$E,MATCH($F16&amp;"||"&amp;$G16,'Task Master'!$K:$K,0)),"")</f>
        <v>II. Chassis Electrical Repair</v>
      </c>
      <c r="I16" s="7" t="str">
        <f>IFERROR(INDEX('Task Master'!$F:$F,MATCH($F16&amp;"||"&amp;$G16,'Task Master'!$K:$K,0)),"")</f>
        <v>Corrective</v>
      </c>
      <c r="J16" s="7">
        <f>IFERROR(INDEX('Task Master'!$H:$H,MATCH($F16&amp;"||"&amp;$G16,'Task Master'!$K:$K,0)),"")</f>
        <v>1</v>
      </c>
      <c r="K16" s="8">
        <v>1</v>
      </c>
      <c r="L16" s="8">
        <v>1</v>
      </c>
      <c r="M16" s="8">
        <v>180</v>
      </c>
      <c r="N16" s="15">
        <f t="shared" si="1"/>
        <v>180</v>
      </c>
      <c r="O16" s="8" t="s">
        <v>1595</v>
      </c>
      <c r="P16" s="8">
        <v>1</v>
      </c>
      <c r="Q16" s="10">
        <v>150</v>
      </c>
      <c r="R16" s="15">
        <f t="shared" si="2"/>
        <v>150</v>
      </c>
      <c r="S16" s="8"/>
      <c r="T16" s="8"/>
      <c r="U16" s="10"/>
      <c r="V16" s="15">
        <f t="shared" si="3"/>
        <v>0</v>
      </c>
      <c r="W16" s="8"/>
      <c r="X16" s="8"/>
      <c r="Y16" s="10"/>
      <c r="Z16" s="15">
        <f t="shared" si="4"/>
        <v>0</v>
      </c>
      <c r="AA16" s="10">
        <v>0</v>
      </c>
      <c r="AB16" s="15">
        <f t="shared" si="5"/>
        <v>150</v>
      </c>
      <c r="AC16" s="15">
        <f t="shared" si="6"/>
        <v>330</v>
      </c>
      <c r="AD16" s="15">
        <f t="shared" si="7"/>
        <v>330</v>
      </c>
      <c r="AE16" s="8" t="s">
        <v>1596</v>
      </c>
      <c r="AF16" t="str">
        <f>IFERROR(INDEX('Task Master'!$D:$D,MATCH($F16,'Task Master'!$C:$C,0)),"")</f>
        <v>Electrical_Electronics</v>
      </c>
    </row>
    <row r="17" spans="1:32" x14ac:dyDescent="0.25">
      <c r="A17" t="str">
        <f t="shared" si="0"/>
        <v/>
      </c>
      <c r="B17" s="16"/>
      <c r="D17" t="str">
        <f>IF($C17="","",IFERROR(INDEX('Asset Register'!$B:$B,MATCH($C17,'Asset Register'!$A:$A,0)),""))</f>
        <v/>
      </c>
      <c r="H17" t="str">
        <f>IFERROR(INDEX('Task Master'!$E:$E,MATCH($F17&amp;"||"&amp;$G17,'Task Master'!$K:$K,0)),"")</f>
        <v/>
      </c>
      <c r="I17" t="str">
        <f>IFERROR(INDEX('Task Master'!$F:$F,MATCH($F17&amp;"||"&amp;$G17,'Task Master'!$K:$K,0)),"")</f>
        <v/>
      </c>
      <c r="J17" t="str">
        <f>IFERROR(INDEX('Task Master'!$H:$H,MATCH($F17&amp;"||"&amp;$G17,'Task Master'!$K:$K,0)),"")</f>
        <v/>
      </c>
      <c r="N17" s="18" t="str">
        <f t="shared" si="1"/>
        <v/>
      </c>
      <c r="R17" s="18">
        <f t="shared" si="2"/>
        <v>0</v>
      </c>
      <c r="V17" s="18">
        <f t="shared" si="3"/>
        <v>0</v>
      </c>
      <c r="Z17" s="18">
        <f t="shared" si="4"/>
        <v>0</v>
      </c>
      <c r="AA17" s="18"/>
      <c r="AB17" s="18">
        <f t="shared" si="5"/>
        <v>0</v>
      </c>
      <c r="AC17" s="18" t="str">
        <f t="shared" si="6"/>
        <v/>
      </c>
      <c r="AD17" s="18" t="str">
        <f t="shared" si="7"/>
        <v/>
      </c>
      <c r="AF17" t="str">
        <f>IFERROR(INDEX('Task Master'!$D:$D,MATCH($F17,'Task Master'!$C:$C,0)),"")</f>
        <v/>
      </c>
    </row>
    <row r="18" spans="1:32" x14ac:dyDescent="0.25">
      <c r="A18" t="str">
        <f t="shared" si="0"/>
        <v/>
      </c>
      <c r="B18" s="16"/>
      <c r="D18" t="str">
        <f>IF($C18="","",IFERROR(INDEX('Asset Register'!$B:$B,MATCH($C18,'Asset Register'!$A:$A,0)),""))</f>
        <v/>
      </c>
      <c r="H18" t="str">
        <f>IFERROR(INDEX('Task Master'!$E:$E,MATCH($F18&amp;"||"&amp;$G18,'Task Master'!$K:$K,0)),"")</f>
        <v/>
      </c>
      <c r="I18" t="str">
        <f>IFERROR(INDEX('Task Master'!$F:$F,MATCH($F18&amp;"||"&amp;$G18,'Task Master'!$K:$K,0)),"")</f>
        <v/>
      </c>
      <c r="J18" t="str">
        <f>IFERROR(INDEX('Task Master'!$H:$H,MATCH($F18&amp;"||"&amp;$G18,'Task Master'!$K:$K,0)),"")</f>
        <v/>
      </c>
      <c r="N18" s="18" t="str">
        <f t="shared" si="1"/>
        <v/>
      </c>
      <c r="R18" s="18">
        <f t="shared" si="2"/>
        <v>0</v>
      </c>
      <c r="V18" s="18">
        <f t="shared" si="3"/>
        <v>0</v>
      </c>
      <c r="Z18" s="18">
        <f t="shared" si="4"/>
        <v>0</v>
      </c>
      <c r="AA18" s="18"/>
      <c r="AB18" s="18">
        <f t="shared" si="5"/>
        <v>0</v>
      </c>
      <c r="AC18" s="18" t="str">
        <f t="shared" si="6"/>
        <v/>
      </c>
      <c r="AD18" s="18" t="str">
        <f t="shared" si="7"/>
        <v/>
      </c>
      <c r="AF18" t="str">
        <f>IFERROR(INDEX('Task Master'!$D:$D,MATCH($F18,'Task Master'!$C:$C,0)),"")</f>
        <v/>
      </c>
    </row>
    <row r="19" spans="1:32" x14ac:dyDescent="0.25">
      <c r="A19" t="str">
        <f t="shared" si="0"/>
        <v/>
      </c>
      <c r="B19" s="16"/>
      <c r="D19" t="str">
        <f>IF($C19="","",IFERROR(INDEX('Asset Register'!$B:$B,MATCH($C19,'Asset Register'!$A:$A,0)),""))</f>
        <v/>
      </c>
      <c r="H19" t="str">
        <f>IFERROR(INDEX('Task Master'!$E:$E,MATCH($F19&amp;"||"&amp;$G19,'Task Master'!$K:$K,0)),"")</f>
        <v/>
      </c>
      <c r="I19" t="str">
        <f>IFERROR(INDEX('Task Master'!$F:$F,MATCH($F19&amp;"||"&amp;$G19,'Task Master'!$K:$K,0)),"")</f>
        <v/>
      </c>
      <c r="J19" t="str">
        <f>IFERROR(INDEX('Task Master'!$H:$H,MATCH($F19&amp;"||"&amp;$G19,'Task Master'!$K:$K,0)),"")</f>
        <v/>
      </c>
      <c r="N19" s="18" t="str">
        <f t="shared" si="1"/>
        <v/>
      </c>
      <c r="R19" s="18">
        <f t="shared" si="2"/>
        <v>0</v>
      </c>
      <c r="V19" s="18">
        <f t="shared" si="3"/>
        <v>0</v>
      </c>
      <c r="Z19" s="18">
        <f t="shared" si="4"/>
        <v>0</v>
      </c>
      <c r="AA19" s="18"/>
      <c r="AB19" s="18">
        <f t="shared" si="5"/>
        <v>0</v>
      </c>
      <c r="AC19" s="18" t="str">
        <f t="shared" si="6"/>
        <v/>
      </c>
      <c r="AD19" s="18" t="str">
        <f t="shared" si="7"/>
        <v/>
      </c>
      <c r="AF19" t="str">
        <f>IFERROR(INDEX('Task Master'!$D:$D,MATCH($F19,'Task Master'!$C:$C,0)),"")</f>
        <v/>
      </c>
    </row>
    <row r="20" spans="1:32" x14ac:dyDescent="0.25">
      <c r="A20" t="str">
        <f t="shared" si="0"/>
        <v/>
      </c>
      <c r="B20" s="16"/>
      <c r="D20" t="str">
        <f>IF($C20="","",IFERROR(INDEX('Asset Register'!$B:$B,MATCH($C20,'Asset Register'!$A:$A,0)),""))</f>
        <v/>
      </c>
      <c r="H20" t="str">
        <f>IFERROR(INDEX('Task Master'!$E:$E,MATCH($F20&amp;"||"&amp;$G20,'Task Master'!$K:$K,0)),"")</f>
        <v/>
      </c>
      <c r="I20" t="str">
        <f>IFERROR(INDEX('Task Master'!$F:$F,MATCH($F20&amp;"||"&amp;$G20,'Task Master'!$K:$K,0)),"")</f>
        <v/>
      </c>
      <c r="J20" t="str">
        <f>IFERROR(INDEX('Task Master'!$H:$H,MATCH($F20&amp;"||"&amp;$G20,'Task Master'!$K:$K,0)),"")</f>
        <v/>
      </c>
      <c r="N20" s="18" t="str">
        <f t="shared" si="1"/>
        <v/>
      </c>
      <c r="R20" s="18">
        <f t="shared" si="2"/>
        <v>0</v>
      </c>
      <c r="V20" s="18">
        <f t="shared" si="3"/>
        <v>0</v>
      </c>
      <c r="Z20" s="18">
        <f t="shared" si="4"/>
        <v>0</v>
      </c>
      <c r="AA20" s="18"/>
      <c r="AB20" s="18">
        <f t="shared" si="5"/>
        <v>0</v>
      </c>
      <c r="AC20" s="18" t="str">
        <f t="shared" si="6"/>
        <v/>
      </c>
      <c r="AD20" s="18" t="str">
        <f t="shared" si="7"/>
        <v/>
      </c>
      <c r="AF20" t="str">
        <f>IFERROR(INDEX('Task Master'!$D:$D,MATCH($F20,'Task Master'!$C:$C,0)),"")</f>
        <v/>
      </c>
    </row>
    <row r="21" spans="1:32" x14ac:dyDescent="0.25">
      <c r="A21" t="str">
        <f t="shared" si="0"/>
        <v/>
      </c>
      <c r="B21" s="16"/>
      <c r="D21" t="str">
        <f>IF($C21="","",IFERROR(INDEX('Asset Register'!$B:$B,MATCH($C21,'Asset Register'!$A:$A,0)),""))</f>
        <v/>
      </c>
      <c r="H21" t="str">
        <f>IFERROR(INDEX('Task Master'!$E:$E,MATCH($F21&amp;"||"&amp;$G21,'Task Master'!$K:$K,0)),"")</f>
        <v/>
      </c>
      <c r="I21" t="str">
        <f>IFERROR(INDEX('Task Master'!$F:$F,MATCH($F21&amp;"||"&amp;$G21,'Task Master'!$K:$K,0)),"")</f>
        <v/>
      </c>
      <c r="J21" t="str">
        <f>IFERROR(INDEX('Task Master'!$H:$H,MATCH($F21&amp;"||"&amp;$G21,'Task Master'!$K:$K,0)),"")</f>
        <v/>
      </c>
      <c r="N21" s="18" t="str">
        <f t="shared" si="1"/>
        <v/>
      </c>
      <c r="R21" s="18">
        <f t="shared" si="2"/>
        <v>0</v>
      </c>
      <c r="V21" s="18">
        <f t="shared" si="3"/>
        <v>0</v>
      </c>
      <c r="Z21" s="18">
        <f t="shared" si="4"/>
        <v>0</v>
      </c>
      <c r="AA21" s="18"/>
      <c r="AB21" s="18">
        <f t="shared" si="5"/>
        <v>0</v>
      </c>
      <c r="AC21" s="18" t="str">
        <f t="shared" si="6"/>
        <v/>
      </c>
      <c r="AD21" s="18" t="str">
        <f t="shared" si="7"/>
        <v/>
      </c>
      <c r="AF21" t="str">
        <f>IFERROR(INDEX('Task Master'!$D:$D,MATCH($F21,'Task Master'!$C:$C,0)),"")</f>
        <v/>
      </c>
    </row>
    <row r="22" spans="1:32" x14ac:dyDescent="0.25">
      <c r="A22" t="str">
        <f t="shared" si="0"/>
        <v/>
      </c>
      <c r="B22" s="16"/>
      <c r="D22" t="str">
        <f>IF($C22="","",IFERROR(INDEX('Asset Register'!$B:$B,MATCH($C22,'Asset Register'!$A:$A,0)),""))</f>
        <v/>
      </c>
      <c r="H22" t="str">
        <f>IFERROR(INDEX('Task Master'!$E:$E,MATCH($F22&amp;"||"&amp;$G22,'Task Master'!$K:$K,0)),"")</f>
        <v/>
      </c>
      <c r="I22" t="str">
        <f>IFERROR(INDEX('Task Master'!$F:$F,MATCH($F22&amp;"||"&amp;$G22,'Task Master'!$K:$K,0)),"")</f>
        <v/>
      </c>
      <c r="J22" t="str">
        <f>IFERROR(INDEX('Task Master'!$H:$H,MATCH($F22&amp;"||"&amp;$G22,'Task Master'!$K:$K,0)),"")</f>
        <v/>
      </c>
      <c r="N22" s="18" t="str">
        <f t="shared" si="1"/>
        <v/>
      </c>
      <c r="R22" s="18">
        <f t="shared" si="2"/>
        <v>0</v>
      </c>
      <c r="V22" s="18">
        <f t="shared" si="3"/>
        <v>0</v>
      </c>
      <c r="Z22" s="18">
        <f t="shared" si="4"/>
        <v>0</v>
      </c>
      <c r="AA22" s="18"/>
      <c r="AB22" s="18">
        <f t="shared" si="5"/>
        <v>0</v>
      </c>
      <c r="AC22" s="18" t="str">
        <f t="shared" si="6"/>
        <v/>
      </c>
      <c r="AD22" s="18" t="str">
        <f t="shared" si="7"/>
        <v/>
      </c>
      <c r="AF22" t="str">
        <f>IFERROR(INDEX('Task Master'!$D:$D,MATCH($F22,'Task Master'!$C:$C,0)),"")</f>
        <v/>
      </c>
    </row>
    <row r="23" spans="1:32" x14ac:dyDescent="0.25">
      <c r="A23" t="str">
        <f t="shared" si="0"/>
        <v/>
      </c>
      <c r="B23" s="16"/>
      <c r="D23" t="str">
        <f>IF($C23="","",IFERROR(INDEX('Asset Register'!$B:$B,MATCH($C23,'Asset Register'!$A:$A,0)),""))</f>
        <v/>
      </c>
      <c r="H23" t="str">
        <f>IFERROR(INDEX('Task Master'!$E:$E,MATCH($F23&amp;"||"&amp;$G23,'Task Master'!$K:$K,0)),"")</f>
        <v/>
      </c>
      <c r="I23" t="str">
        <f>IFERROR(INDEX('Task Master'!$F:$F,MATCH($F23&amp;"||"&amp;$G23,'Task Master'!$K:$K,0)),"")</f>
        <v/>
      </c>
      <c r="J23" t="str">
        <f>IFERROR(INDEX('Task Master'!$H:$H,MATCH($F23&amp;"||"&amp;$G23,'Task Master'!$K:$K,0)),"")</f>
        <v/>
      </c>
      <c r="N23" s="18" t="str">
        <f t="shared" si="1"/>
        <v/>
      </c>
      <c r="R23" s="18">
        <f t="shared" si="2"/>
        <v>0</v>
      </c>
      <c r="V23" s="18">
        <f t="shared" si="3"/>
        <v>0</v>
      </c>
      <c r="Z23" s="18">
        <f t="shared" si="4"/>
        <v>0</v>
      </c>
      <c r="AA23" s="18"/>
      <c r="AB23" s="18">
        <f t="shared" si="5"/>
        <v>0</v>
      </c>
      <c r="AC23" s="18" t="str">
        <f t="shared" si="6"/>
        <v/>
      </c>
      <c r="AD23" s="18" t="str">
        <f t="shared" si="7"/>
        <v/>
      </c>
      <c r="AF23" t="str">
        <f>IFERROR(INDEX('Task Master'!$D:$D,MATCH($F23,'Task Master'!$C:$C,0)),"")</f>
        <v/>
      </c>
    </row>
    <row r="24" spans="1:32" x14ac:dyDescent="0.25">
      <c r="A24" t="str">
        <f t="shared" si="0"/>
        <v/>
      </c>
      <c r="B24" s="16"/>
      <c r="D24" t="str">
        <f>IF($C24="","",IFERROR(INDEX('Asset Register'!$B:$B,MATCH($C24,'Asset Register'!$A:$A,0)),""))</f>
        <v/>
      </c>
      <c r="H24" t="str">
        <f>IFERROR(INDEX('Task Master'!$E:$E,MATCH($F24&amp;"||"&amp;$G24,'Task Master'!$K:$K,0)),"")</f>
        <v/>
      </c>
      <c r="I24" t="str">
        <f>IFERROR(INDEX('Task Master'!$F:$F,MATCH($F24&amp;"||"&amp;$G24,'Task Master'!$K:$K,0)),"")</f>
        <v/>
      </c>
      <c r="J24" t="str">
        <f>IFERROR(INDEX('Task Master'!$H:$H,MATCH($F24&amp;"||"&amp;$G24,'Task Master'!$K:$K,0)),"")</f>
        <v/>
      </c>
      <c r="N24" s="18" t="str">
        <f t="shared" si="1"/>
        <v/>
      </c>
      <c r="R24" s="18">
        <f t="shared" si="2"/>
        <v>0</v>
      </c>
      <c r="V24" s="18">
        <f t="shared" si="3"/>
        <v>0</v>
      </c>
      <c r="Z24" s="18">
        <f t="shared" si="4"/>
        <v>0</v>
      </c>
      <c r="AA24" s="18"/>
      <c r="AB24" s="18">
        <f t="shared" si="5"/>
        <v>0</v>
      </c>
      <c r="AC24" s="18" t="str">
        <f t="shared" si="6"/>
        <v/>
      </c>
      <c r="AD24" s="18" t="str">
        <f t="shared" si="7"/>
        <v/>
      </c>
      <c r="AF24" t="str">
        <f>IFERROR(INDEX('Task Master'!$D:$D,MATCH($F24,'Task Master'!$C:$C,0)),"")</f>
        <v/>
      </c>
    </row>
    <row r="25" spans="1:32" x14ac:dyDescent="0.25">
      <c r="A25" t="str">
        <f t="shared" si="0"/>
        <v/>
      </c>
      <c r="B25" s="16"/>
      <c r="D25" t="str">
        <f>IF($C25="","",IFERROR(INDEX('Asset Register'!$B:$B,MATCH($C25,'Asset Register'!$A:$A,0)),""))</f>
        <v/>
      </c>
      <c r="H25" t="str">
        <f>IFERROR(INDEX('Task Master'!$E:$E,MATCH($F25&amp;"||"&amp;$G25,'Task Master'!$K:$K,0)),"")</f>
        <v/>
      </c>
      <c r="I25" t="str">
        <f>IFERROR(INDEX('Task Master'!$F:$F,MATCH($F25&amp;"||"&amp;$G25,'Task Master'!$K:$K,0)),"")</f>
        <v/>
      </c>
      <c r="J25" t="str">
        <f>IFERROR(INDEX('Task Master'!$H:$H,MATCH($F25&amp;"||"&amp;$G25,'Task Master'!$K:$K,0)),"")</f>
        <v/>
      </c>
      <c r="N25" s="18" t="str">
        <f t="shared" si="1"/>
        <v/>
      </c>
      <c r="R25" s="18">
        <f t="shared" si="2"/>
        <v>0</v>
      </c>
      <c r="V25" s="18">
        <f t="shared" si="3"/>
        <v>0</v>
      </c>
      <c r="Z25" s="18">
        <f t="shared" si="4"/>
        <v>0</v>
      </c>
      <c r="AA25" s="18"/>
      <c r="AB25" s="18">
        <f t="shared" si="5"/>
        <v>0</v>
      </c>
      <c r="AC25" s="18" t="str">
        <f t="shared" si="6"/>
        <v/>
      </c>
      <c r="AD25" s="18" t="str">
        <f t="shared" si="7"/>
        <v/>
      </c>
      <c r="AF25" t="str">
        <f>IFERROR(INDEX('Task Master'!$D:$D,MATCH($F25,'Task Master'!$C:$C,0)),"")</f>
        <v/>
      </c>
    </row>
    <row r="26" spans="1:32" x14ac:dyDescent="0.25">
      <c r="A26" t="str">
        <f t="shared" si="0"/>
        <v/>
      </c>
      <c r="B26" s="16"/>
      <c r="D26" t="str">
        <f>IF($C26="","",IFERROR(INDEX('Asset Register'!$B:$B,MATCH($C26,'Asset Register'!$A:$A,0)),""))</f>
        <v/>
      </c>
      <c r="H26" t="str">
        <f>IFERROR(INDEX('Task Master'!$E:$E,MATCH($F26&amp;"||"&amp;$G26,'Task Master'!$K:$K,0)),"")</f>
        <v/>
      </c>
      <c r="I26" t="str">
        <f>IFERROR(INDEX('Task Master'!$F:$F,MATCH($F26&amp;"||"&amp;$G26,'Task Master'!$K:$K,0)),"")</f>
        <v/>
      </c>
      <c r="J26" t="str">
        <f>IFERROR(INDEX('Task Master'!$H:$H,MATCH($F26&amp;"||"&amp;$G26,'Task Master'!$K:$K,0)),"")</f>
        <v/>
      </c>
      <c r="N26" s="18" t="str">
        <f t="shared" si="1"/>
        <v/>
      </c>
      <c r="R26" s="18">
        <f t="shared" si="2"/>
        <v>0</v>
      </c>
      <c r="V26" s="18">
        <f t="shared" si="3"/>
        <v>0</v>
      </c>
      <c r="Z26" s="18">
        <f t="shared" si="4"/>
        <v>0</v>
      </c>
      <c r="AA26" s="18"/>
      <c r="AB26" s="18">
        <f t="shared" si="5"/>
        <v>0</v>
      </c>
      <c r="AC26" s="18" t="str">
        <f t="shared" si="6"/>
        <v/>
      </c>
      <c r="AD26" s="18" t="str">
        <f t="shared" si="7"/>
        <v/>
      </c>
      <c r="AF26" t="str">
        <f>IFERROR(INDEX('Task Master'!$D:$D,MATCH($F26,'Task Master'!$C:$C,0)),"")</f>
        <v/>
      </c>
    </row>
    <row r="27" spans="1:32" x14ac:dyDescent="0.25">
      <c r="A27" t="str">
        <f t="shared" si="0"/>
        <v/>
      </c>
      <c r="B27" s="16"/>
      <c r="D27" t="str">
        <f>IF($C27="","",IFERROR(INDEX('Asset Register'!$B:$B,MATCH($C27,'Asset Register'!$A:$A,0)),""))</f>
        <v/>
      </c>
      <c r="H27" t="str">
        <f>IFERROR(INDEX('Task Master'!$E:$E,MATCH($F27&amp;"||"&amp;$G27,'Task Master'!$K:$K,0)),"")</f>
        <v/>
      </c>
      <c r="I27" t="str">
        <f>IFERROR(INDEX('Task Master'!$F:$F,MATCH($F27&amp;"||"&amp;$G27,'Task Master'!$K:$K,0)),"")</f>
        <v/>
      </c>
      <c r="J27" t="str">
        <f>IFERROR(INDEX('Task Master'!$H:$H,MATCH($F27&amp;"||"&amp;$G27,'Task Master'!$K:$K,0)),"")</f>
        <v/>
      </c>
      <c r="N27" s="18" t="str">
        <f t="shared" si="1"/>
        <v/>
      </c>
      <c r="R27" s="18">
        <f t="shared" si="2"/>
        <v>0</v>
      </c>
      <c r="V27" s="18">
        <f t="shared" si="3"/>
        <v>0</v>
      </c>
      <c r="Z27" s="18">
        <f t="shared" si="4"/>
        <v>0</v>
      </c>
      <c r="AA27" s="18"/>
      <c r="AB27" s="18">
        <f t="shared" si="5"/>
        <v>0</v>
      </c>
      <c r="AC27" s="18" t="str">
        <f t="shared" si="6"/>
        <v/>
      </c>
      <c r="AD27" s="18" t="str">
        <f t="shared" si="7"/>
        <v/>
      </c>
      <c r="AF27" t="str">
        <f>IFERROR(INDEX('Task Master'!$D:$D,MATCH($F27,'Task Master'!$C:$C,0)),"")</f>
        <v/>
      </c>
    </row>
    <row r="28" spans="1:32" x14ac:dyDescent="0.25">
      <c r="A28" t="str">
        <f t="shared" si="0"/>
        <v/>
      </c>
      <c r="B28" s="16"/>
      <c r="D28" t="str">
        <f>IF($C28="","",IFERROR(INDEX('Asset Register'!$B:$B,MATCH($C28,'Asset Register'!$A:$A,0)),""))</f>
        <v/>
      </c>
      <c r="H28" t="str">
        <f>IFERROR(INDEX('Task Master'!$E:$E,MATCH($F28&amp;"||"&amp;$G28,'Task Master'!$K:$K,0)),"")</f>
        <v/>
      </c>
      <c r="I28" t="str">
        <f>IFERROR(INDEX('Task Master'!$F:$F,MATCH($F28&amp;"||"&amp;$G28,'Task Master'!$K:$K,0)),"")</f>
        <v/>
      </c>
      <c r="J28" t="str">
        <f>IFERROR(INDEX('Task Master'!$H:$H,MATCH($F28&amp;"||"&amp;$G28,'Task Master'!$K:$K,0)),"")</f>
        <v/>
      </c>
      <c r="N28" s="18" t="str">
        <f t="shared" si="1"/>
        <v/>
      </c>
      <c r="R28" s="18">
        <f t="shared" si="2"/>
        <v>0</v>
      </c>
      <c r="V28" s="18">
        <f t="shared" si="3"/>
        <v>0</v>
      </c>
      <c r="Z28" s="18">
        <f t="shared" si="4"/>
        <v>0</v>
      </c>
      <c r="AA28" s="18"/>
      <c r="AB28" s="18">
        <f t="shared" si="5"/>
        <v>0</v>
      </c>
      <c r="AC28" s="18" t="str">
        <f t="shared" si="6"/>
        <v/>
      </c>
      <c r="AD28" s="18" t="str">
        <f t="shared" si="7"/>
        <v/>
      </c>
      <c r="AF28" t="str">
        <f>IFERROR(INDEX('Task Master'!$D:$D,MATCH($F28,'Task Master'!$C:$C,0)),"")</f>
        <v/>
      </c>
    </row>
    <row r="29" spans="1:32" x14ac:dyDescent="0.25">
      <c r="A29" t="str">
        <f t="shared" si="0"/>
        <v/>
      </c>
      <c r="B29" s="16"/>
      <c r="D29" t="str">
        <f>IF($C29="","",IFERROR(INDEX('Asset Register'!$B:$B,MATCH($C29,'Asset Register'!$A:$A,0)),""))</f>
        <v/>
      </c>
      <c r="H29" t="str">
        <f>IFERROR(INDEX('Task Master'!$E:$E,MATCH($F29&amp;"||"&amp;$G29,'Task Master'!$K:$K,0)),"")</f>
        <v/>
      </c>
      <c r="I29" t="str">
        <f>IFERROR(INDEX('Task Master'!$F:$F,MATCH($F29&amp;"||"&amp;$G29,'Task Master'!$K:$K,0)),"")</f>
        <v/>
      </c>
      <c r="J29" t="str">
        <f>IFERROR(INDEX('Task Master'!$H:$H,MATCH($F29&amp;"||"&amp;$G29,'Task Master'!$K:$K,0)),"")</f>
        <v/>
      </c>
      <c r="N29" s="18" t="str">
        <f t="shared" si="1"/>
        <v/>
      </c>
      <c r="R29" s="18">
        <f t="shared" si="2"/>
        <v>0</v>
      </c>
      <c r="V29" s="18">
        <f t="shared" si="3"/>
        <v>0</v>
      </c>
      <c r="Z29" s="18">
        <f t="shared" si="4"/>
        <v>0</v>
      </c>
      <c r="AA29" s="18"/>
      <c r="AB29" s="18">
        <f t="shared" si="5"/>
        <v>0</v>
      </c>
      <c r="AC29" s="18" t="str">
        <f t="shared" si="6"/>
        <v/>
      </c>
      <c r="AD29" s="18" t="str">
        <f t="shared" si="7"/>
        <v/>
      </c>
      <c r="AF29" t="str">
        <f>IFERROR(INDEX('Task Master'!$D:$D,MATCH($F29,'Task Master'!$C:$C,0)),"")</f>
        <v/>
      </c>
    </row>
    <row r="30" spans="1:32" x14ac:dyDescent="0.25">
      <c r="A30" t="str">
        <f t="shared" si="0"/>
        <v/>
      </c>
      <c r="B30" s="16"/>
      <c r="D30" t="str">
        <f>IF($C30="","",IFERROR(INDEX('Asset Register'!$B:$B,MATCH($C30,'Asset Register'!$A:$A,0)),""))</f>
        <v/>
      </c>
      <c r="H30" t="str">
        <f>IFERROR(INDEX('Task Master'!$E:$E,MATCH($F30&amp;"||"&amp;$G30,'Task Master'!$K:$K,0)),"")</f>
        <v/>
      </c>
      <c r="I30" t="str">
        <f>IFERROR(INDEX('Task Master'!$F:$F,MATCH($F30&amp;"||"&amp;$G30,'Task Master'!$K:$K,0)),"")</f>
        <v/>
      </c>
      <c r="J30" t="str">
        <f>IFERROR(INDEX('Task Master'!$H:$H,MATCH($F30&amp;"||"&amp;$G30,'Task Master'!$K:$K,0)),"")</f>
        <v/>
      </c>
      <c r="N30" s="18" t="str">
        <f t="shared" si="1"/>
        <v/>
      </c>
      <c r="R30" s="18">
        <f t="shared" si="2"/>
        <v>0</v>
      </c>
      <c r="V30" s="18">
        <f t="shared" si="3"/>
        <v>0</v>
      </c>
      <c r="Z30" s="18">
        <f t="shared" si="4"/>
        <v>0</v>
      </c>
      <c r="AA30" s="18"/>
      <c r="AB30" s="18">
        <f t="shared" si="5"/>
        <v>0</v>
      </c>
      <c r="AC30" s="18" t="str">
        <f t="shared" si="6"/>
        <v/>
      </c>
      <c r="AD30" s="18" t="str">
        <f t="shared" si="7"/>
        <v/>
      </c>
      <c r="AF30" t="str">
        <f>IFERROR(INDEX('Task Master'!$D:$D,MATCH($F30,'Task Master'!$C:$C,0)),"")</f>
        <v/>
      </c>
    </row>
    <row r="31" spans="1:32" x14ac:dyDescent="0.25">
      <c r="A31" t="str">
        <f t="shared" si="0"/>
        <v/>
      </c>
      <c r="B31" s="16"/>
      <c r="D31" t="str">
        <f>IF($C31="","",IFERROR(INDEX('Asset Register'!$B:$B,MATCH($C31,'Asset Register'!$A:$A,0)),""))</f>
        <v/>
      </c>
      <c r="H31" t="str">
        <f>IFERROR(INDEX('Task Master'!$E:$E,MATCH($F31&amp;"||"&amp;$G31,'Task Master'!$K:$K,0)),"")</f>
        <v/>
      </c>
      <c r="I31" t="str">
        <f>IFERROR(INDEX('Task Master'!$F:$F,MATCH($F31&amp;"||"&amp;$G31,'Task Master'!$K:$K,0)),"")</f>
        <v/>
      </c>
      <c r="J31" t="str">
        <f>IFERROR(INDEX('Task Master'!$H:$H,MATCH($F31&amp;"||"&amp;$G31,'Task Master'!$K:$K,0)),"")</f>
        <v/>
      </c>
      <c r="N31" s="18" t="str">
        <f t="shared" si="1"/>
        <v/>
      </c>
      <c r="R31" s="18">
        <f t="shared" si="2"/>
        <v>0</v>
      </c>
      <c r="V31" s="18">
        <f t="shared" si="3"/>
        <v>0</v>
      </c>
      <c r="Z31" s="18">
        <f t="shared" si="4"/>
        <v>0</v>
      </c>
      <c r="AA31" s="18"/>
      <c r="AB31" s="18">
        <f t="shared" si="5"/>
        <v>0</v>
      </c>
      <c r="AC31" s="18" t="str">
        <f t="shared" si="6"/>
        <v/>
      </c>
      <c r="AD31" s="18" t="str">
        <f t="shared" si="7"/>
        <v/>
      </c>
      <c r="AF31" t="str">
        <f>IFERROR(INDEX('Task Master'!$D:$D,MATCH($F31,'Task Master'!$C:$C,0)),"")</f>
        <v/>
      </c>
    </row>
    <row r="32" spans="1:32" x14ac:dyDescent="0.25">
      <c r="A32" t="str">
        <f t="shared" si="0"/>
        <v/>
      </c>
      <c r="B32" s="16"/>
      <c r="D32" t="str">
        <f>IF($C32="","",IFERROR(INDEX('Asset Register'!$B:$B,MATCH($C32,'Asset Register'!$A:$A,0)),""))</f>
        <v/>
      </c>
      <c r="H32" t="str">
        <f>IFERROR(INDEX('Task Master'!$E:$E,MATCH($F32&amp;"||"&amp;$G32,'Task Master'!$K:$K,0)),"")</f>
        <v/>
      </c>
      <c r="I32" t="str">
        <f>IFERROR(INDEX('Task Master'!$F:$F,MATCH($F32&amp;"||"&amp;$G32,'Task Master'!$K:$K,0)),"")</f>
        <v/>
      </c>
      <c r="J32" t="str">
        <f>IFERROR(INDEX('Task Master'!$H:$H,MATCH($F32&amp;"||"&amp;$G32,'Task Master'!$K:$K,0)),"")</f>
        <v/>
      </c>
      <c r="N32" s="18" t="str">
        <f t="shared" si="1"/>
        <v/>
      </c>
      <c r="R32" s="18">
        <f t="shared" si="2"/>
        <v>0</v>
      </c>
      <c r="V32" s="18">
        <f t="shared" si="3"/>
        <v>0</v>
      </c>
      <c r="Z32" s="18">
        <f t="shared" si="4"/>
        <v>0</v>
      </c>
      <c r="AA32" s="18"/>
      <c r="AB32" s="18">
        <f t="shared" si="5"/>
        <v>0</v>
      </c>
      <c r="AC32" s="18" t="str">
        <f t="shared" si="6"/>
        <v/>
      </c>
      <c r="AD32" s="18" t="str">
        <f t="shared" si="7"/>
        <v/>
      </c>
      <c r="AF32" t="str">
        <f>IFERROR(INDEX('Task Master'!$D:$D,MATCH($F32,'Task Master'!$C:$C,0)),"")</f>
        <v/>
      </c>
    </row>
    <row r="33" spans="1:32" x14ac:dyDescent="0.25">
      <c r="A33" t="str">
        <f t="shared" si="0"/>
        <v/>
      </c>
      <c r="B33" s="16"/>
      <c r="D33" t="str">
        <f>IF($C33="","",IFERROR(INDEX('Asset Register'!$B:$B,MATCH($C33,'Asset Register'!$A:$A,0)),""))</f>
        <v/>
      </c>
      <c r="H33" t="str">
        <f>IFERROR(INDEX('Task Master'!$E:$E,MATCH($F33&amp;"||"&amp;$G33,'Task Master'!$K:$K,0)),"")</f>
        <v/>
      </c>
      <c r="I33" t="str">
        <f>IFERROR(INDEX('Task Master'!$F:$F,MATCH($F33&amp;"||"&amp;$G33,'Task Master'!$K:$K,0)),"")</f>
        <v/>
      </c>
      <c r="J33" t="str">
        <f>IFERROR(INDEX('Task Master'!$H:$H,MATCH($F33&amp;"||"&amp;$G33,'Task Master'!$K:$K,0)),"")</f>
        <v/>
      </c>
      <c r="N33" s="18" t="str">
        <f t="shared" si="1"/>
        <v/>
      </c>
      <c r="R33" s="18">
        <f t="shared" si="2"/>
        <v>0</v>
      </c>
      <c r="V33" s="18">
        <f t="shared" si="3"/>
        <v>0</v>
      </c>
      <c r="Z33" s="18">
        <f t="shared" si="4"/>
        <v>0</v>
      </c>
      <c r="AA33" s="18"/>
      <c r="AB33" s="18">
        <f t="shared" si="5"/>
        <v>0</v>
      </c>
      <c r="AC33" s="18" t="str">
        <f t="shared" si="6"/>
        <v/>
      </c>
      <c r="AD33" s="18" t="str">
        <f t="shared" si="7"/>
        <v/>
      </c>
      <c r="AF33" t="str">
        <f>IFERROR(INDEX('Task Master'!$D:$D,MATCH($F33,'Task Master'!$C:$C,0)),"")</f>
        <v/>
      </c>
    </row>
    <row r="34" spans="1:32" x14ac:dyDescent="0.25">
      <c r="A34" t="str">
        <f t="shared" si="0"/>
        <v/>
      </c>
      <c r="B34" s="16"/>
      <c r="D34" t="str">
        <f>IF($C34="","",IFERROR(INDEX('Asset Register'!$B:$B,MATCH($C34,'Asset Register'!$A:$A,0)),""))</f>
        <v/>
      </c>
      <c r="H34" t="str">
        <f>IFERROR(INDEX('Task Master'!$E:$E,MATCH($F34&amp;"||"&amp;$G34,'Task Master'!$K:$K,0)),"")</f>
        <v/>
      </c>
      <c r="I34" t="str">
        <f>IFERROR(INDEX('Task Master'!$F:$F,MATCH($F34&amp;"||"&amp;$G34,'Task Master'!$K:$K,0)),"")</f>
        <v/>
      </c>
      <c r="J34" t="str">
        <f>IFERROR(INDEX('Task Master'!$H:$H,MATCH($F34&amp;"||"&amp;$G34,'Task Master'!$K:$K,0)),"")</f>
        <v/>
      </c>
      <c r="N34" s="18" t="str">
        <f t="shared" si="1"/>
        <v/>
      </c>
      <c r="R34" s="18">
        <f t="shared" si="2"/>
        <v>0</v>
      </c>
      <c r="V34" s="18">
        <f t="shared" si="3"/>
        <v>0</v>
      </c>
      <c r="Z34" s="18">
        <f t="shared" si="4"/>
        <v>0</v>
      </c>
      <c r="AA34" s="18"/>
      <c r="AB34" s="18">
        <f t="shared" si="5"/>
        <v>0</v>
      </c>
      <c r="AC34" s="18" t="str">
        <f t="shared" si="6"/>
        <v/>
      </c>
      <c r="AD34" s="18" t="str">
        <f t="shared" si="7"/>
        <v/>
      </c>
      <c r="AF34" t="str">
        <f>IFERROR(INDEX('Task Master'!$D:$D,MATCH($F34,'Task Master'!$C:$C,0)),"")</f>
        <v/>
      </c>
    </row>
    <row r="35" spans="1:32" x14ac:dyDescent="0.25">
      <c r="A35" t="str">
        <f t="shared" si="0"/>
        <v/>
      </c>
      <c r="B35" s="16"/>
      <c r="D35" t="str">
        <f>IF($C35="","",IFERROR(INDEX('Asset Register'!$B:$B,MATCH($C35,'Asset Register'!$A:$A,0)),""))</f>
        <v/>
      </c>
      <c r="H35" t="str">
        <f>IFERROR(INDEX('Task Master'!$E:$E,MATCH($F35&amp;"||"&amp;$G35,'Task Master'!$K:$K,0)),"")</f>
        <v/>
      </c>
      <c r="I35" t="str">
        <f>IFERROR(INDEX('Task Master'!$F:$F,MATCH($F35&amp;"||"&amp;$G35,'Task Master'!$K:$K,0)),"")</f>
        <v/>
      </c>
      <c r="J35" t="str">
        <f>IFERROR(INDEX('Task Master'!$H:$H,MATCH($F35&amp;"||"&amp;$G35,'Task Master'!$K:$K,0)),"")</f>
        <v/>
      </c>
      <c r="N35" s="18" t="str">
        <f t="shared" si="1"/>
        <v/>
      </c>
      <c r="R35" s="18">
        <f t="shared" si="2"/>
        <v>0</v>
      </c>
      <c r="V35" s="18">
        <f t="shared" si="3"/>
        <v>0</v>
      </c>
      <c r="Z35" s="18">
        <f t="shared" si="4"/>
        <v>0</v>
      </c>
      <c r="AA35" s="18"/>
      <c r="AB35" s="18">
        <f t="shared" si="5"/>
        <v>0</v>
      </c>
      <c r="AC35" s="18" t="str">
        <f t="shared" si="6"/>
        <v/>
      </c>
      <c r="AD35" s="18" t="str">
        <f t="shared" si="7"/>
        <v/>
      </c>
      <c r="AF35" t="str">
        <f>IFERROR(INDEX('Task Master'!$D:$D,MATCH($F35,'Task Master'!$C:$C,0)),"")</f>
        <v/>
      </c>
    </row>
    <row r="36" spans="1:32" x14ac:dyDescent="0.25">
      <c r="A36" t="str">
        <f t="shared" si="0"/>
        <v/>
      </c>
      <c r="B36" s="16"/>
      <c r="D36" t="str">
        <f>IF($C36="","",IFERROR(INDEX('Asset Register'!$B:$B,MATCH($C36,'Asset Register'!$A:$A,0)),""))</f>
        <v/>
      </c>
      <c r="H36" t="str">
        <f>IFERROR(INDEX('Task Master'!$E:$E,MATCH($F36&amp;"||"&amp;$G36,'Task Master'!$K:$K,0)),"")</f>
        <v/>
      </c>
      <c r="I36" t="str">
        <f>IFERROR(INDEX('Task Master'!$F:$F,MATCH($F36&amp;"||"&amp;$G36,'Task Master'!$K:$K,0)),"")</f>
        <v/>
      </c>
      <c r="J36" t="str">
        <f>IFERROR(INDEX('Task Master'!$H:$H,MATCH($F36&amp;"||"&amp;$G36,'Task Master'!$K:$K,0)),"")</f>
        <v/>
      </c>
      <c r="N36" s="18" t="str">
        <f t="shared" si="1"/>
        <v/>
      </c>
      <c r="R36" s="18">
        <f t="shared" si="2"/>
        <v>0</v>
      </c>
      <c r="V36" s="18">
        <f t="shared" si="3"/>
        <v>0</v>
      </c>
      <c r="Z36" s="18">
        <f t="shared" si="4"/>
        <v>0</v>
      </c>
      <c r="AA36" s="18"/>
      <c r="AB36" s="18">
        <f t="shared" si="5"/>
        <v>0</v>
      </c>
      <c r="AC36" s="18" t="str">
        <f t="shared" si="6"/>
        <v/>
      </c>
      <c r="AD36" s="18" t="str">
        <f t="shared" si="7"/>
        <v/>
      </c>
      <c r="AF36" t="str">
        <f>IFERROR(INDEX('Task Master'!$D:$D,MATCH($F36,'Task Master'!$C:$C,0)),"")</f>
        <v/>
      </c>
    </row>
    <row r="37" spans="1:32" x14ac:dyDescent="0.25">
      <c r="A37" t="str">
        <f t="shared" si="0"/>
        <v/>
      </c>
      <c r="B37" s="16"/>
      <c r="D37" t="str">
        <f>IF($C37="","",IFERROR(INDEX('Asset Register'!$B:$B,MATCH($C37,'Asset Register'!$A:$A,0)),""))</f>
        <v/>
      </c>
      <c r="H37" t="str">
        <f>IFERROR(INDEX('Task Master'!$E:$E,MATCH($F37&amp;"||"&amp;$G37,'Task Master'!$K:$K,0)),"")</f>
        <v/>
      </c>
      <c r="I37" t="str">
        <f>IFERROR(INDEX('Task Master'!$F:$F,MATCH($F37&amp;"||"&amp;$G37,'Task Master'!$K:$K,0)),"")</f>
        <v/>
      </c>
      <c r="J37" t="str">
        <f>IFERROR(INDEX('Task Master'!$H:$H,MATCH($F37&amp;"||"&amp;$G37,'Task Master'!$K:$K,0)),"")</f>
        <v/>
      </c>
      <c r="N37" s="18" t="str">
        <f t="shared" si="1"/>
        <v/>
      </c>
      <c r="R37" s="18">
        <f t="shared" si="2"/>
        <v>0</v>
      </c>
      <c r="V37" s="18">
        <f t="shared" si="3"/>
        <v>0</v>
      </c>
      <c r="Z37" s="18">
        <f t="shared" si="4"/>
        <v>0</v>
      </c>
      <c r="AA37" s="18"/>
      <c r="AB37" s="18">
        <f t="shared" si="5"/>
        <v>0</v>
      </c>
      <c r="AC37" s="18" t="str">
        <f t="shared" si="6"/>
        <v/>
      </c>
      <c r="AD37" s="18" t="str">
        <f t="shared" si="7"/>
        <v/>
      </c>
      <c r="AF37" t="str">
        <f>IFERROR(INDEX('Task Master'!$D:$D,MATCH($F37,'Task Master'!$C:$C,0)),"")</f>
        <v/>
      </c>
    </row>
    <row r="38" spans="1:32" x14ac:dyDescent="0.25">
      <c r="A38" t="str">
        <f t="shared" si="0"/>
        <v/>
      </c>
      <c r="B38" s="16"/>
      <c r="D38" t="str">
        <f>IF($C38="","",IFERROR(INDEX('Asset Register'!$B:$B,MATCH($C38,'Asset Register'!$A:$A,0)),""))</f>
        <v/>
      </c>
      <c r="H38" t="str">
        <f>IFERROR(INDEX('Task Master'!$E:$E,MATCH($F38&amp;"||"&amp;$G38,'Task Master'!$K:$K,0)),"")</f>
        <v/>
      </c>
      <c r="I38" t="str">
        <f>IFERROR(INDEX('Task Master'!$F:$F,MATCH($F38&amp;"||"&amp;$G38,'Task Master'!$K:$K,0)),"")</f>
        <v/>
      </c>
      <c r="J38" t="str">
        <f>IFERROR(INDEX('Task Master'!$H:$H,MATCH($F38&amp;"||"&amp;$G38,'Task Master'!$K:$K,0)),"")</f>
        <v/>
      </c>
      <c r="N38" s="18" t="str">
        <f t="shared" si="1"/>
        <v/>
      </c>
      <c r="R38" s="18">
        <f t="shared" si="2"/>
        <v>0</v>
      </c>
      <c r="V38" s="18">
        <f t="shared" si="3"/>
        <v>0</v>
      </c>
      <c r="Z38" s="18">
        <f t="shared" si="4"/>
        <v>0</v>
      </c>
      <c r="AA38" s="18"/>
      <c r="AB38" s="18">
        <f t="shared" si="5"/>
        <v>0</v>
      </c>
      <c r="AC38" s="18" t="str">
        <f t="shared" si="6"/>
        <v/>
      </c>
      <c r="AD38" s="18" t="str">
        <f t="shared" si="7"/>
        <v/>
      </c>
      <c r="AF38" t="str">
        <f>IFERROR(INDEX('Task Master'!$D:$D,MATCH($F38,'Task Master'!$C:$C,0)),"")</f>
        <v/>
      </c>
    </row>
    <row r="39" spans="1:32" x14ac:dyDescent="0.25">
      <c r="A39" t="str">
        <f t="shared" si="0"/>
        <v/>
      </c>
      <c r="B39" s="16"/>
      <c r="D39" t="str">
        <f>IF($C39="","",IFERROR(INDEX('Asset Register'!$B:$B,MATCH($C39,'Asset Register'!$A:$A,0)),""))</f>
        <v/>
      </c>
      <c r="H39" t="str">
        <f>IFERROR(INDEX('Task Master'!$E:$E,MATCH($F39&amp;"||"&amp;$G39,'Task Master'!$K:$K,0)),"")</f>
        <v/>
      </c>
      <c r="I39" t="str">
        <f>IFERROR(INDEX('Task Master'!$F:$F,MATCH($F39&amp;"||"&amp;$G39,'Task Master'!$K:$K,0)),"")</f>
        <v/>
      </c>
      <c r="J39" t="str">
        <f>IFERROR(INDEX('Task Master'!$H:$H,MATCH($F39&amp;"||"&amp;$G39,'Task Master'!$K:$K,0)),"")</f>
        <v/>
      </c>
      <c r="N39" s="18" t="str">
        <f t="shared" si="1"/>
        <v/>
      </c>
      <c r="R39" s="18">
        <f t="shared" si="2"/>
        <v>0</v>
      </c>
      <c r="V39" s="18">
        <f t="shared" si="3"/>
        <v>0</v>
      </c>
      <c r="Z39" s="18">
        <f t="shared" si="4"/>
        <v>0</v>
      </c>
      <c r="AA39" s="18"/>
      <c r="AB39" s="18">
        <f t="shared" si="5"/>
        <v>0</v>
      </c>
      <c r="AC39" s="18" t="str">
        <f t="shared" si="6"/>
        <v/>
      </c>
      <c r="AD39" s="18" t="str">
        <f t="shared" si="7"/>
        <v/>
      </c>
      <c r="AF39" t="str">
        <f>IFERROR(INDEX('Task Master'!$D:$D,MATCH($F39,'Task Master'!$C:$C,0)),"")</f>
        <v/>
      </c>
    </row>
    <row r="40" spans="1:32" x14ac:dyDescent="0.25">
      <c r="A40" t="str">
        <f t="shared" si="0"/>
        <v/>
      </c>
      <c r="B40" s="16"/>
      <c r="D40" t="str">
        <f>IF($C40="","",IFERROR(INDEX('Asset Register'!$B:$B,MATCH($C40,'Asset Register'!$A:$A,0)),""))</f>
        <v/>
      </c>
      <c r="H40" t="str">
        <f>IFERROR(INDEX('Task Master'!$E:$E,MATCH($F40&amp;"||"&amp;$G40,'Task Master'!$K:$K,0)),"")</f>
        <v/>
      </c>
      <c r="I40" t="str">
        <f>IFERROR(INDEX('Task Master'!$F:$F,MATCH($F40&amp;"||"&amp;$G40,'Task Master'!$K:$K,0)),"")</f>
        <v/>
      </c>
      <c r="J40" t="str">
        <f>IFERROR(INDEX('Task Master'!$H:$H,MATCH($F40&amp;"||"&amp;$G40,'Task Master'!$K:$K,0)),"")</f>
        <v/>
      </c>
      <c r="N40" s="18" t="str">
        <f t="shared" si="1"/>
        <v/>
      </c>
      <c r="R40" s="18">
        <f t="shared" si="2"/>
        <v>0</v>
      </c>
      <c r="V40" s="18">
        <f t="shared" si="3"/>
        <v>0</v>
      </c>
      <c r="Z40" s="18">
        <f t="shared" si="4"/>
        <v>0</v>
      </c>
      <c r="AA40" s="18"/>
      <c r="AB40" s="18">
        <f t="shared" si="5"/>
        <v>0</v>
      </c>
      <c r="AC40" s="18" t="str">
        <f t="shared" si="6"/>
        <v/>
      </c>
      <c r="AD40" s="18" t="str">
        <f t="shared" si="7"/>
        <v/>
      </c>
      <c r="AF40" t="str">
        <f>IFERROR(INDEX('Task Master'!$D:$D,MATCH($F40,'Task Master'!$C:$C,0)),"")</f>
        <v/>
      </c>
    </row>
    <row r="41" spans="1:32" x14ac:dyDescent="0.25">
      <c r="A41" t="str">
        <f t="shared" si="0"/>
        <v/>
      </c>
      <c r="B41" s="16"/>
      <c r="D41" t="str">
        <f>IF($C41="","",IFERROR(INDEX('Asset Register'!$B:$B,MATCH($C41,'Asset Register'!$A:$A,0)),""))</f>
        <v/>
      </c>
      <c r="H41" t="str">
        <f>IFERROR(INDEX('Task Master'!$E:$E,MATCH($F41&amp;"||"&amp;$G41,'Task Master'!$K:$K,0)),"")</f>
        <v/>
      </c>
      <c r="I41" t="str">
        <f>IFERROR(INDEX('Task Master'!$F:$F,MATCH($F41&amp;"||"&amp;$G41,'Task Master'!$K:$K,0)),"")</f>
        <v/>
      </c>
      <c r="J41" t="str">
        <f>IFERROR(INDEX('Task Master'!$H:$H,MATCH($F41&amp;"||"&amp;$G41,'Task Master'!$K:$K,0)),"")</f>
        <v/>
      </c>
      <c r="N41" s="18" t="str">
        <f t="shared" si="1"/>
        <v/>
      </c>
      <c r="R41" s="18">
        <f t="shared" si="2"/>
        <v>0</v>
      </c>
      <c r="V41" s="18">
        <f t="shared" si="3"/>
        <v>0</v>
      </c>
      <c r="Z41" s="18">
        <f t="shared" si="4"/>
        <v>0</v>
      </c>
      <c r="AA41" s="18"/>
      <c r="AB41" s="18">
        <f t="shared" si="5"/>
        <v>0</v>
      </c>
      <c r="AC41" s="18" t="str">
        <f t="shared" si="6"/>
        <v/>
      </c>
      <c r="AD41" s="18" t="str">
        <f t="shared" si="7"/>
        <v/>
      </c>
      <c r="AF41" t="str">
        <f>IFERROR(INDEX('Task Master'!$D:$D,MATCH($F41,'Task Master'!$C:$C,0)),"")</f>
        <v/>
      </c>
    </row>
    <row r="42" spans="1:32" x14ac:dyDescent="0.25">
      <c r="A42" t="str">
        <f t="shared" si="0"/>
        <v/>
      </c>
      <c r="B42" s="16"/>
      <c r="D42" t="str">
        <f>IF($C42="","",IFERROR(INDEX('Asset Register'!$B:$B,MATCH($C42,'Asset Register'!$A:$A,0)),""))</f>
        <v/>
      </c>
      <c r="H42" t="str">
        <f>IFERROR(INDEX('Task Master'!$E:$E,MATCH($F42&amp;"||"&amp;$G42,'Task Master'!$K:$K,0)),"")</f>
        <v/>
      </c>
      <c r="I42" t="str">
        <f>IFERROR(INDEX('Task Master'!$F:$F,MATCH($F42&amp;"||"&amp;$G42,'Task Master'!$K:$K,0)),"")</f>
        <v/>
      </c>
      <c r="J42" t="str">
        <f>IFERROR(INDEX('Task Master'!$H:$H,MATCH($F42&amp;"||"&amp;$G42,'Task Master'!$K:$K,0)),"")</f>
        <v/>
      </c>
      <c r="N42" s="18" t="str">
        <f t="shared" si="1"/>
        <v/>
      </c>
      <c r="R42" s="18">
        <f t="shared" si="2"/>
        <v>0</v>
      </c>
      <c r="V42" s="18">
        <f t="shared" si="3"/>
        <v>0</v>
      </c>
      <c r="Z42" s="18">
        <f t="shared" si="4"/>
        <v>0</v>
      </c>
      <c r="AA42" s="18"/>
      <c r="AB42" s="18">
        <f t="shared" si="5"/>
        <v>0</v>
      </c>
      <c r="AC42" s="18" t="str">
        <f t="shared" si="6"/>
        <v/>
      </c>
      <c r="AD42" s="18" t="str">
        <f t="shared" si="7"/>
        <v/>
      </c>
      <c r="AF42" t="str">
        <f>IFERROR(INDEX('Task Master'!$D:$D,MATCH($F42,'Task Master'!$C:$C,0)),"")</f>
        <v/>
      </c>
    </row>
    <row r="43" spans="1:32" x14ac:dyDescent="0.25">
      <c r="A43" t="str">
        <f t="shared" si="0"/>
        <v/>
      </c>
      <c r="B43" s="16"/>
      <c r="D43" t="str">
        <f>IF($C43="","",IFERROR(INDEX('Asset Register'!$B:$B,MATCH($C43,'Asset Register'!$A:$A,0)),""))</f>
        <v/>
      </c>
      <c r="H43" t="str">
        <f>IFERROR(INDEX('Task Master'!$E:$E,MATCH($F43&amp;"||"&amp;$G43,'Task Master'!$K:$K,0)),"")</f>
        <v/>
      </c>
      <c r="I43" t="str">
        <f>IFERROR(INDEX('Task Master'!$F:$F,MATCH($F43&amp;"||"&amp;$G43,'Task Master'!$K:$K,0)),"")</f>
        <v/>
      </c>
      <c r="J43" t="str">
        <f>IFERROR(INDEX('Task Master'!$H:$H,MATCH($F43&amp;"||"&amp;$G43,'Task Master'!$K:$K,0)),"")</f>
        <v/>
      </c>
      <c r="N43" s="18" t="str">
        <f t="shared" si="1"/>
        <v/>
      </c>
      <c r="R43" s="18">
        <f t="shared" si="2"/>
        <v>0</v>
      </c>
      <c r="V43" s="18">
        <f t="shared" si="3"/>
        <v>0</v>
      </c>
      <c r="Z43" s="18">
        <f t="shared" si="4"/>
        <v>0</v>
      </c>
      <c r="AA43" s="18"/>
      <c r="AB43" s="18">
        <f t="shared" si="5"/>
        <v>0</v>
      </c>
      <c r="AC43" s="18" t="str">
        <f t="shared" si="6"/>
        <v/>
      </c>
      <c r="AD43" s="18" t="str">
        <f t="shared" si="7"/>
        <v/>
      </c>
      <c r="AF43" t="str">
        <f>IFERROR(INDEX('Task Master'!$D:$D,MATCH($F43,'Task Master'!$C:$C,0)),"")</f>
        <v/>
      </c>
    </row>
    <row r="44" spans="1:32" x14ac:dyDescent="0.25">
      <c r="A44" t="str">
        <f t="shared" si="0"/>
        <v/>
      </c>
      <c r="B44" s="16"/>
      <c r="D44" t="str">
        <f>IF($C44="","",IFERROR(INDEX('Asset Register'!$B:$B,MATCH($C44,'Asset Register'!$A:$A,0)),""))</f>
        <v/>
      </c>
      <c r="H44" t="str">
        <f>IFERROR(INDEX('Task Master'!$E:$E,MATCH($F44&amp;"||"&amp;$G44,'Task Master'!$K:$K,0)),"")</f>
        <v/>
      </c>
      <c r="I44" t="str">
        <f>IFERROR(INDEX('Task Master'!$F:$F,MATCH($F44&amp;"||"&amp;$G44,'Task Master'!$K:$K,0)),"")</f>
        <v/>
      </c>
      <c r="J44" t="str">
        <f>IFERROR(INDEX('Task Master'!$H:$H,MATCH($F44&amp;"||"&amp;$G44,'Task Master'!$K:$K,0)),"")</f>
        <v/>
      </c>
      <c r="N44" s="18" t="str">
        <f t="shared" si="1"/>
        <v/>
      </c>
      <c r="R44" s="18">
        <f t="shared" si="2"/>
        <v>0</v>
      </c>
      <c r="V44" s="18">
        <f t="shared" si="3"/>
        <v>0</v>
      </c>
      <c r="Z44" s="18">
        <f t="shared" si="4"/>
        <v>0</v>
      </c>
      <c r="AA44" s="18"/>
      <c r="AB44" s="18">
        <f t="shared" si="5"/>
        <v>0</v>
      </c>
      <c r="AC44" s="18" t="str">
        <f t="shared" si="6"/>
        <v/>
      </c>
      <c r="AD44" s="18" t="str">
        <f t="shared" si="7"/>
        <v/>
      </c>
      <c r="AF44" t="str">
        <f>IFERROR(INDEX('Task Master'!$D:$D,MATCH($F44,'Task Master'!$C:$C,0)),"")</f>
        <v/>
      </c>
    </row>
    <row r="45" spans="1:32" x14ac:dyDescent="0.25">
      <c r="A45" t="str">
        <f t="shared" si="0"/>
        <v/>
      </c>
      <c r="B45" s="16"/>
      <c r="D45" t="str">
        <f>IF($C45="","",IFERROR(INDEX('Asset Register'!$B:$B,MATCH($C45,'Asset Register'!$A:$A,0)),""))</f>
        <v/>
      </c>
      <c r="H45" t="str">
        <f>IFERROR(INDEX('Task Master'!$E:$E,MATCH($F45&amp;"||"&amp;$G45,'Task Master'!$K:$K,0)),"")</f>
        <v/>
      </c>
      <c r="I45" t="str">
        <f>IFERROR(INDEX('Task Master'!$F:$F,MATCH($F45&amp;"||"&amp;$G45,'Task Master'!$K:$K,0)),"")</f>
        <v/>
      </c>
      <c r="J45" t="str">
        <f>IFERROR(INDEX('Task Master'!$H:$H,MATCH($F45&amp;"||"&amp;$G45,'Task Master'!$K:$K,0)),"")</f>
        <v/>
      </c>
      <c r="N45" s="18" t="str">
        <f t="shared" si="1"/>
        <v/>
      </c>
      <c r="R45" s="18">
        <f t="shared" si="2"/>
        <v>0</v>
      </c>
      <c r="V45" s="18">
        <f t="shared" si="3"/>
        <v>0</v>
      </c>
      <c r="Z45" s="18">
        <f t="shared" si="4"/>
        <v>0</v>
      </c>
      <c r="AA45" s="18"/>
      <c r="AB45" s="18">
        <f t="shared" si="5"/>
        <v>0</v>
      </c>
      <c r="AC45" s="18" t="str">
        <f t="shared" si="6"/>
        <v/>
      </c>
      <c r="AD45" s="18" t="str">
        <f t="shared" si="7"/>
        <v/>
      </c>
      <c r="AF45" t="str">
        <f>IFERROR(INDEX('Task Master'!$D:$D,MATCH($F45,'Task Master'!$C:$C,0)),"")</f>
        <v/>
      </c>
    </row>
    <row r="46" spans="1:32" x14ac:dyDescent="0.25">
      <c r="A46" t="str">
        <f t="shared" si="0"/>
        <v/>
      </c>
      <c r="B46" s="16"/>
      <c r="D46" t="str">
        <f>IF($C46="","",IFERROR(INDEX('Asset Register'!$B:$B,MATCH($C46,'Asset Register'!$A:$A,0)),""))</f>
        <v/>
      </c>
      <c r="H46" t="str">
        <f>IFERROR(INDEX('Task Master'!$E:$E,MATCH($F46&amp;"||"&amp;$G46,'Task Master'!$K:$K,0)),"")</f>
        <v/>
      </c>
      <c r="I46" t="str">
        <f>IFERROR(INDEX('Task Master'!$F:$F,MATCH($F46&amp;"||"&amp;$G46,'Task Master'!$K:$K,0)),"")</f>
        <v/>
      </c>
      <c r="J46" t="str">
        <f>IFERROR(INDEX('Task Master'!$H:$H,MATCH($F46&amp;"||"&amp;$G46,'Task Master'!$K:$K,0)),"")</f>
        <v/>
      </c>
      <c r="N46" s="18" t="str">
        <f t="shared" si="1"/>
        <v/>
      </c>
      <c r="R46" s="18">
        <f t="shared" si="2"/>
        <v>0</v>
      </c>
      <c r="V46" s="18">
        <f t="shared" si="3"/>
        <v>0</v>
      </c>
      <c r="Z46" s="18">
        <f t="shared" si="4"/>
        <v>0</v>
      </c>
      <c r="AA46" s="18"/>
      <c r="AB46" s="18">
        <f t="shared" si="5"/>
        <v>0</v>
      </c>
      <c r="AC46" s="18" t="str">
        <f t="shared" si="6"/>
        <v/>
      </c>
      <c r="AD46" s="18" t="str">
        <f t="shared" si="7"/>
        <v/>
      </c>
      <c r="AF46" t="str">
        <f>IFERROR(INDEX('Task Master'!$D:$D,MATCH($F46,'Task Master'!$C:$C,0)),"")</f>
        <v/>
      </c>
    </row>
    <row r="47" spans="1:32" x14ac:dyDescent="0.25">
      <c r="A47" t="str">
        <f t="shared" si="0"/>
        <v/>
      </c>
      <c r="B47" s="16"/>
      <c r="D47" t="str">
        <f>IF($C47="","",IFERROR(INDEX('Asset Register'!$B:$B,MATCH($C47,'Asset Register'!$A:$A,0)),""))</f>
        <v/>
      </c>
      <c r="H47" t="str">
        <f>IFERROR(INDEX('Task Master'!$E:$E,MATCH($F47&amp;"||"&amp;$G47,'Task Master'!$K:$K,0)),"")</f>
        <v/>
      </c>
      <c r="I47" t="str">
        <f>IFERROR(INDEX('Task Master'!$F:$F,MATCH($F47&amp;"||"&amp;$G47,'Task Master'!$K:$K,0)),"")</f>
        <v/>
      </c>
      <c r="J47" t="str">
        <f>IFERROR(INDEX('Task Master'!$H:$H,MATCH($F47&amp;"||"&amp;$G47,'Task Master'!$K:$K,0)),"")</f>
        <v/>
      </c>
      <c r="N47" s="18" t="str">
        <f t="shared" si="1"/>
        <v/>
      </c>
      <c r="R47" s="18">
        <f t="shared" si="2"/>
        <v>0</v>
      </c>
      <c r="V47" s="18">
        <f t="shared" si="3"/>
        <v>0</v>
      </c>
      <c r="Z47" s="18">
        <f t="shared" si="4"/>
        <v>0</v>
      </c>
      <c r="AA47" s="18"/>
      <c r="AB47" s="18">
        <f t="shared" si="5"/>
        <v>0</v>
      </c>
      <c r="AC47" s="18" t="str">
        <f t="shared" si="6"/>
        <v/>
      </c>
      <c r="AD47" s="18" t="str">
        <f t="shared" si="7"/>
        <v/>
      </c>
      <c r="AF47" t="str">
        <f>IFERROR(INDEX('Task Master'!$D:$D,MATCH($F47,'Task Master'!$C:$C,0)),"")</f>
        <v/>
      </c>
    </row>
    <row r="48" spans="1:32" x14ac:dyDescent="0.25">
      <c r="A48" t="str">
        <f t="shared" si="0"/>
        <v/>
      </c>
      <c r="B48" s="16"/>
      <c r="D48" t="str">
        <f>IF($C48="","",IFERROR(INDEX('Asset Register'!$B:$B,MATCH($C48,'Asset Register'!$A:$A,0)),""))</f>
        <v/>
      </c>
      <c r="H48" t="str">
        <f>IFERROR(INDEX('Task Master'!$E:$E,MATCH($F48&amp;"||"&amp;$G48,'Task Master'!$K:$K,0)),"")</f>
        <v/>
      </c>
      <c r="I48" t="str">
        <f>IFERROR(INDEX('Task Master'!$F:$F,MATCH($F48&amp;"||"&amp;$G48,'Task Master'!$K:$K,0)),"")</f>
        <v/>
      </c>
      <c r="J48" t="str">
        <f>IFERROR(INDEX('Task Master'!$H:$H,MATCH($F48&amp;"||"&amp;$G48,'Task Master'!$K:$K,0)),"")</f>
        <v/>
      </c>
      <c r="N48" s="18" t="str">
        <f t="shared" si="1"/>
        <v/>
      </c>
      <c r="R48" s="18">
        <f t="shared" si="2"/>
        <v>0</v>
      </c>
      <c r="V48" s="18">
        <f t="shared" si="3"/>
        <v>0</v>
      </c>
      <c r="Z48" s="18">
        <f t="shared" si="4"/>
        <v>0</v>
      </c>
      <c r="AA48" s="18"/>
      <c r="AB48" s="18">
        <f t="shared" si="5"/>
        <v>0</v>
      </c>
      <c r="AC48" s="18" t="str">
        <f t="shared" si="6"/>
        <v/>
      </c>
      <c r="AD48" s="18" t="str">
        <f t="shared" si="7"/>
        <v/>
      </c>
      <c r="AF48" t="str">
        <f>IFERROR(INDEX('Task Master'!$D:$D,MATCH($F48,'Task Master'!$C:$C,0)),"")</f>
        <v/>
      </c>
    </row>
    <row r="49" spans="1:32" x14ac:dyDescent="0.25">
      <c r="A49" t="str">
        <f t="shared" si="0"/>
        <v/>
      </c>
      <c r="B49" s="16"/>
      <c r="D49" t="str">
        <f>IF($C49="","",IFERROR(INDEX('Asset Register'!$B:$B,MATCH($C49,'Asset Register'!$A:$A,0)),""))</f>
        <v/>
      </c>
      <c r="H49" t="str">
        <f>IFERROR(INDEX('Task Master'!$E:$E,MATCH($F49&amp;"||"&amp;$G49,'Task Master'!$K:$K,0)),"")</f>
        <v/>
      </c>
      <c r="I49" t="str">
        <f>IFERROR(INDEX('Task Master'!$F:$F,MATCH($F49&amp;"||"&amp;$G49,'Task Master'!$K:$K,0)),"")</f>
        <v/>
      </c>
      <c r="J49" t="str">
        <f>IFERROR(INDEX('Task Master'!$H:$H,MATCH($F49&amp;"||"&amp;$G49,'Task Master'!$K:$K,0)),"")</f>
        <v/>
      </c>
      <c r="N49" s="18" t="str">
        <f t="shared" si="1"/>
        <v/>
      </c>
      <c r="R49" s="18">
        <f t="shared" si="2"/>
        <v>0</v>
      </c>
      <c r="V49" s="18">
        <f t="shared" si="3"/>
        <v>0</v>
      </c>
      <c r="Z49" s="18">
        <f t="shared" si="4"/>
        <v>0</v>
      </c>
      <c r="AA49" s="18"/>
      <c r="AB49" s="18">
        <f t="shared" si="5"/>
        <v>0</v>
      </c>
      <c r="AC49" s="18" t="str">
        <f t="shared" si="6"/>
        <v/>
      </c>
      <c r="AD49" s="18" t="str">
        <f t="shared" si="7"/>
        <v/>
      </c>
      <c r="AF49" t="str">
        <f>IFERROR(INDEX('Task Master'!$D:$D,MATCH($F49,'Task Master'!$C:$C,0)),"")</f>
        <v/>
      </c>
    </row>
    <row r="50" spans="1:32" x14ac:dyDescent="0.25">
      <c r="A50" t="str">
        <f t="shared" si="0"/>
        <v/>
      </c>
      <c r="B50" s="16"/>
      <c r="D50" t="str">
        <f>IF($C50="","",IFERROR(INDEX('Asset Register'!$B:$B,MATCH($C50,'Asset Register'!$A:$A,0)),""))</f>
        <v/>
      </c>
      <c r="H50" t="str">
        <f>IFERROR(INDEX('Task Master'!$E:$E,MATCH($F50&amp;"||"&amp;$G50,'Task Master'!$K:$K,0)),"")</f>
        <v/>
      </c>
      <c r="I50" t="str">
        <f>IFERROR(INDEX('Task Master'!$F:$F,MATCH($F50&amp;"||"&amp;$G50,'Task Master'!$K:$K,0)),"")</f>
        <v/>
      </c>
      <c r="J50" t="str">
        <f>IFERROR(INDEX('Task Master'!$H:$H,MATCH($F50&amp;"||"&amp;$G50,'Task Master'!$K:$K,0)),"")</f>
        <v/>
      </c>
      <c r="N50" s="18" t="str">
        <f t="shared" si="1"/>
        <v/>
      </c>
      <c r="R50" s="18">
        <f t="shared" si="2"/>
        <v>0</v>
      </c>
      <c r="V50" s="18">
        <f t="shared" si="3"/>
        <v>0</v>
      </c>
      <c r="Z50" s="18">
        <f t="shared" si="4"/>
        <v>0</v>
      </c>
      <c r="AA50" s="18"/>
      <c r="AB50" s="18">
        <f t="shared" si="5"/>
        <v>0</v>
      </c>
      <c r="AC50" s="18" t="str">
        <f t="shared" si="6"/>
        <v/>
      </c>
      <c r="AD50" s="18" t="str">
        <f t="shared" si="7"/>
        <v/>
      </c>
      <c r="AF50" t="str">
        <f>IFERROR(INDEX('Task Master'!$D:$D,MATCH($F50,'Task Master'!$C:$C,0)),"")</f>
        <v/>
      </c>
    </row>
    <row r="51" spans="1:32" x14ac:dyDescent="0.25">
      <c r="A51" t="str">
        <f t="shared" si="0"/>
        <v/>
      </c>
      <c r="B51" s="16"/>
      <c r="D51" t="str">
        <f>IF($C51="","",IFERROR(INDEX('Asset Register'!$B:$B,MATCH($C51,'Asset Register'!$A:$A,0)),""))</f>
        <v/>
      </c>
      <c r="H51" t="str">
        <f>IFERROR(INDEX('Task Master'!$E:$E,MATCH($F51&amp;"||"&amp;$G51,'Task Master'!$K:$K,0)),"")</f>
        <v/>
      </c>
      <c r="I51" t="str">
        <f>IFERROR(INDEX('Task Master'!$F:$F,MATCH($F51&amp;"||"&amp;$G51,'Task Master'!$K:$K,0)),"")</f>
        <v/>
      </c>
      <c r="J51" t="str">
        <f>IFERROR(INDEX('Task Master'!$H:$H,MATCH($F51&amp;"||"&amp;$G51,'Task Master'!$K:$K,0)),"")</f>
        <v/>
      </c>
      <c r="N51" s="18" t="str">
        <f t="shared" si="1"/>
        <v/>
      </c>
      <c r="R51" s="18">
        <f t="shared" si="2"/>
        <v>0</v>
      </c>
      <c r="V51" s="18">
        <f t="shared" si="3"/>
        <v>0</v>
      </c>
      <c r="Z51" s="18">
        <f t="shared" si="4"/>
        <v>0</v>
      </c>
      <c r="AA51" s="18"/>
      <c r="AB51" s="18">
        <f t="shared" si="5"/>
        <v>0</v>
      </c>
      <c r="AC51" s="18" t="str">
        <f t="shared" si="6"/>
        <v/>
      </c>
      <c r="AD51" s="18" t="str">
        <f t="shared" si="7"/>
        <v/>
      </c>
      <c r="AF51" t="str">
        <f>IFERROR(INDEX('Task Master'!$D:$D,MATCH($F51,'Task Master'!$C:$C,0)),"")</f>
        <v/>
      </c>
    </row>
    <row r="52" spans="1:32" x14ac:dyDescent="0.25">
      <c r="A52" t="str">
        <f t="shared" si="0"/>
        <v/>
      </c>
      <c r="B52" s="16"/>
      <c r="D52" t="str">
        <f>IF($C52="","",IFERROR(INDEX('Asset Register'!$B:$B,MATCH($C52,'Asset Register'!$A:$A,0)),""))</f>
        <v/>
      </c>
      <c r="H52" t="str">
        <f>IFERROR(INDEX('Task Master'!$E:$E,MATCH($F52&amp;"||"&amp;$G52,'Task Master'!$K:$K,0)),"")</f>
        <v/>
      </c>
      <c r="I52" t="str">
        <f>IFERROR(INDEX('Task Master'!$F:$F,MATCH($F52&amp;"||"&amp;$G52,'Task Master'!$K:$K,0)),"")</f>
        <v/>
      </c>
      <c r="J52" t="str">
        <f>IFERROR(INDEX('Task Master'!$H:$H,MATCH($F52&amp;"||"&amp;$G52,'Task Master'!$K:$K,0)),"")</f>
        <v/>
      </c>
      <c r="N52" s="18" t="str">
        <f t="shared" si="1"/>
        <v/>
      </c>
      <c r="R52" s="18">
        <f t="shared" si="2"/>
        <v>0</v>
      </c>
      <c r="V52" s="18">
        <f t="shared" si="3"/>
        <v>0</v>
      </c>
      <c r="Z52" s="18">
        <f t="shared" si="4"/>
        <v>0</v>
      </c>
      <c r="AA52" s="18"/>
      <c r="AB52" s="18">
        <f t="shared" si="5"/>
        <v>0</v>
      </c>
      <c r="AC52" s="18" t="str">
        <f t="shared" si="6"/>
        <v/>
      </c>
      <c r="AD52" s="18" t="str">
        <f t="shared" si="7"/>
        <v/>
      </c>
      <c r="AF52" t="str">
        <f>IFERROR(INDEX('Task Master'!$D:$D,MATCH($F52,'Task Master'!$C:$C,0)),"")</f>
        <v/>
      </c>
    </row>
    <row r="53" spans="1:32" x14ac:dyDescent="0.25">
      <c r="A53" t="str">
        <f t="shared" si="0"/>
        <v/>
      </c>
      <c r="B53" s="16"/>
      <c r="D53" t="str">
        <f>IF($C53="","",IFERROR(INDEX('Asset Register'!$B:$B,MATCH($C53,'Asset Register'!$A:$A,0)),""))</f>
        <v/>
      </c>
      <c r="H53" t="str">
        <f>IFERROR(INDEX('Task Master'!$E:$E,MATCH($F53&amp;"||"&amp;$G53,'Task Master'!$K:$K,0)),"")</f>
        <v/>
      </c>
      <c r="I53" t="str">
        <f>IFERROR(INDEX('Task Master'!$F:$F,MATCH($F53&amp;"||"&amp;$G53,'Task Master'!$K:$K,0)),"")</f>
        <v/>
      </c>
      <c r="J53" t="str">
        <f>IFERROR(INDEX('Task Master'!$H:$H,MATCH($F53&amp;"||"&amp;$G53,'Task Master'!$K:$K,0)),"")</f>
        <v/>
      </c>
      <c r="N53" s="18" t="str">
        <f t="shared" si="1"/>
        <v/>
      </c>
      <c r="R53" s="18">
        <f t="shared" si="2"/>
        <v>0</v>
      </c>
      <c r="V53" s="18">
        <f t="shared" si="3"/>
        <v>0</v>
      </c>
      <c r="Z53" s="18">
        <f t="shared" si="4"/>
        <v>0</v>
      </c>
      <c r="AA53" s="18"/>
      <c r="AB53" s="18">
        <f t="shared" si="5"/>
        <v>0</v>
      </c>
      <c r="AC53" s="18" t="str">
        <f t="shared" si="6"/>
        <v/>
      </c>
      <c r="AD53" s="18" t="str">
        <f t="shared" si="7"/>
        <v/>
      </c>
      <c r="AF53" t="str">
        <f>IFERROR(INDEX('Task Master'!$D:$D,MATCH($F53,'Task Master'!$C:$C,0)),"")</f>
        <v/>
      </c>
    </row>
    <row r="54" spans="1:32" x14ac:dyDescent="0.25">
      <c r="A54" t="str">
        <f t="shared" si="0"/>
        <v/>
      </c>
      <c r="B54" s="16"/>
      <c r="D54" t="str">
        <f>IF($C54="","",IFERROR(INDEX('Asset Register'!$B:$B,MATCH($C54,'Asset Register'!$A:$A,0)),""))</f>
        <v/>
      </c>
      <c r="H54" t="str">
        <f>IFERROR(INDEX('Task Master'!$E:$E,MATCH($F54&amp;"||"&amp;$G54,'Task Master'!$K:$K,0)),"")</f>
        <v/>
      </c>
      <c r="I54" t="str">
        <f>IFERROR(INDEX('Task Master'!$F:$F,MATCH($F54&amp;"||"&amp;$G54,'Task Master'!$K:$K,0)),"")</f>
        <v/>
      </c>
      <c r="J54" t="str">
        <f>IFERROR(INDEX('Task Master'!$H:$H,MATCH($F54&amp;"||"&amp;$G54,'Task Master'!$K:$K,0)),"")</f>
        <v/>
      </c>
      <c r="N54" s="18" t="str">
        <f t="shared" si="1"/>
        <v/>
      </c>
      <c r="R54" s="18">
        <f t="shared" si="2"/>
        <v>0</v>
      </c>
      <c r="V54" s="18">
        <f t="shared" si="3"/>
        <v>0</v>
      </c>
      <c r="Z54" s="18">
        <f t="shared" si="4"/>
        <v>0</v>
      </c>
      <c r="AA54" s="18"/>
      <c r="AB54" s="18">
        <f t="shared" si="5"/>
        <v>0</v>
      </c>
      <c r="AC54" s="18" t="str">
        <f t="shared" si="6"/>
        <v/>
      </c>
      <c r="AD54" s="18" t="str">
        <f t="shared" si="7"/>
        <v/>
      </c>
      <c r="AF54" t="str">
        <f>IFERROR(INDEX('Task Master'!$D:$D,MATCH($F54,'Task Master'!$C:$C,0)),"")</f>
        <v/>
      </c>
    </row>
    <row r="55" spans="1:32" x14ac:dyDescent="0.25">
      <c r="A55" t="str">
        <f t="shared" si="0"/>
        <v/>
      </c>
      <c r="B55" s="16"/>
      <c r="D55" t="str">
        <f>IF($C55="","",IFERROR(INDEX('Asset Register'!$B:$B,MATCH($C55,'Asset Register'!$A:$A,0)),""))</f>
        <v/>
      </c>
      <c r="H55" t="str">
        <f>IFERROR(INDEX('Task Master'!$E:$E,MATCH($F55&amp;"||"&amp;$G55,'Task Master'!$K:$K,0)),"")</f>
        <v/>
      </c>
      <c r="I55" t="str">
        <f>IFERROR(INDEX('Task Master'!$F:$F,MATCH($F55&amp;"||"&amp;$G55,'Task Master'!$K:$K,0)),"")</f>
        <v/>
      </c>
      <c r="J55" t="str">
        <f>IFERROR(INDEX('Task Master'!$H:$H,MATCH($F55&amp;"||"&amp;$G55,'Task Master'!$K:$K,0)),"")</f>
        <v/>
      </c>
      <c r="N55" s="18" t="str">
        <f t="shared" si="1"/>
        <v/>
      </c>
      <c r="R55" s="18">
        <f t="shared" si="2"/>
        <v>0</v>
      </c>
      <c r="V55" s="18">
        <f t="shared" si="3"/>
        <v>0</v>
      </c>
      <c r="Z55" s="18">
        <f t="shared" si="4"/>
        <v>0</v>
      </c>
      <c r="AA55" s="18"/>
      <c r="AB55" s="18">
        <f t="shared" si="5"/>
        <v>0</v>
      </c>
      <c r="AC55" s="18" t="str">
        <f t="shared" si="6"/>
        <v/>
      </c>
      <c r="AD55" s="18" t="str">
        <f t="shared" si="7"/>
        <v/>
      </c>
      <c r="AF55" t="str">
        <f>IFERROR(INDEX('Task Master'!$D:$D,MATCH($F55,'Task Master'!$C:$C,0)),"")</f>
        <v/>
      </c>
    </row>
    <row r="56" spans="1:32" x14ac:dyDescent="0.25">
      <c r="A56" t="str">
        <f t="shared" si="0"/>
        <v/>
      </c>
      <c r="B56" s="16"/>
      <c r="D56" t="str">
        <f>IF($C56="","",IFERROR(INDEX('Asset Register'!$B:$B,MATCH($C56,'Asset Register'!$A:$A,0)),""))</f>
        <v/>
      </c>
      <c r="H56" t="str">
        <f>IFERROR(INDEX('Task Master'!$E:$E,MATCH($F56&amp;"||"&amp;$G56,'Task Master'!$K:$K,0)),"")</f>
        <v/>
      </c>
      <c r="I56" t="str">
        <f>IFERROR(INDEX('Task Master'!$F:$F,MATCH($F56&amp;"||"&amp;$G56,'Task Master'!$K:$K,0)),"")</f>
        <v/>
      </c>
      <c r="J56" t="str">
        <f>IFERROR(INDEX('Task Master'!$H:$H,MATCH($F56&amp;"||"&amp;$G56,'Task Master'!$K:$K,0)),"")</f>
        <v/>
      </c>
      <c r="N56" s="18" t="str">
        <f t="shared" si="1"/>
        <v/>
      </c>
      <c r="R56" s="18">
        <f t="shared" si="2"/>
        <v>0</v>
      </c>
      <c r="V56" s="18">
        <f t="shared" si="3"/>
        <v>0</v>
      </c>
      <c r="Z56" s="18">
        <f t="shared" si="4"/>
        <v>0</v>
      </c>
      <c r="AA56" s="18"/>
      <c r="AB56" s="18">
        <f t="shared" si="5"/>
        <v>0</v>
      </c>
      <c r="AC56" s="18" t="str">
        <f t="shared" si="6"/>
        <v/>
      </c>
      <c r="AD56" s="18" t="str">
        <f t="shared" si="7"/>
        <v/>
      </c>
      <c r="AF56" t="str">
        <f>IFERROR(INDEX('Task Master'!$D:$D,MATCH($F56,'Task Master'!$C:$C,0)),"")</f>
        <v/>
      </c>
    </row>
    <row r="57" spans="1:32" x14ac:dyDescent="0.25">
      <c r="A57" t="str">
        <f t="shared" si="0"/>
        <v/>
      </c>
      <c r="B57" s="16"/>
      <c r="D57" t="str">
        <f>IF($C57="","",IFERROR(INDEX('Asset Register'!$B:$B,MATCH($C57,'Asset Register'!$A:$A,0)),""))</f>
        <v/>
      </c>
      <c r="H57" t="str">
        <f>IFERROR(INDEX('Task Master'!$E:$E,MATCH($F57&amp;"||"&amp;$G57,'Task Master'!$K:$K,0)),"")</f>
        <v/>
      </c>
      <c r="I57" t="str">
        <f>IFERROR(INDEX('Task Master'!$F:$F,MATCH($F57&amp;"||"&amp;$G57,'Task Master'!$K:$K,0)),"")</f>
        <v/>
      </c>
      <c r="J57" t="str">
        <f>IFERROR(INDEX('Task Master'!$H:$H,MATCH($F57&amp;"||"&amp;$G57,'Task Master'!$K:$K,0)),"")</f>
        <v/>
      </c>
      <c r="N57" s="18" t="str">
        <f t="shared" si="1"/>
        <v/>
      </c>
      <c r="R57" s="18">
        <f t="shared" si="2"/>
        <v>0</v>
      </c>
      <c r="V57" s="18">
        <f t="shared" si="3"/>
        <v>0</v>
      </c>
      <c r="Z57" s="18">
        <f t="shared" si="4"/>
        <v>0</v>
      </c>
      <c r="AA57" s="18"/>
      <c r="AB57" s="18">
        <f t="shared" si="5"/>
        <v>0</v>
      </c>
      <c r="AC57" s="18" t="str">
        <f t="shared" si="6"/>
        <v/>
      </c>
      <c r="AD57" s="18" t="str">
        <f t="shared" si="7"/>
        <v/>
      </c>
      <c r="AF57" t="str">
        <f>IFERROR(INDEX('Task Master'!$D:$D,MATCH($F57,'Task Master'!$C:$C,0)),"")</f>
        <v/>
      </c>
    </row>
    <row r="58" spans="1:32" x14ac:dyDescent="0.25">
      <c r="A58" t="str">
        <f t="shared" si="0"/>
        <v/>
      </c>
      <c r="B58" s="16"/>
      <c r="D58" t="str">
        <f>IF($C58="","",IFERROR(INDEX('Asset Register'!$B:$B,MATCH($C58,'Asset Register'!$A:$A,0)),""))</f>
        <v/>
      </c>
      <c r="H58" t="str">
        <f>IFERROR(INDEX('Task Master'!$E:$E,MATCH($F58&amp;"||"&amp;$G58,'Task Master'!$K:$K,0)),"")</f>
        <v/>
      </c>
      <c r="I58" t="str">
        <f>IFERROR(INDEX('Task Master'!$F:$F,MATCH($F58&amp;"||"&amp;$G58,'Task Master'!$K:$K,0)),"")</f>
        <v/>
      </c>
      <c r="J58" t="str">
        <f>IFERROR(INDEX('Task Master'!$H:$H,MATCH($F58&amp;"||"&amp;$G58,'Task Master'!$K:$K,0)),"")</f>
        <v/>
      </c>
      <c r="N58" s="18" t="str">
        <f t="shared" si="1"/>
        <v/>
      </c>
      <c r="R58" s="18">
        <f t="shared" si="2"/>
        <v>0</v>
      </c>
      <c r="V58" s="18">
        <f t="shared" si="3"/>
        <v>0</v>
      </c>
      <c r="Z58" s="18">
        <f t="shared" si="4"/>
        <v>0</v>
      </c>
      <c r="AA58" s="18"/>
      <c r="AB58" s="18">
        <f t="shared" si="5"/>
        <v>0</v>
      </c>
      <c r="AC58" s="18" t="str">
        <f t="shared" si="6"/>
        <v/>
      </c>
      <c r="AD58" s="18" t="str">
        <f t="shared" si="7"/>
        <v/>
      </c>
      <c r="AF58" t="str">
        <f>IFERROR(INDEX('Task Master'!$D:$D,MATCH($F58,'Task Master'!$C:$C,0)),"")</f>
        <v/>
      </c>
    </row>
    <row r="59" spans="1:32" x14ac:dyDescent="0.25">
      <c r="A59" t="str">
        <f t="shared" si="0"/>
        <v/>
      </c>
      <c r="B59" s="16"/>
      <c r="D59" t="str">
        <f>IF($C59="","",IFERROR(INDEX('Asset Register'!$B:$B,MATCH($C59,'Asset Register'!$A:$A,0)),""))</f>
        <v/>
      </c>
      <c r="H59" t="str">
        <f>IFERROR(INDEX('Task Master'!$E:$E,MATCH($F59&amp;"||"&amp;$G59,'Task Master'!$K:$K,0)),"")</f>
        <v/>
      </c>
      <c r="I59" t="str">
        <f>IFERROR(INDEX('Task Master'!$F:$F,MATCH($F59&amp;"||"&amp;$G59,'Task Master'!$K:$K,0)),"")</f>
        <v/>
      </c>
      <c r="J59" t="str">
        <f>IFERROR(INDEX('Task Master'!$H:$H,MATCH($F59&amp;"||"&amp;$G59,'Task Master'!$K:$K,0)),"")</f>
        <v/>
      </c>
      <c r="N59" s="18" t="str">
        <f t="shared" si="1"/>
        <v/>
      </c>
      <c r="R59" s="18">
        <f t="shared" si="2"/>
        <v>0</v>
      </c>
      <c r="V59" s="18">
        <f t="shared" si="3"/>
        <v>0</v>
      </c>
      <c r="Z59" s="18">
        <f t="shared" si="4"/>
        <v>0</v>
      </c>
      <c r="AA59" s="18"/>
      <c r="AB59" s="18">
        <f t="shared" si="5"/>
        <v>0</v>
      </c>
      <c r="AC59" s="18" t="str">
        <f t="shared" si="6"/>
        <v/>
      </c>
      <c r="AD59" s="18" t="str">
        <f t="shared" si="7"/>
        <v/>
      </c>
      <c r="AF59" t="str">
        <f>IFERROR(INDEX('Task Master'!$D:$D,MATCH($F59,'Task Master'!$C:$C,0)),"")</f>
        <v/>
      </c>
    </row>
    <row r="60" spans="1:32" x14ac:dyDescent="0.25">
      <c r="A60" t="str">
        <f t="shared" si="0"/>
        <v/>
      </c>
      <c r="B60" s="16"/>
      <c r="D60" t="str">
        <f>IF($C60="","",IFERROR(INDEX('Asset Register'!$B:$B,MATCH($C60,'Asset Register'!$A:$A,0)),""))</f>
        <v/>
      </c>
      <c r="H60" t="str">
        <f>IFERROR(INDEX('Task Master'!$E:$E,MATCH($F60&amp;"||"&amp;$G60,'Task Master'!$K:$K,0)),"")</f>
        <v/>
      </c>
      <c r="I60" t="str">
        <f>IFERROR(INDEX('Task Master'!$F:$F,MATCH($F60&amp;"||"&amp;$G60,'Task Master'!$K:$K,0)),"")</f>
        <v/>
      </c>
      <c r="J60" t="str">
        <f>IFERROR(INDEX('Task Master'!$H:$H,MATCH($F60&amp;"||"&amp;$G60,'Task Master'!$K:$K,0)),"")</f>
        <v/>
      </c>
      <c r="N60" s="18" t="str">
        <f t="shared" si="1"/>
        <v/>
      </c>
      <c r="R60" s="18">
        <f t="shared" si="2"/>
        <v>0</v>
      </c>
      <c r="V60" s="18">
        <f t="shared" si="3"/>
        <v>0</v>
      </c>
      <c r="Z60" s="18">
        <f t="shared" si="4"/>
        <v>0</v>
      </c>
      <c r="AA60" s="18"/>
      <c r="AB60" s="18">
        <f t="shared" si="5"/>
        <v>0</v>
      </c>
      <c r="AC60" s="18" t="str">
        <f t="shared" si="6"/>
        <v/>
      </c>
      <c r="AD60" s="18" t="str">
        <f t="shared" si="7"/>
        <v/>
      </c>
      <c r="AF60" t="str">
        <f>IFERROR(INDEX('Task Master'!$D:$D,MATCH($F60,'Task Master'!$C:$C,0)),"")</f>
        <v/>
      </c>
    </row>
    <row r="61" spans="1:32" x14ac:dyDescent="0.25">
      <c r="A61" t="str">
        <f t="shared" si="0"/>
        <v/>
      </c>
      <c r="B61" s="16"/>
      <c r="D61" t="str">
        <f>IF($C61="","",IFERROR(INDEX('Asset Register'!$B:$B,MATCH($C61,'Asset Register'!$A:$A,0)),""))</f>
        <v/>
      </c>
      <c r="H61" t="str">
        <f>IFERROR(INDEX('Task Master'!$E:$E,MATCH($F61&amp;"||"&amp;$G61,'Task Master'!$K:$K,0)),"")</f>
        <v/>
      </c>
      <c r="I61" t="str">
        <f>IFERROR(INDEX('Task Master'!$F:$F,MATCH($F61&amp;"||"&amp;$G61,'Task Master'!$K:$K,0)),"")</f>
        <v/>
      </c>
      <c r="J61" t="str">
        <f>IFERROR(INDEX('Task Master'!$H:$H,MATCH($F61&amp;"||"&amp;$G61,'Task Master'!$K:$K,0)),"")</f>
        <v/>
      </c>
      <c r="N61" s="18" t="str">
        <f t="shared" si="1"/>
        <v/>
      </c>
      <c r="R61" s="18">
        <f t="shared" si="2"/>
        <v>0</v>
      </c>
      <c r="V61" s="18">
        <f t="shared" si="3"/>
        <v>0</v>
      </c>
      <c r="Z61" s="18">
        <f t="shared" si="4"/>
        <v>0</v>
      </c>
      <c r="AA61" s="18"/>
      <c r="AB61" s="18">
        <f t="shared" si="5"/>
        <v>0</v>
      </c>
      <c r="AC61" s="18" t="str">
        <f t="shared" si="6"/>
        <v/>
      </c>
      <c r="AD61" s="18" t="str">
        <f t="shared" si="7"/>
        <v/>
      </c>
      <c r="AF61" t="str">
        <f>IFERROR(INDEX('Task Master'!$D:$D,MATCH($F61,'Task Master'!$C:$C,0)),"")</f>
        <v/>
      </c>
    </row>
    <row r="62" spans="1:32" x14ac:dyDescent="0.25">
      <c r="A62" t="str">
        <f t="shared" si="0"/>
        <v/>
      </c>
      <c r="B62" s="16"/>
      <c r="D62" t="str">
        <f>IF($C62="","",IFERROR(INDEX('Asset Register'!$B:$B,MATCH($C62,'Asset Register'!$A:$A,0)),""))</f>
        <v/>
      </c>
      <c r="H62" t="str">
        <f>IFERROR(INDEX('Task Master'!$E:$E,MATCH($F62&amp;"||"&amp;$G62,'Task Master'!$K:$K,0)),"")</f>
        <v/>
      </c>
      <c r="I62" t="str">
        <f>IFERROR(INDEX('Task Master'!$F:$F,MATCH($F62&amp;"||"&amp;$G62,'Task Master'!$K:$K,0)),"")</f>
        <v/>
      </c>
      <c r="J62" t="str">
        <f>IFERROR(INDEX('Task Master'!$H:$H,MATCH($F62&amp;"||"&amp;$G62,'Task Master'!$K:$K,0)),"")</f>
        <v/>
      </c>
      <c r="N62" s="18" t="str">
        <f t="shared" si="1"/>
        <v/>
      </c>
      <c r="R62" s="18">
        <f t="shared" si="2"/>
        <v>0</v>
      </c>
      <c r="V62" s="18">
        <f t="shared" si="3"/>
        <v>0</v>
      </c>
      <c r="Z62" s="18">
        <f t="shared" si="4"/>
        <v>0</v>
      </c>
      <c r="AA62" s="18"/>
      <c r="AB62" s="18">
        <f t="shared" si="5"/>
        <v>0</v>
      </c>
      <c r="AC62" s="18" t="str">
        <f t="shared" si="6"/>
        <v/>
      </c>
      <c r="AD62" s="18" t="str">
        <f t="shared" si="7"/>
        <v/>
      </c>
      <c r="AF62" t="str">
        <f>IFERROR(INDEX('Task Master'!$D:$D,MATCH($F62,'Task Master'!$C:$C,0)),"")</f>
        <v/>
      </c>
    </row>
    <row r="63" spans="1:32" x14ac:dyDescent="0.25">
      <c r="A63" t="str">
        <f t="shared" si="0"/>
        <v/>
      </c>
      <c r="B63" s="16"/>
      <c r="D63" t="str">
        <f>IF($C63="","",IFERROR(INDEX('Asset Register'!$B:$B,MATCH($C63,'Asset Register'!$A:$A,0)),""))</f>
        <v/>
      </c>
      <c r="H63" t="str">
        <f>IFERROR(INDEX('Task Master'!$E:$E,MATCH($F63&amp;"||"&amp;$G63,'Task Master'!$K:$K,0)),"")</f>
        <v/>
      </c>
      <c r="I63" t="str">
        <f>IFERROR(INDEX('Task Master'!$F:$F,MATCH($F63&amp;"||"&amp;$G63,'Task Master'!$K:$K,0)),"")</f>
        <v/>
      </c>
      <c r="J63" t="str">
        <f>IFERROR(INDEX('Task Master'!$H:$H,MATCH($F63&amp;"||"&amp;$G63,'Task Master'!$K:$K,0)),"")</f>
        <v/>
      </c>
      <c r="N63" s="18" t="str">
        <f t="shared" si="1"/>
        <v/>
      </c>
      <c r="R63" s="18">
        <f t="shared" si="2"/>
        <v>0</v>
      </c>
      <c r="V63" s="18">
        <f t="shared" si="3"/>
        <v>0</v>
      </c>
      <c r="Z63" s="18">
        <f t="shared" si="4"/>
        <v>0</v>
      </c>
      <c r="AA63" s="18"/>
      <c r="AB63" s="18">
        <f t="shared" si="5"/>
        <v>0</v>
      </c>
      <c r="AC63" s="18" t="str">
        <f t="shared" si="6"/>
        <v/>
      </c>
      <c r="AD63" s="18" t="str">
        <f t="shared" si="7"/>
        <v/>
      </c>
      <c r="AF63" t="str">
        <f>IFERROR(INDEX('Task Master'!$D:$D,MATCH($F63,'Task Master'!$C:$C,0)),"")</f>
        <v/>
      </c>
    </row>
    <row r="64" spans="1:32" x14ac:dyDescent="0.25">
      <c r="A64" t="str">
        <f t="shared" si="0"/>
        <v/>
      </c>
      <c r="B64" s="16"/>
      <c r="D64" t="str">
        <f>IF($C64="","",IFERROR(INDEX('Asset Register'!$B:$B,MATCH($C64,'Asset Register'!$A:$A,0)),""))</f>
        <v/>
      </c>
      <c r="H64" t="str">
        <f>IFERROR(INDEX('Task Master'!$E:$E,MATCH($F64&amp;"||"&amp;$G64,'Task Master'!$K:$K,0)),"")</f>
        <v/>
      </c>
      <c r="I64" t="str">
        <f>IFERROR(INDEX('Task Master'!$F:$F,MATCH($F64&amp;"||"&amp;$G64,'Task Master'!$K:$K,0)),"")</f>
        <v/>
      </c>
      <c r="J64" t="str">
        <f>IFERROR(INDEX('Task Master'!$H:$H,MATCH($F64&amp;"||"&amp;$G64,'Task Master'!$K:$K,0)),"")</f>
        <v/>
      </c>
      <c r="N64" s="18" t="str">
        <f t="shared" si="1"/>
        <v/>
      </c>
      <c r="R64" s="18">
        <f t="shared" si="2"/>
        <v>0</v>
      </c>
      <c r="V64" s="18">
        <f t="shared" si="3"/>
        <v>0</v>
      </c>
      <c r="Z64" s="18">
        <f t="shared" si="4"/>
        <v>0</v>
      </c>
      <c r="AA64" s="18"/>
      <c r="AB64" s="18">
        <f t="shared" si="5"/>
        <v>0</v>
      </c>
      <c r="AC64" s="18" t="str">
        <f t="shared" si="6"/>
        <v/>
      </c>
      <c r="AD64" s="18" t="str">
        <f t="shared" si="7"/>
        <v/>
      </c>
      <c r="AF64" t="str">
        <f>IFERROR(INDEX('Task Master'!$D:$D,MATCH($F64,'Task Master'!$C:$C,0)),"")</f>
        <v/>
      </c>
    </row>
    <row r="65" spans="1:32" x14ac:dyDescent="0.25">
      <c r="A65" t="str">
        <f t="shared" si="0"/>
        <v/>
      </c>
      <c r="B65" s="16"/>
      <c r="D65" t="str">
        <f>IF($C65="","",IFERROR(INDEX('Asset Register'!$B:$B,MATCH($C65,'Asset Register'!$A:$A,0)),""))</f>
        <v/>
      </c>
      <c r="H65" t="str">
        <f>IFERROR(INDEX('Task Master'!$E:$E,MATCH($F65&amp;"||"&amp;$G65,'Task Master'!$K:$K,0)),"")</f>
        <v/>
      </c>
      <c r="I65" t="str">
        <f>IFERROR(INDEX('Task Master'!$F:$F,MATCH($F65&amp;"||"&amp;$G65,'Task Master'!$K:$K,0)),"")</f>
        <v/>
      </c>
      <c r="J65" t="str">
        <f>IFERROR(INDEX('Task Master'!$H:$H,MATCH($F65&amp;"||"&amp;$G65,'Task Master'!$K:$K,0)),"")</f>
        <v/>
      </c>
      <c r="N65" s="18" t="str">
        <f t="shared" si="1"/>
        <v/>
      </c>
      <c r="R65" s="18">
        <f t="shared" si="2"/>
        <v>0</v>
      </c>
      <c r="V65" s="18">
        <f t="shared" si="3"/>
        <v>0</v>
      </c>
      <c r="Z65" s="18">
        <f t="shared" si="4"/>
        <v>0</v>
      </c>
      <c r="AA65" s="18"/>
      <c r="AB65" s="18">
        <f t="shared" si="5"/>
        <v>0</v>
      </c>
      <c r="AC65" s="18" t="str">
        <f t="shared" si="6"/>
        <v/>
      </c>
      <c r="AD65" s="18" t="str">
        <f t="shared" si="7"/>
        <v/>
      </c>
      <c r="AF65" t="str">
        <f>IFERROR(INDEX('Task Master'!$D:$D,MATCH($F65,'Task Master'!$C:$C,0)),"")</f>
        <v/>
      </c>
    </row>
    <row r="66" spans="1:32" x14ac:dyDescent="0.25">
      <c r="A66" t="str">
        <f t="shared" ref="A66:A129" si="8">IF(B66="","",ROW()-1)</f>
        <v/>
      </c>
      <c r="B66" s="16"/>
      <c r="D66" t="str">
        <f>IF($C66="","",IFERROR(INDEX('Asset Register'!$B:$B,MATCH($C66,'Asset Register'!$A:$A,0)),""))</f>
        <v/>
      </c>
      <c r="H66" t="str">
        <f>IFERROR(INDEX('Task Master'!$E:$E,MATCH($F66&amp;"||"&amp;$G66,'Task Master'!$K:$K,0)),"")</f>
        <v/>
      </c>
      <c r="I66" t="str">
        <f>IFERROR(INDEX('Task Master'!$F:$F,MATCH($F66&amp;"||"&amp;$G66,'Task Master'!$K:$K,0)),"")</f>
        <v/>
      </c>
      <c r="J66" t="str">
        <f>IFERROR(INDEX('Task Master'!$H:$H,MATCH($F66&amp;"||"&amp;$G66,'Task Master'!$K:$K,0)),"")</f>
        <v/>
      </c>
      <c r="N66" s="18" t="str">
        <f t="shared" ref="N66:N129" si="9">IF(OR($K66="",$L66="",$M66=""),"",$K66*$L66*$M66)</f>
        <v/>
      </c>
      <c r="R66" s="18">
        <f t="shared" ref="R66:R129" si="10">IF(OR($P66="",$Q66=""),0,$P66*$Q66)</f>
        <v>0</v>
      </c>
      <c r="V66" s="18">
        <f t="shared" ref="V66:V129" si="11">IF(OR($T66="",$U66=""),0,$T66*$U66)</f>
        <v>0</v>
      </c>
      <c r="Z66" s="18">
        <f t="shared" ref="Z66:Z129" si="12">IF(OR($X66="",$Y66=""),0,$X66*$Y66)</f>
        <v>0</v>
      </c>
      <c r="AA66" s="18"/>
      <c r="AB66" s="18">
        <f t="shared" ref="AB66:AB129" si="13">$R66+$V66+$Z66</f>
        <v>0</v>
      </c>
      <c r="AC66" s="18" t="str">
        <f t="shared" ref="AC66:AC129" si="14">IF($B66="","",$AB66+$AA66+$N66)</f>
        <v/>
      </c>
      <c r="AD66" s="18" t="str">
        <f t="shared" ref="AD66:AD129" si="15">IF(OR($K66="",$K66=0,$AC66=""),"",$AC66/$K66)</f>
        <v/>
      </c>
      <c r="AF66" t="str">
        <f>IFERROR(INDEX('Task Master'!$D:$D,MATCH($F66,'Task Master'!$C:$C,0)),"")</f>
        <v/>
      </c>
    </row>
    <row r="67" spans="1:32" x14ac:dyDescent="0.25">
      <c r="A67" t="str">
        <f t="shared" si="8"/>
        <v/>
      </c>
      <c r="B67" s="16"/>
      <c r="D67" t="str">
        <f>IF($C67="","",IFERROR(INDEX('Asset Register'!$B:$B,MATCH($C67,'Asset Register'!$A:$A,0)),""))</f>
        <v/>
      </c>
      <c r="H67" t="str">
        <f>IFERROR(INDEX('Task Master'!$E:$E,MATCH($F67&amp;"||"&amp;$G67,'Task Master'!$K:$K,0)),"")</f>
        <v/>
      </c>
      <c r="I67" t="str">
        <f>IFERROR(INDEX('Task Master'!$F:$F,MATCH($F67&amp;"||"&amp;$G67,'Task Master'!$K:$K,0)),"")</f>
        <v/>
      </c>
      <c r="J67" t="str">
        <f>IFERROR(INDEX('Task Master'!$H:$H,MATCH($F67&amp;"||"&amp;$G67,'Task Master'!$K:$K,0)),"")</f>
        <v/>
      </c>
      <c r="N67" s="18" t="str">
        <f t="shared" si="9"/>
        <v/>
      </c>
      <c r="R67" s="18">
        <f t="shared" si="10"/>
        <v>0</v>
      </c>
      <c r="V67" s="18">
        <f t="shared" si="11"/>
        <v>0</v>
      </c>
      <c r="Z67" s="18">
        <f t="shared" si="12"/>
        <v>0</v>
      </c>
      <c r="AA67" s="18"/>
      <c r="AB67" s="18">
        <f t="shared" si="13"/>
        <v>0</v>
      </c>
      <c r="AC67" s="18" t="str">
        <f t="shared" si="14"/>
        <v/>
      </c>
      <c r="AD67" s="18" t="str">
        <f t="shared" si="15"/>
        <v/>
      </c>
      <c r="AF67" t="str">
        <f>IFERROR(INDEX('Task Master'!$D:$D,MATCH($F67,'Task Master'!$C:$C,0)),"")</f>
        <v/>
      </c>
    </row>
    <row r="68" spans="1:32" x14ac:dyDescent="0.25">
      <c r="A68" t="str">
        <f t="shared" si="8"/>
        <v/>
      </c>
      <c r="B68" s="16"/>
      <c r="D68" t="str">
        <f>IF($C68="","",IFERROR(INDEX('Asset Register'!$B:$B,MATCH($C68,'Asset Register'!$A:$A,0)),""))</f>
        <v/>
      </c>
      <c r="H68" t="str">
        <f>IFERROR(INDEX('Task Master'!$E:$E,MATCH($F68&amp;"||"&amp;$G68,'Task Master'!$K:$K,0)),"")</f>
        <v/>
      </c>
      <c r="I68" t="str">
        <f>IFERROR(INDEX('Task Master'!$F:$F,MATCH($F68&amp;"||"&amp;$G68,'Task Master'!$K:$K,0)),"")</f>
        <v/>
      </c>
      <c r="J68" t="str">
        <f>IFERROR(INDEX('Task Master'!$H:$H,MATCH($F68&amp;"||"&amp;$G68,'Task Master'!$K:$K,0)),"")</f>
        <v/>
      </c>
      <c r="N68" s="18" t="str">
        <f t="shared" si="9"/>
        <v/>
      </c>
      <c r="R68" s="18">
        <f t="shared" si="10"/>
        <v>0</v>
      </c>
      <c r="V68" s="18">
        <f t="shared" si="11"/>
        <v>0</v>
      </c>
      <c r="Z68" s="18">
        <f t="shared" si="12"/>
        <v>0</v>
      </c>
      <c r="AA68" s="18"/>
      <c r="AB68" s="18">
        <f t="shared" si="13"/>
        <v>0</v>
      </c>
      <c r="AC68" s="18" t="str">
        <f t="shared" si="14"/>
        <v/>
      </c>
      <c r="AD68" s="18" t="str">
        <f t="shared" si="15"/>
        <v/>
      </c>
      <c r="AF68" t="str">
        <f>IFERROR(INDEX('Task Master'!$D:$D,MATCH($F68,'Task Master'!$C:$C,0)),"")</f>
        <v/>
      </c>
    </row>
    <row r="69" spans="1:32" x14ac:dyDescent="0.25">
      <c r="A69" t="str">
        <f t="shared" si="8"/>
        <v/>
      </c>
      <c r="B69" s="16"/>
      <c r="D69" t="str">
        <f>IF($C69="","",IFERROR(INDEX('Asset Register'!$B:$B,MATCH($C69,'Asset Register'!$A:$A,0)),""))</f>
        <v/>
      </c>
      <c r="H69" t="str">
        <f>IFERROR(INDEX('Task Master'!$E:$E,MATCH($F69&amp;"||"&amp;$G69,'Task Master'!$K:$K,0)),"")</f>
        <v/>
      </c>
      <c r="I69" t="str">
        <f>IFERROR(INDEX('Task Master'!$F:$F,MATCH($F69&amp;"||"&amp;$G69,'Task Master'!$K:$K,0)),"")</f>
        <v/>
      </c>
      <c r="J69" t="str">
        <f>IFERROR(INDEX('Task Master'!$H:$H,MATCH($F69&amp;"||"&amp;$G69,'Task Master'!$K:$K,0)),"")</f>
        <v/>
      </c>
      <c r="N69" s="18" t="str">
        <f t="shared" si="9"/>
        <v/>
      </c>
      <c r="R69" s="18">
        <f t="shared" si="10"/>
        <v>0</v>
      </c>
      <c r="V69" s="18">
        <f t="shared" si="11"/>
        <v>0</v>
      </c>
      <c r="Z69" s="18">
        <f t="shared" si="12"/>
        <v>0</v>
      </c>
      <c r="AA69" s="18"/>
      <c r="AB69" s="18">
        <f t="shared" si="13"/>
        <v>0</v>
      </c>
      <c r="AC69" s="18" t="str">
        <f t="shared" si="14"/>
        <v/>
      </c>
      <c r="AD69" s="18" t="str">
        <f t="shared" si="15"/>
        <v/>
      </c>
      <c r="AF69" t="str">
        <f>IFERROR(INDEX('Task Master'!$D:$D,MATCH($F69,'Task Master'!$C:$C,0)),"")</f>
        <v/>
      </c>
    </row>
    <row r="70" spans="1:32" x14ac:dyDescent="0.25">
      <c r="A70" t="str">
        <f t="shared" si="8"/>
        <v/>
      </c>
      <c r="B70" s="16"/>
      <c r="D70" t="str">
        <f>IF($C70="","",IFERROR(INDEX('Asset Register'!$B:$B,MATCH($C70,'Asset Register'!$A:$A,0)),""))</f>
        <v/>
      </c>
      <c r="H70" t="str">
        <f>IFERROR(INDEX('Task Master'!$E:$E,MATCH($F70&amp;"||"&amp;$G70,'Task Master'!$K:$K,0)),"")</f>
        <v/>
      </c>
      <c r="I70" t="str">
        <f>IFERROR(INDEX('Task Master'!$F:$F,MATCH($F70&amp;"||"&amp;$G70,'Task Master'!$K:$K,0)),"")</f>
        <v/>
      </c>
      <c r="J70" t="str">
        <f>IFERROR(INDEX('Task Master'!$H:$H,MATCH($F70&amp;"||"&amp;$G70,'Task Master'!$K:$K,0)),"")</f>
        <v/>
      </c>
      <c r="N70" s="18" t="str">
        <f t="shared" si="9"/>
        <v/>
      </c>
      <c r="R70" s="18">
        <f t="shared" si="10"/>
        <v>0</v>
      </c>
      <c r="V70" s="18">
        <f t="shared" si="11"/>
        <v>0</v>
      </c>
      <c r="Z70" s="18">
        <f t="shared" si="12"/>
        <v>0</v>
      </c>
      <c r="AA70" s="18"/>
      <c r="AB70" s="18">
        <f t="shared" si="13"/>
        <v>0</v>
      </c>
      <c r="AC70" s="18" t="str">
        <f t="shared" si="14"/>
        <v/>
      </c>
      <c r="AD70" s="18" t="str">
        <f t="shared" si="15"/>
        <v/>
      </c>
      <c r="AF70" t="str">
        <f>IFERROR(INDEX('Task Master'!$D:$D,MATCH($F70,'Task Master'!$C:$C,0)),"")</f>
        <v/>
      </c>
    </row>
    <row r="71" spans="1:32" x14ac:dyDescent="0.25">
      <c r="A71" t="str">
        <f t="shared" si="8"/>
        <v/>
      </c>
      <c r="B71" s="16"/>
      <c r="D71" t="str">
        <f>IF($C71="","",IFERROR(INDEX('Asset Register'!$B:$B,MATCH($C71,'Asset Register'!$A:$A,0)),""))</f>
        <v/>
      </c>
      <c r="H71" t="str">
        <f>IFERROR(INDEX('Task Master'!$E:$E,MATCH($F71&amp;"||"&amp;$G71,'Task Master'!$K:$K,0)),"")</f>
        <v/>
      </c>
      <c r="I71" t="str">
        <f>IFERROR(INDEX('Task Master'!$F:$F,MATCH($F71&amp;"||"&amp;$G71,'Task Master'!$K:$K,0)),"")</f>
        <v/>
      </c>
      <c r="J71" t="str">
        <f>IFERROR(INDEX('Task Master'!$H:$H,MATCH($F71&amp;"||"&amp;$G71,'Task Master'!$K:$K,0)),"")</f>
        <v/>
      </c>
      <c r="N71" s="18" t="str">
        <f t="shared" si="9"/>
        <v/>
      </c>
      <c r="R71" s="18">
        <f t="shared" si="10"/>
        <v>0</v>
      </c>
      <c r="V71" s="18">
        <f t="shared" si="11"/>
        <v>0</v>
      </c>
      <c r="Z71" s="18">
        <f t="shared" si="12"/>
        <v>0</v>
      </c>
      <c r="AA71" s="18"/>
      <c r="AB71" s="18">
        <f t="shared" si="13"/>
        <v>0</v>
      </c>
      <c r="AC71" s="18" t="str">
        <f t="shared" si="14"/>
        <v/>
      </c>
      <c r="AD71" s="18" t="str">
        <f t="shared" si="15"/>
        <v/>
      </c>
      <c r="AF71" t="str">
        <f>IFERROR(INDEX('Task Master'!$D:$D,MATCH($F71,'Task Master'!$C:$C,0)),"")</f>
        <v/>
      </c>
    </row>
    <row r="72" spans="1:32" x14ac:dyDescent="0.25">
      <c r="A72" t="str">
        <f t="shared" si="8"/>
        <v/>
      </c>
      <c r="B72" s="16"/>
      <c r="D72" t="str">
        <f>IF($C72="","",IFERROR(INDEX('Asset Register'!$B:$B,MATCH($C72,'Asset Register'!$A:$A,0)),""))</f>
        <v/>
      </c>
      <c r="H72" t="str">
        <f>IFERROR(INDEX('Task Master'!$E:$E,MATCH($F72&amp;"||"&amp;$G72,'Task Master'!$K:$K,0)),"")</f>
        <v/>
      </c>
      <c r="I72" t="str">
        <f>IFERROR(INDEX('Task Master'!$F:$F,MATCH($F72&amp;"||"&amp;$G72,'Task Master'!$K:$K,0)),"")</f>
        <v/>
      </c>
      <c r="J72" t="str">
        <f>IFERROR(INDEX('Task Master'!$H:$H,MATCH($F72&amp;"||"&amp;$G72,'Task Master'!$K:$K,0)),"")</f>
        <v/>
      </c>
      <c r="N72" s="18" t="str">
        <f t="shared" si="9"/>
        <v/>
      </c>
      <c r="R72" s="18">
        <f t="shared" si="10"/>
        <v>0</v>
      </c>
      <c r="V72" s="18">
        <f t="shared" si="11"/>
        <v>0</v>
      </c>
      <c r="Z72" s="18">
        <f t="shared" si="12"/>
        <v>0</v>
      </c>
      <c r="AA72" s="18"/>
      <c r="AB72" s="18">
        <f t="shared" si="13"/>
        <v>0</v>
      </c>
      <c r="AC72" s="18" t="str">
        <f t="shared" si="14"/>
        <v/>
      </c>
      <c r="AD72" s="18" t="str">
        <f t="shared" si="15"/>
        <v/>
      </c>
      <c r="AF72" t="str">
        <f>IFERROR(INDEX('Task Master'!$D:$D,MATCH($F72,'Task Master'!$C:$C,0)),"")</f>
        <v/>
      </c>
    </row>
    <row r="73" spans="1:32" x14ac:dyDescent="0.25">
      <c r="A73" t="str">
        <f t="shared" si="8"/>
        <v/>
      </c>
      <c r="B73" s="16"/>
      <c r="D73" t="str">
        <f>IF($C73="","",IFERROR(INDEX('Asset Register'!$B:$B,MATCH($C73,'Asset Register'!$A:$A,0)),""))</f>
        <v/>
      </c>
      <c r="H73" t="str">
        <f>IFERROR(INDEX('Task Master'!$E:$E,MATCH($F73&amp;"||"&amp;$G73,'Task Master'!$K:$K,0)),"")</f>
        <v/>
      </c>
      <c r="I73" t="str">
        <f>IFERROR(INDEX('Task Master'!$F:$F,MATCH($F73&amp;"||"&amp;$G73,'Task Master'!$K:$K,0)),"")</f>
        <v/>
      </c>
      <c r="J73" t="str">
        <f>IFERROR(INDEX('Task Master'!$H:$H,MATCH($F73&amp;"||"&amp;$G73,'Task Master'!$K:$K,0)),"")</f>
        <v/>
      </c>
      <c r="N73" s="18" t="str">
        <f t="shared" si="9"/>
        <v/>
      </c>
      <c r="R73" s="18">
        <f t="shared" si="10"/>
        <v>0</v>
      </c>
      <c r="V73" s="18">
        <f t="shared" si="11"/>
        <v>0</v>
      </c>
      <c r="Z73" s="18">
        <f t="shared" si="12"/>
        <v>0</v>
      </c>
      <c r="AA73" s="18"/>
      <c r="AB73" s="18">
        <f t="shared" si="13"/>
        <v>0</v>
      </c>
      <c r="AC73" s="18" t="str">
        <f t="shared" si="14"/>
        <v/>
      </c>
      <c r="AD73" s="18" t="str">
        <f t="shared" si="15"/>
        <v/>
      </c>
      <c r="AF73" t="str">
        <f>IFERROR(INDEX('Task Master'!$D:$D,MATCH($F73,'Task Master'!$C:$C,0)),"")</f>
        <v/>
      </c>
    </row>
    <row r="74" spans="1:32" x14ac:dyDescent="0.25">
      <c r="A74" t="str">
        <f t="shared" si="8"/>
        <v/>
      </c>
      <c r="B74" s="16"/>
      <c r="D74" t="str">
        <f>IF($C74="","",IFERROR(INDEX('Asset Register'!$B:$B,MATCH($C74,'Asset Register'!$A:$A,0)),""))</f>
        <v/>
      </c>
      <c r="H74" t="str">
        <f>IFERROR(INDEX('Task Master'!$E:$E,MATCH($F74&amp;"||"&amp;$G74,'Task Master'!$K:$K,0)),"")</f>
        <v/>
      </c>
      <c r="I74" t="str">
        <f>IFERROR(INDEX('Task Master'!$F:$F,MATCH($F74&amp;"||"&amp;$G74,'Task Master'!$K:$K,0)),"")</f>
        <v/>
      </c>
      <c r="J74" t="str">
        <f>IFERROR(INDEX('Task Master'!$H:$H,MATCH($F74&amp;"||"&amp;$G74,'Task Master'!$K:$K,0)),"")</f>
        <v/>
      </c>
      <c r="N74" s="18" t="str">
        <f t="shared" si="9"/>
        <v/>
      </c>
      <c r="R74" s="18">
        <f t="shared" si="10"/>
        <v>0</v>
      </c>
      <c r="V74" s="18">
        <f t="shared" si="11"/>
        <v>0</v>
      </c>
      <c r="Z74" s="18">
        <f t="shared" si="12"/>
        <v>0</v>
      </c>
      <c r="AA74" s="18"/>
      <c r="AB74" s="18">
        <f t="shared" si="13"/>
        <v>0</v>
      </c>
      <c r="AC74" s="18" t="str">
        <f t="shared" si="14"/>
        <v/>
      </c>
      <c r="AD74" s="18" t="str">
        <f t="shared" si="15"/>
        <v/>
      </c>
      <c r="AF74" t="str">
        <f>IFERROR(INDEX('Task Master'!$D:$D,MATCH($F74,'Task Master'!$C:$C,0)),"")</f>
        <v/>
      </c>
    </row>
    <row r="75" spans="1:32" x14ac:dyDescent="0.25">
      <c r="A75" t="str">
        <f t="shared" si="8"/>
        <v/>
      </c>
      <c r="B75" s="16"/>
      <c r="D75" t="str">
        <f>IF($C75="","",IFERROR(INDEX('Asset Register'!$B:$B,MATCH($C75,'Asset Register'!$A:$A,0)),""))</f>
        <v/>
      </c>
      <c r="H75" t="str">
        <f>IFERROR(INDEX('Task Master'!$E:$E,MATCH($F75&amp;"||"&amp;$G75,'Task Master'!$K:$K,0)),"")</f>
        <v/>
      </c>
      <c r="I75" t="str">
        <f>IFERROR(INDEX('Task Master'!$F:$F,MATCH($F75&amp;"||"&amp;$G75,'Task Master'!$K:$K,0)),"")</f>
        <v/>
      </c>
      <c r="J75" t="str">
        <f>IFERROR(INDEX('Task Master'!$H:$H,MATCH($F75&amp;"||"&amp;$G75,'Task Master'!$K:$K,0)),"")</f>
        <v/>
      </c>
      <c r="N75" s="18" t="str">
        <f t="shared" si="9"/>
        <v/>
      </c>
      <c r="R75" s="18">
        <f t="shared" si="10"/>
        <v>0</v>
      </c>
      <c r="V75" s="18">
        <f t="shared" si="11"/>
        <v>0</v>
      </c>
      <c r="Z75" s="18">
        <f t="shared" si="12"/>
        <v>0</v>
      </c>
      <c r="AA75" s="18"/>
      <c r="AB75" s="18">
        <f t="shared" si="13"/>
        <v>0</v>
      </c>
      <c r="AC75" s="18" t="str">
        <f t="shared" si="14"/>
        <v/>
      </c>
      <c r="AD75" s="18" t="str">
        <f t="shared" si="15"/>
        <v/>
      </c>
      <c r="AF75" t="str">
        <f>IFERROR(INDEX('Task Master'!$D:$D,MATCH($F75,'Task Master'!$C:$C,0)),"")</f>
        <v/>
      </c>
    </row>
    <row r="76" spans="1:32" x14ac:dyDescent="0.25">
      <c r="A76" t="str">
        <f t="shared" si="8"/>
        <v/>
      </c>
      <c r="B76" s="16"/>
      <c r="D76" t="str">
        <f>IF($C76="","",IFERROR(INDEX('Asset Register'!$B:$B,MATCH($C76,'Asset Register'!$A:$A,0)),""))</f>
        <v/>
      </c>
      <c r="H76" t="str">
        <f>IFERROR(INDEX('Task Master'!$E:$E,MATCH($F76&amp;"||"&amp;$G76,'Task Master'!$K:$K,0)),"")</f>
        <v/>
      </c>
      <c r="I76" t="str">
        <f>IFERROR(INDEX('Task Master'!$F:$F,MATCH($F76&amp;"||"&amp;$G76,'Task Master'!$K:$K,0)),"")</f>
        <v/>
      </c>
      <c r="J76" t="str">
        <f>IFERROR(INDEX('Task Master'!$H:$H,MATCH($F76&amp;"||"&amp;$G76,'Task Master'!$K:$K,0)),"")</f>
        <v/>
      </c>
      <c r="N76" s="18" t="str">
        <f t="shared" si="9"/>
        <v/>
      </c>
      <c r="R76" s="18">
        <f t="shared" si="10"/>
        <v>0</v>
      </c>
      <c r="V76" s="18">
        <f t="shared" si="11"/>
        <v>0</v>
      </c>
      <c r="Z76" s="18">
        <f t="shared" si="12"/>
        <v>0</v>
      </c>
      <c r="AA76" s="18"/>
      <c r="AB76" s="18">
        <f t="shared" si="13"/>
        <v>0</v>
      </c>
      <c r="AC76" s="18" t="str">
        <f t="shared" si="14"/>
        <v/>
      </c>
      <c r="AD76" s="18" t="str">
        <f t="shared" si="15"/>
        <v/>
      </c>
      <c r="AF76" t="str">
        <f>IFERROR(INDEX('Task Master'!$D:$D,MATCH($F76,'Task Master'!$C:$C,0)),"")</f>
        <v/>
      </c>
    </row>
    <row r="77" spans="1:32" x14ac:dyDescent="0.25">
      <c r="A77" t="str">
        <f t="shared" si="8"/>
        <v/>
      </c>
      <c r="B77" s="16"/>
      <c r="D77" t="str">
        <f>IF($C77="","",IFERROR(INDEX('Asset Register'!$B:$B,MATCH($C77,'Asset Register'!$A:$A,0)),""))</f>
        <v/>
      </c>
      <c r="H77" t="str">
        <f>IFERROR(INDEX('Task Master'!$E:$E,MATCH($F77&amp;"||"&amp;$G77,'Task Master'!$K:$K,0)),"")</f>
        <v/>
      </c>
      <c r="I77" t="str">
        <f>IFERROR(INDEX('Task Master'!$F:$F,MATCH($F77&amp;"||"&amp;$G77,'Task Master'!$K:$K,0)),"")</f>
        <v/>
      </c>
      <c r="J77" t="str">
        <f>IFERROR(INDEX('Task Master'!$H:$H,MATCH($F77&amp;"||"&amp;$G77,'Task Master'!$K:$K,0)),"")</f>
        <v/>
      </c>
      <c r="N77" s="18" t="str">
        <f t="shared" si="9"/>
        <v/>
      </c>
      <c r="R77" s="18">
        <f t="shared" si="10"/>
        <v>0</v>
      </c>
      <c r="V77" s="18">
        <f t="shared" si="11"/>
        <v>0</v>
      </c>
      <c r="Z77" s="18">
        <f t="shared" si="12"/>
        <v>0</v>
      </c>
      <c r="AA77" s="18"/>
      <c r="AB77" s="18">
        <f t="shared" si="13"/>
        <v>0</v>
      </c>
      <c r="AC77" s="18" t="str">
        <f t="shared" si="14"/>
        <v/>
      </c>
      <c r="AD77" s="18" t="str">
        <f t="shared" si="15"/>
        <v/>
      </c>
      <c r="AF77" t="str">
        <f>IFERROR(INDEX('Task Master'!$D:$D,MATCH($F77,'Task Master'!$C:$C,0)),"")</f>
        <v/>
      </c>
    </row>
    <row r="78" spans="1:32" x14ac:dyDescent="0.25">
      <c r="A78" t="str">
        <f t="shared" si="8"/>
        <v/>
      </c>
      <c r="B78" s="16"/>
      <c r="D78" t="str">
        <f>IF($C78="","",IFERROR(INDEX('Asset Register'!$B:$B,MATCH($C78,'Asset Register'!$A:$A,0)),""))</f>
        <v/>
      </c>
      <c r="H78" t="str">
        <f>IFERROR(INDEX('Task Master'!$E:$E,MATCH($F78&amp;"||"&amp;$G78,'Task Master'!$K:$K,0)),"")</f>
        <v/>
      </c>
      <c r="I78" t="str">
        <f>IFERROR(INDEX('Task Master'!$F:$F,MATCH($F78&amp;"||"&amp;$G78,'Task Master'!$K:$K,0)),"")</f>
        <v/>
      </c>
      <c r="J78" t="str">
        <f>IFERROR(INDEX('Task Master'!$H:$H,MATCH($F78&amp;"||"&amp;$G78,'Task Master'!$K:$K,0)),"")</f>
        <v/>
      </c>
      <c r="N78" s="18" t="str">
        <f t="shared" si="9"/>
        <v/>
      </c>
      <c r="R78" s="18">
        <f t="shared" si="10"/>
        <v>0</v>
      </c>
      <c r="V78" s="18">
        <f t="shared" si="11"/>
        <v>0</v>
      </c>
      <c r="Z78" s="18">
        <f t="shared" si="12"/>
        <v>0</v>
      </c>
      <c r="AA78" s="18"/>
      <c r="AB78" s="18">
        <f t="shared" si="13"/>
        <v>0</v>
      </c>
      <c r="AC78" s="18" t="str">
        <f t="shared" si="14"/>
        <v/>
      </c>
      <c r="AD78" s="18" t="str">
        <f t="shared" si="15"/>
        <v/>
      </c>
      <c r="AF78" t="str">
        <f>IFERROR(INDEX('Task Master'!$D:$D,MATCH($F78,'Task Master'!$C:$C,0)),"")</f>
        <v/>
      </c>
    </row>
    <row r="79" spans="1:32" x14ac:dyDescent="0.25">
      <c r="A79" t="str">
        <f t="shared" si="8"/>
        <v/>
      </c>
      <c r="B79" s="16"/>
      <c r="D79" t="str">
        <f>IF($C79="","",IFERROR(INDEX('Asset Register'!$B:$B,MATCH($C79,'Asset Register'!$A:$A,0)),""))</f>
        <v/>
      </c>
      <c r="H79" t="str">
        <f>IFERROR(INDEX('Task Master'!$E:$E,MATCH($F79&amp;"||"&amp;$G79,'Task Master'!$K:$K,0)),"")</f>
        <v/>
      </c>
      <c r="I79" t="str">
        <f>IFERROR(INDEX('Task Master'!$F:$F,MATCH($F79&amp;"||"&amp;$G79,'Task Master'!$K:$K,0)),"")</f>
        <v/>
      </c>
      <c r="J79" t="str">
        <f>IFERROR(INDEX('Task Master'!$H:$H,MATCH($F79&amp;"||"&amp;$G79,'Task Master'!$K:$K,0)),"")</f>
        <v/>
      </c>
      <c r="N79" s="18" t="str">
        <f t="shared" si="9"/>
        <v/>
      </c>
      <c r="R79" s="18">
        <f t="shared" si="10"/>
        <v>0</v>
      </c>
      <c r="V79" s="18">
        <f t="shared" si="11"/>
        <v>0</v>
      </c>
      <c r="Z79" s="18">
        <f t="shared" si="12"/>
        <v>0</v>
      </c>
      <c r="AA79" s="18"/>
      <c r="AB79" s="18">
        <f t="shared" si="13"/>
        <v>0</v>
      </c>
      <c r="AC79" s="18" t="str">
        <f t="shared" si="14"/>
        <v/>
      </c>
      <c r="AD79" s="18" t="str">
        <f t="shared" si="15"/>
        <v/>
      </c>
      <c r="AF79" t="str">
        <f>IFERROR(INDEX('Task Master'!$D:$D,MATCH($F79,'Task Master'!$C:$C,0)),"")</f>
        <v/>
      </c>
    </row>
    <row r="80" spans="1:32" x14ac:dyDescent="0.25">
      <c r="A80" t="str">
        <f t="shared" si="8"/>
        <v/>
      </c>
      <c r="B80" s="16"/>
      <c r="D80" t="str">
        <f>IF($C80="","",IFERROR(INDEX('Asset Register'!$B:$B,MATCH($C80,'Asset Register'!$A:$A,0)),""))</f>
        <v/>
      </c>
      <c r="H80" t="str">
        <f>IFERROR(INDEX('Task Master'!$E:$E,MATCH($F80&amp;"||"&amp;$G80,'Task Master'!$K:$K,0)),"")</f>
        <v/>
      </c>
      <c r="I80" t="str">
        <f>IFERROR(INDEX('Task Master'!$F:$F,MATCH($F80&amp;"||"&amp;$G80,'Task Master'!$K:$K,0)),"")</f>
        <v/>
      </c>
      <c r="J80" t="str">
        <f>IFERROR(INDEX('Task Master'!$H:$H,MATCH($F80&amp;"||"&amp;$G80,'Task Master'!$K:$K,0)),"")</f>
        <v/>
      </c>
      <c r="N80" s="18" t="str">
        <f t="shared" si="9"/>
        <v/>
      </c>
      <c r="R80" s="18">
        <f t="shared" si="10"/>
        <v>0</v>
      </c>
      <c r="V80" s="18">
        <f t="shared" si="11"/>
        <v>0</v>
      </c>
      <c r="Z80" s="18">
        <f t="shared" si="12"/>
        <v>0</v>
      </c>
      <c r="AA80" s="18"/>
      <c r="AB80" s="18">
        <f t="shared" si="13"/>
        <v>0</v>
      </c>
      <c r="AC80" s="18" t="str">
        <f t="shared" si="14"/>
        <v/>
      </c>
      <c r="AD80" s="18" t="str">
        <f t="shared" si="15"/>
        <v/>
      </c>
      <c r="AF80" t="str">
        <f>IFERROR(INDEX('Task Master'!$D:$D,MATCH($F80,'Task Master'!$C:$C,0)),"")</f>
        <v/>
      </c>
    </row>
    <row r="81" spans="1:32" x14ac:dyDescent="0.25">
      <c r="A81" t="str">
        <f t="shared" si="8"/>
        <v/>
      </c>
      <c r="B81" s="16"/>
      <c r="D81" t="str">
        <f>IF($C81="","",IFERROR(INDEX('Asset Register'!$B:$B,MATCH($C81,'Asset Register'!$A:$A,0)),""))</f>
        <v/>
      </c>
      <c r="H81" t="str">
        <f>IFERROR(INDEX('Task Master'!$E:$E,MATCH($F81&amp;"||"&amp;$G81,'Task Master'!$K:$K,0)),"")</f>
        <v/>
      </c>
      <c r="I81" t="str">
        <f>IFERROR(INDEX('Task Master'!$F:$F,MATCH($F81&amp;"||"&amp;$G81,'Task Master'!$K:$K,0)),"")</f>
        <v/>
      </c>
      <c r="J81" t="str">
        <f>IFERROR(INDEX('Task Master'!$H:$H,MATCH($F81&amp;"||"&amp;$G81,'Task Master'!$K:$K,0)),"")</f>
        <v/>
      </c>
      <c r="N81" s="18" t="str">
        <f t="shared" si="9"/>
        <v/>
      </c>
      <c r="R81" s="18">
        <f t="shared" si="10"/>
        <v>0</v>
      </c>
      <c r="V81" s="18">
        <f t="shared" si="11"/>
        <v>0</v>
      </c>
      <c r="Z81" s="18">
        <f t="shared" si="12"/>
        <v>0</v>
      </c>
      <c r="AA81" s="18"/>
      <c r="AB81" s="18">
        <f t="shared" si="13"/>
        <v>0</v>
      </c>
      <c r="AC81" s="18" t="str">
        <f t="shared" si="14"/>
        <v/>
      </c>
      <c r="AD81" s="18" t="str">
        <f t="shared" si="15"/>
        <v/>
      </c>
      <c r="AF81" t="str">
        <f>IFERROR(INDEX('Task Master'!$D:$D,MATCH($F81,'Task Master'!$C:$C,0)),"")</f>
        <v/>
      </c>
    </row>
    <row r="82" spans="1:32" x14ac:dyDescent="0.25">
      <c r="A82" t="str">
        <f t="shared" si="8"/>
        <v/>
      </c>
      <c r="B82" s="16"/>
      <c r="D82" t="str">
        <f>IF($C82="","",IFERROR(INDEX('Asset Register'!$B:$B,MATCH($C82,'Asset Register'!$A:$A,0)),""))</f>
        <v/>
      </c>
      <c r="H82" t="str">
        <f>IFERROR(INDEX('Task Master'!$E:$E,MATCH($F82&amp;"||"&amp;$G82,'Task Master'!$K:$K,0)),"")</f>
        <v/>
      </c>
      <c r="I82" t="str">
        <f>IFERROR(INDEX('Task Master'!$F:$F,MATCH($F82&amp;"||"&amp;$G82,'Task Master'!$K:$K,0)),"")</f>
        <v/>
      </c>
      <c r="J82" t="str">
        <f>IFERROR(INDEX('Task Master'!$H:$H,MATCH($F82&amp;"||"&amp;$G82,'Task Master'!$K:$K,0)),"")</f>
        <v/>
      </c>
      <c r="N82" s="18" t="str">
        <f t="shared" si="9"/>
        <v/>
      </c>
      <c r="R82" s="18">
        <f t="shared" si="10"/>
        <v>0</v>
      </c>
      <c r="V82" s="18">
        <f t="shared" si="11"/>
        <v>0</v>
      </c>
      <c r="Z82" s="18">
        <f t="shared" si="12"/>
        <v>0</v>
      </c>
      <c r="AA82" s="18"/>
      <c r="AB82" s="18">
        <f t="shared" si="13"/>
        <v>0</v>
      </c>
      <c r="AC82" s="18" t="str">
        <f t="shared" si="14"/>
        <v/>
      </c>
      <c r="AD82" s="18" t="str">
        <f t="shared" si="15"/>
        <v/>
      </c>
      <c r="AF82" t="str">
        <f>IFERROR(INDEX('Task Master'!$D:$D,MATCH($F82,'Task Master'!$C:$C,0)),"")</f>
        <v/>
      </c>
    </row>
    <row r="83" spans="1:32" x14ac:dyDescent="0.25">
      <c r="A83" t="str">
        <f t="shared" si="8"/>
        <v/>
      </c>
      <c r="B83" s="16"/>
      <c r="D83" t="str">
        <f>IF($C83="","",IFERROR(INDEX('Asset Register'!$B:$B,MATCH($C83,'Asset Register'!$A:$A,0)),""))</f>
        <v/>
      </c>
      <c r="H83" t="str">
        <f>IFERROR(INDEX('Task Master'!$E:$E,MATCH($F83&amp;"||"&amp;$G83,'Task Master'!$K:$K,0)),"")</f>
        <v/>
      </c>
      <c r="I83" t="str">
        <f>IFERROR(INDEX('Task Master'!$F:$F,MATCH($F83&amp;"||"&amp;$G83,'Task Master'!$K:$K,0)),"")</f>
        <v/>
      </c>
      <c r="J83" t="str">
        <f>IFERROR(INDEX('Task Master'!$H:$H,MATCH($F83&amp;"||"&amp;$G83,'Task Master'!$K:$K,0)),"")</f>
        <v/>
      </c>
      <c r="N83" s="18" t="str">
        <f t="shared" si="9"/>
        <v/>
      </c>
      <c r="R83" s="18">
        <f t="shared" si="10"/>
        <v>0</v>
      </c>
      <c r="V83" s="18">
        <f t="shared" si="11"/>
        <v>0</v>
      </c>
      <c r="Z83" s="18">
        <f t="shared" si="12"/>
        <v>0</v>
      </c>
      <c r="AA83" s="18"/>
      <c r="AB83" s="18">
        <f t="shared" si="13"/>
        <v>0</v>
      </c>
      <c r="AC83" s="18" t="str">
        <f t="shared" si="14"/>
        <v/>
      </c>
      <c r="AD83" s="18" t="str">
        <f t="shared" si="15"/>
        <v/>
      </c>
      <c r="AF83" t="str">
        <f>IFERROR(INDEX('Task Master'!$D:$D,MATCH($F83,'Task Master'!$C:$C,0)),"")</f>
        <v/>
      </c>
    </row>
    <row r="84" spans="1:32" x14ac:dyDescent="0.25">
      <c r="A84" t="str">
        <f t="shared" si="8"/>
        <v/>
      </c>
      <c r="B84" s="16"/>
      <c r="D84" t="str">
        <f>IF($C84="","",IFERROR(INDEX('Asset Register'!$B:$B,MATCH($C84,'Asset Register'!$A:$A,0)),""))</f>
        <v/>
      </c>
      <c r="H84" t="str">
        <f>IFERROR(INDEX('Task Master'!$E:$E,MATCH($F84&amp;"||"&amp;$G84,'Task Master'!$K:$K,0)),"")</f>
        <v/>
      </c>
      <c r="I84" t="str">
        <f>IFERROR(INDEX('Task Master'!$F:$F,MATCH($F84&amp;"||"&amp;$G84,'Task Master'!$K:$K,0)),"")</f>
        <v/>
      </c>
      <c r="J84" t="str">
        <f>IFERROR(INDEX('Task Master'!$H:$H,MATCH($F84&amp;"||"&amp;$G84,'Task Master'!$K:$K,0)),"")</f>
        <v/>
      </c>
      <c r="N84" s="18" t="str">
        <f t="shared" si="9"/>
        <v/>
      </c>
      <c r="R84" s="18">
        <f t="shared" si="10"/>
        <v>0</v>
      </c>
      <c r="V84" s="18">
        <f t="shared" si="11"/>
        <v>0</v>
      </c>
      <c r="Z84" s="18">
        <f t="shared" si="12"/>
        <v>0</v>
      </c>
      <c r="AA84" s="18"/>
      <c r="AB84" s="18">
        <f t="shared" si="13"/>
        <v>0</v>
      </c>
      <c r="AC84" s="18" t="str">
        <f t="shared" si="14"/>
        <v/>
      </c>
      <c r="AD84" s="18" t="str">
        <f t="shared" si="15"/>
        <v/>
      </c>
      <c r="AF84" t="str">
        <f>IFERROR(INDEX('Task Master'!$D:$D,MATCH($F84,'Task Master'!$C:$C,0)),"")</f>
        <v/>
      </c>
    </row>
    <row r="85" spans="1:32" x14ac:dyDescent="0.25">
      <c r="A85" t="str">
        <f t="shared" si="8"/>
        <v/>
      </c>
      <c r="B85" s="16"/>
      <c r="D85" t="str">
        <f>IF($C85="","",IFERROR(INDEX('Asset Register'!$B:$B,MATCH($C85,'Asset Register'!$A:$A,0)),""))</f>
        <v/>
      </c>
      <c r="H85" t="str">
        <f>IFERROR(INDEX('Task Master'!$E:$E,MATCH($F85&amp;"||"&amp;$G85,'Task Master'!$K:$K,0)),"")</f>
        <v/>
      </c>
      <c r="I85" t="str">
        <f>IFERROR(INDEX('Task Master'!$F:$F,MATCH($F85&amp;"||"&amp;$G85,'Task Master'!$K:$K,0)),"")</f>
        <v/>
      </c>
      <c r="J85" t="str">
        <f>IFERROR(INDEX('Task Master'!$H:$H,MATCH($F85&amp;"||"&amp;$G85,'Task Master'!$K:$K,0)),"")</f>
        <v/>
      </c>
      <c r="N85" s="18" t="str">
        <f t="shared" si="9"/>
        <v/>
      </c>
      <c r="R85" s="18">
        <f t="shared" si="10"/>
        <v>0</v>
      </c>
      <c r="V85" s="18">
        <f t="shared" si="11"/>
        <v>0</v>
      </c>
      <c r="Z85" s="18">
        <f t="shared" si="12"/>
        <v>0</v>
      </c>
      <c r="AA85" s="18"/>
      <c r="AB85" s="18">
        <f t="shared" si="13"/>
        <v>0</v>
      </c>
      <c r="AC85" s="18" t="str">
        <f t="shared" si="14"/>
        <v/>
      </c>
      <c r="AD85" s="18" t="str">
        <f t="shared" si="15"/>
        <v/>
      </c>
      <c r="AF85" t="str">
        <f>IFERROR(INDEX('Task Master'!$D:$D,MATCH($F85,'Task Master'!$C:$C,0)),"")</f>
        <v/>
      </c>
    </row>
    <row r="86" spans="1:32" x14ac:dyDescent="0.25">
      <c r="A86" t="str">
        <f t="shared" si="8"/>
        <v/>
      </c>
      <c r="B86" s="16"/>
      <c r="D86" t="str">
        <f>IF($C86="","",IFERROR(INDEX('Asset Register'!$B:$B,MATCH($C86,'Asset Register'!$A:$A,0)),""))</f>
        <v/>
      </c>
      <c r="H86" t="str">
        <f>IFERROR(INDEX('Task Master'!$E:$E,MATCH($F86&amp;"||"&amp;$G86,'Task Master'!$K:$K,0)),"")</f>
        <v/>
      </c>
      <c r="I86" t="str">
        <f>IFERROR(INDEX('Task Master'!$F:$F,MATCH($F86&amp;"||"&amp;$G86,'Task Master'!$K:$K,0)),"")</f>
        <v/>
      </c>
      <c r="J86" t="str">
        <f>IFERROR(INDEX('Task Master'!$H:$H,MATCH($F86&amp;"||"&amp;$G86,'Task Master'!$K:$K,0)),"")</f>
        <v/>
      </c>
      <c r="N86" s="18" t="str">
        <f t="shared" si="9"/>
        <v/>
      </c>
      <c r="R86" s="18">
        <f t="shared" si="10"/>
        <v>0</v>
      </c>
      <c r="V86" s="18">
        <f t="shared" si="11"/>
        <v>0</v>
      </c>
      <c r="Z86" s="18">
        <f t="shared" si="12"/>
        <v>0</v>
      </c>
      <c r="AA86" s="18"/>
      <c r="AB86" s="18">
        <f t="shared" si="13"/>
        <v>0</v>
      </c>
      <c r="AC86" s="18" t="str">
        <f t="shared" si="14"/>
        <v/>
      </c>
      <c r="AD86" s="18" t="str">
        <f t="shared" si="15"/>
        <v/>
      </c>
      <c r="AF86" t="str">
        <f>IFERROR(INDEX('Task Master'!$D:$D,MATCH($F86,'Task Master'!$C:$C,0)),"")</f>
        <v/>
      </c>
    </row>
    <row r="87" spans="1:32" x14ac:dyDescent="0.25">
      <c r="A87" t="str">
        <f t="shared" si="8"/>
        <v/>
      </c>
      <c r="B87" s="16"/>
      <c r="D87" t="str">
        <f>IF($C87="","",IFERROR(INDEX('Asset Register'!$B:$B,MATCH($C87,'Asset Register'!$A:$A,0)),""))</f>
        <v/>
      </c>
      <c r="H87" t="str">
        <f>IFERROR(INDEX('Task Master'!$E:$E,MATCH($F87&amp;"||"&amp;$G87,'Task Master'!$K:$K,0)),"")</f>
        <v/>
      </c>
      <c r="I87" t="str">
        <f>IFERROR(INDEX('Task Master'!$F:$F,MATCH($F87&amp;"||"&amp;$G87,'Task Master'!$K:$K,0)),"")</f>
        <v/>
      </c>
      <c r="J87" t="str">
        <f>IFERROR(INDEX('Task Master'!$H:$H,MATCH($F87&amp;"||"&amp;$G87,'Task Master'!$K:$K,0)),"")</f>
        <v/>
      </c>
      <c r="N87" s="18" t="str">
        <f t="shared" si="9"/>
        <v/>
      </c>
      <c r="R87" s="18">
        <f t="shared" si="10"/>
        <v>0</v>
      </c>
      <c r="V87" s="18">
        <f t="shared" si="11"/>
        <v>0</v>
      </c>
      <c r="Z87" s="18">
        <f t="shared" si="12"/>
        <v>0</v>
      </c>
      <c r="AA87" s="18"/>
      <c r="AB87" s="18">
        <f t="shared" si="13"/>
        <v>0</v>
      </c>
      <c r="AC87" s="18" t="str">
        <f t="shared" si="14"/>
        <v/>
      </c>
      <c r="AD87" s="18" t="str">
        <f t="shared" si="15"/>
        <v/>
      </c>
      <c r="AF87" t="str">
        <f>IFERROR(INDEX('Task Master'!$D:$D,MATCH($F87,'Task Master'!$C:$C,0)),"")</f>
        <v/>
      </c>
    </row>
    <row r="88" spans="1:32" x14ac:dyDescent="0.25">
      <c r="A88" t="str">
        <f t="shared" si="8"/>
        <v/>
      </c>
      <c r="B88" s="16"/>
      <c r="D88" t="str">
        <f>IF($C88="","",IFERROR(INDEX('Asset Register'!$B:$B,MATCH($C88,'Asset Register'!$A:$A,0)),""))</f>
        <v/>
      </c>
      <c r="H88" t="str">
        <f>IFERROR(INDEX('Task Master'!$E:$E,MATCH($F88&amp;"||"&amp;$G88,'Task Master'!$K:$K,0)),"")</f>
        <v/>
      </c>
      <c r="I88" t="str">
        <f>IFERROR(INDEX('Task Master'!$F:$F,MATCH($F88&amp;"||"&amp;$G88,'Task Master'!$K:$K,0)),"")</f>
        <v/>
      </c>
      <c r="J88" t="str">
        <f>IFERROR(INDEX('Task Master'!$H:$H,MATCH($F88&amp;"||"&amp;$G88,'Task Master'!$K:$K,0)),"")</f>
        <v/>
      </c>
      <c r="N88" s="18" t="str">
        <f t="shared" si="9"/>
        <v/>
      </c>
      <c r="R88" s="18">
        <f t="shared" si="10"/>
        <v>0</v>
      </c>
      <c r="V88" s="18">
        <f t="shared" si="11"/>
        <v>0</v>
      </c>
      <c r="Z88" s="18">
        <f t="shared" si="12"/>
        <v>0</v>
      </c>
      <c r="AA88" s="18"/>
      <c r="AB88" s="18">
        <f t="shared" si="13"/>
        <v>0</v>
      </c>
      <c r="AC88" s="18" t="str">
        <f t="shared" si="14"/>
        <v/>
      </c>
      <c r="AD88" s="18" t="str">
        <f t="shared" si="15"/>
        <v/>
      </c>
      <c r="AF88" t="str">
        <f>IFERROR(INDEX('Task Master'!$D:$D,MATCH($F88,'Task Master'!$C:$C,0)),"")</f>
        <v/>
      </c>
    </row>
    <row r="89" spans="1:32" x14ac:dyDescent="0.25">
      <c r="A89" t="str">
        <f t="shared" si="8"/>
        <v/>
      </c>
      <c r="B89" s="16"/>
      <c r="D89" t="str">
        <f>IF($C89="","",IFERROR(INDEX('Asset Register'!$B:$B,MATCH($C89,'Asset Register'!$A:$A,0)),""))</f>
        <v/>
      </c>
      <c r="H89" t="str">
        <f>IFERROR(INDEX('Task Master'!$E:$E,MATCH($F89&amp;"||"&amp;$G89,'Task Master'!$K:$K,0)),"")</f>
        <v/>
      </c>
      <c r="I89" t="str">
        <f>IFERROR(INDEX('Task Master'!$F:$F,MATCH($F89&amp;"||"&amp;$G89,'Task Master'!$K:$K,0)),"")</f>
        <v/>
      </c>
      <c r="J89" t="str">
        <f>IFERROR(INDEX('Task Master'!$H:$H,MATCH($F89&amp;"||"&amp;$G89,'Task Master'!$K:$K,0)),"")</f>
        <v/>
      </c>
      <c r="N89" s="18" t="str">
        <f t="shared" si="9"/>
        <v/>
      </c>
      <c r="R89" s="18">
        <f t="shared" si="10"/>
        <v>0</v>
      </c>
      <c r="V89" s="18">
        <f t="shared" si="11"/>
        <v>0</v>
      </c>
      <c r="Z89" s="18">
        <f t="shared" si="12"/>
        <v>0</v>
      </c>
      <c r="AA89" s="18"/>
      <c r="AB89" s="18">
        <f t="shared" si="13"/>
        <v>0</v>
      </c>
      <c r="AC89" s="18" t="str">
        <f t="shared" si="14"/>
        <v/>
      </c>
      <c r="AD89" s="18" t="str">
        <f t="shared" si="15"/>
        <v/>
      </c>
      <c r="AF89" t="str">
        <f>IFERROR(INDEX('Task Master'!$D:$D,MATCH($F89,'Task Master'!$C:$C,0)),"")</f>
        <v/>
      </c>
    </row>
    <row r="90" spans="1:32" x14ac:dyDescent="0.25">
      <c r="A90" t="str">
        <f t="shared" si="8"/>
        <v/>
      </c>
      <c r="B90" s="16"/>
      <c r="D90" t="str">
        <f>IF($C90="","",IFERROR(INDEX('Asset Register'!$B:$B,MATCH($C90,'Asset Register'!$A:$A,0)),""))</f>
        <v/>
      </c>
      <c r="H90" t="str">
        <f>IFERROR(INDEX('Task Master'!$E:$E,MATCH($F90&amp;"||"&amp;$G90,'Task Master'!$K:$K,0)),"")</f>
        <v/>
      </c>
      <c r="I90" t="str">
        <f>IFERROR(INDEX('Task Master'!$F:$F,MATCH($F90&amp;"||"&amp;$G90,'Task Master'!$K:$K,0)),"")</f>
        <v/>
      </c>
      <c r="J90" t="str">
        <f>IFERROR(INDEX('Task Master'!$H:$H,MATCH($F90&amp;"||"&amp;$G90,'Task Master'!$K:$K,0)),"")</f>
        <v/>
      </c>
      <c r="N90" s="18" t="str">
        <f t="shared" si="9"/>
        <v/>
      </c>
      <c r="R90" s="18">
        <f t="shared" si="10"/>
        <v>0</v>
      </c>
      <c r="V90" s="18">
        <f t="shared" si="11"/>
        <v>0</v>
      </c>
      <c r="Z90" s="18">
        <f t="shared" si="12"/>
        <v>0</v>
      </c>
      <c r="AA90" s="18"/>
      <c r="AB90" s="18">
        <f t="shared" si="13"/>
        <v>0</v>
      </c>
      <c r="AC90" s="18" t="str">
        <f t="shared" si="14"/>
        <v/>
      </c>
      <c r="AD90" s="18" t="str">
        <f t="shared" si="15"/>
        <v/>
      </c>
      <c r="AF90" t="str">
        <f>IFERROR(INDEX('Task Master'!$D:$D,MATCH($F90,'Task Master'!$C:$C,0)),"")</f>
        <v/>
      </c>
    </row>
    <row r="91" spans="1:32" x14ac:dyDescent="0.25">
      <c r="A91" t="str">
        <f t="shared" si="8"/>
        <v/>
      </c>
      <c r="B91" s="16"/>
      <c r="D91" t="str">
        <f>IF($C91="","",IFERROR(INDEX('Asset Register'!$B:$B,MATCH($C91,'Asset Register'!$A:$A,0)),""))</f>
        <v/>
      </c>
      <c r="H91" t="str">
        <f>IFERROR(INDEX('Task Master'!$E:$E,MATCH($F91&amp;"||"&amp;$G91,'Task Master'!$K:$K,0)),"")</f>
        <v/>
      </c>
      <c r="I91" t="str">
        <f>IFERROR(INDEX('Task Master'!$F:$F,MATCH($F91&amp;"||"&amp;$G91,'Task Master'!$K:$K,0)),"")</f>
        <v/>
      </c>
      <c r="J91" t="str">
        <f>IFERROR(INDEX('Task Master'!$H:$H,MATCH($F91&amp;"||"&amp;$G91,'Task Master'!$K:$K,0)),"")</f>
        <v/>
      </c>
      <c r="N91" s="18" t="str">
        <f t="shared" si="9"/>
        <v/>
      </c>
      <c r="R91" s="18">
        <f t="shared" si="10"/>
        <v>0</v>
      </c>
      <c r="V91" s="18">
        <f t="shared" si="11"/>
        <v>0</v>
      </c>
      <c r="Z91" s="18">
        <f t="shared" si="12"/>
        <v>0</v>
      </c>
      <c r="AA91" s="18"/>
      <c r="AB91" s="18">
        <f t="shared" si="13"/>
        <v>0</v>
      </c>
      <c r="AC91" s="18" t="str">
        <f t="shared" si="14"/>
        <v/>
      </c>
      <c r="AD91" s="18" t="str">
        <f t="shared" si="15"/>
        <v/>
      </c>
      <c r="AF91" t="str">
        <f>IFERROR(INDEX('Task Master'!$D:$D,MATCH($F91,'Task Master'!$C:$C,0)),"")</f>
        <v/>
      </c>
    </row>
    <row r="92" spans="1:32" x14ac:dyDescent="0.25">
      <c r="A92" t="str">
        <f t="shared" si="8"/>
        <v/>
      </c>
      <c r="B92" s="16"/>
      <c r="D92" t="str">
        <f>IF($C92="","",IFERROR(INDEX('Asset Register'!$B:$B,MATCH($C92,'Asset Register'!$A:$A,0)),""))</f>
        <v/>
      </c>
      <c r="H92" t="str">
        <f>IFERROR(INDEX('Task Master'!$E:$E,MATCH($F92&amp;"||"&amp;$G92,'Task Master'!$K:$K,0)),"")</f>
        <v/>
      </c>
      <c r="I92" t="str">
        <f>IFERROR(INDEX('Task Master'!$F:$F,MATCH($F92&amp;"||"&amp;$G92,'Task Master'!$K:$K,0)),"")</f>
        <v/>
      </c>
      <c r="J92" t="str">
        <f>IFERROR(INDEX('Task Master'!$H:$H,MATCH($F92&amp;"||"&amp;$G92,'Task Master'!$K:$K,0)),"")</f>
        <v/>
      </c>
      <c r="N92" s="18" t="str">
        <f t="shared" si="9"/>
        <v/>
      </c>
      <c r="R92" s="18">
        <f t="shared" si="10"/>
        <v>0</v>
      </c>
      <c r="V92" s="18">
        <f t="shared" si="11"/>
        <v>0</v>
      </c>
      <c r="Z92" s="18">
        <f t="shared" si="12"/>
        <v>0</v>
      </c>
      <c r="AA92" s="18"/>
      <c r="AB92" s="18">
        <f t="shared" si="13"/>
        <v>0</v>
      </c>
      <c r="AC92" s="18" t="str">
        <f t="shared" si="14"/>
        <v/>
      </c>
      <c r="AD92" s="18" t="str">
        <f t="shared" si="15"/>
        <v/>
      </c>
      <c r="AF92" t="str">
        <f>IFERROR(INDEX('Task Master'!$D:$D,MATCH($F92,'Task Master'!$C:$C,0)),"")</f>
        <v/>
      </c>
    </row>
    <row r="93" spans="1:32" x14ac:dyDescent="0.25">
      <c r="A93" t="str">
        <f t="shared" si="8"/>
        <v/>
      </c>
      <c r="B93" s="16"/>
      <c r="D93" t="str">
        <f>IF($C93="","",IFERROR(INDEX('Asset Register'!$B:$B,MATCH($C93,'Asset Register'!$A:$A,0)),""))</f>
        <v/>
      </c>
      <c r="H93" t="str">
        <f>IFERROR(INDEX('Task Master'!$E:$E,MATCH($F93&amp;"||"&amp;$G93,'Task Master'!$K:$K,0)),"")</f>
        <v/>
      </c>
      <c r="I93" t="str">
        <f>IFERROR(INDEX('Task Master'!$F:$F,MATCH($F93&amp;"||"&amp;$G93,'Task Master'!$K:$K,0)),"")</f>
        <v/>
      </c>
      <c r="J93" t="str">
        <f>IFERROR(INDEX('Task Master'!$H:$H,MATCH($F93&amp;"||"&amp;$G93,'Task Master'!$K:$K,0)),"")</f>
        <v/>
      </c>
      <c r="N93" s="18" t="str">
        <f t="shared" si="9"/>
        <v/>
      </c>
      <c r="R93" s="18">
        <f t="shared" si="10"/>
        <v>0</v>
      </c>
      <c r="V93" s="18">
        <f t="shared" si="11"/>
        <v>0</v>
      </c>
      <c r="Z93" s="18">
        <f t="shared" si="12"/>
        <v>0</v>
      </c>
      <c r="AA93" s="18"/>
      <c r="AB93" s="18">
        <f t="shared" si="13"/>
        <v>0</v>
      </c>
      <c r="AC93" s="18" t="str">
        <f t="shared" si="14"/>
        <v/>
      </c>
      <c r="AD93" s="18" t="str">
        <f t="shared" si="15"/>
        <v/>
      </c>
      <c r="AF93" t="str">
        <f>IFERROR(INDEX('Task Master'!$D:$D,MATCH($F93,'Task Master'!$C:$C,0)),"")</f>
        <v/>
      </c>
    </row>
    <row r="94" spans="1:32" x14ac:dyDescent="0.25">
      <c r="A94" t="str">
        <f t="shared" si="8"/>
        <v/>
      </c>
      <c r="B94" s="16"/>
      <c r="D94" t="str">
        <f>IF($C94="","",IFERROR(INDEX('Asset Register'!$B:$B,MATCH($C94,'Asset Register'!$A:$A,0)),""))</f>
        <v/>
      </c>
      <c r="H94" t="str">
        <f>IFERROR(INDEX('Task Master'!$E:$E,MATCH($F94&amp;"||"&amp;$G94,'Task Master'!$K:$K,0)),"")</f>
        <v/>
      </c>
      <c r="I94" t="str">
        <f>IFERROR(INDEX('Task Master'!$F:$F,MATCH($F94&amp;"||"&amp;$G94,'Task Master'!$K:$K,0)),"")</f>
        <v/>
      </c>
      <c r="J94" t="str">
        <f>IFERROR(INDEX('Task Master'!$H:$H,MATCH($F94&amp;"||"&amp;$G94,'Task Master'!$K:$K,0)),"")</f>
        <v/>
      </c>
      <c r="N94" s="18" t="str">
        <f t="shared" si="9"/>
        <v/>
      </c>
      <c r="R94" s="18">
        <f t="shared" si="10"/>
        <v>0</v>
      </c>
      <c r="V94" s="18">
        <f t="shared" si="11"/>
        <v>0</v>
      </c>
      <c r="Z94" s="18">
        <f t="shared" si="12"/>
        <v>0</v>
      </c>
      <c r="AA94" s="18"/>
      <c r="AB94" s="18">
        <f t="shared" si="13"/>
        <v>0</v>
      </c>
      <c r="AC94" s="18" t="str">
        <f t="shared" si="14"/>
        <v/>
      </c>
      <c r="AD94" s="18" t="str">
        <f t="shared" si="15"/>
        <v/>
      </c>
      <c r="AF94" t="str">
        <f>IFERROR(INDEX('Task Master'!$D:$D,MATCH($F94,'Task Master'!$C:$C,0)),"")</f>
        <v/>
      </c>
    </row>
    <row r="95" spans="1:32" x14ac:dyDescent="0.25">
      <c r="A95" t="str">
        <f t="shared" si="8"/>
        <v/>
      </c>
      <c r="B95" s="16"/>
      <c r="D95" t="str">
        <f>IF($C95="","",IFERROR(INDEX('Asset Register'!$B:$B,MATCH($C95,'Asset Register'!$A:$A,0)),""))</f>
        <v/>
      </c>
      <c r="H95" t="str">
        <f>IFERROR(INDEX('Task Master'!$E:$E,MATCH($F95&amp;"||"&amp;$G95,'Task Master'!$K:$K,0)),"")</f>
        <v/>
      </c>
      <c r="I95" t="str">
        <f>IFERROR(INDEX('Task Master'!$F:$F,MATCH($F95&amp;"||"&amp;$G95,'Task Master'!$K:$K,0)),"")</f>
        <v/>
      </c>
      <c r="J95" t="str">
        <f>IFERROR(INDEX('Task Master'!$H:$H,MATCH($F95&amp;"||"&amp;$G95,'Task Master'!$K:$K,0)),"")</f>
        <v/>
      </c>
      <c r="N95" s="18" t="str">
        <f t="shared" si="9"/>
        <v/>
      </c>
      <c r="R95" s="18">
        <f t="shared" si="10"/>
        <v>0</v>
      </c>
      <c r="V95" s="18">
        <f t="shared" si="11"/>
        <v>0</v>
      </c>
      <c r="Z95" s="18">
        <f t="shared" si="12"/>
        <v>0</v>
      </c>
      <c r="AA95" s="18"/>
      <c r="AB95" s="18">
        <f t="shared" si="13"/>
        <v>0</v>
      </c>
      <c r="AC95" s="18" t="str">
        <f t="shared" si="14"/>
        <v/>
      </c>
      <c r="AD95" s="18" t="str">
        <f t="shared" si="15"/>
        <v/>
      </c>
      <c r="AF95" t="str">
        <f>IFERROR(INDEX('Task Master'!$D:$D,MATCH($F95,'Task Master'!$C:$C,0)),"")</f>
        <v/>
      </c>
    </row>
    <row r="96" spans="1:32" x14ac:dyDescent="0.25">
      <c r="A96" t="str">
        <f t="shared" si="8"/>
        <v/>
      </c>
      <c r="B96" s="16"/>
      <c r="D96" t="str">
        <f>IF($C96="","",IFERROR(INDEX('Asset Register'!$B:$B,MATCH($C96,'Asset Register'!$A:$A,0)),""))</f>
        <v/>
      </c>
      <c r="H96" t="str">
        <f>IFERROR(INDEX('Task Master'!$E:$E,MATCH($F96&amp;"||"&amp;$G96,'Task Master'!$K:$K,0)),"")</f>
        <v/>
      </c>
      <c r="I96" t="str">
        <f>IFERROR(INDEX('Task Master'!$F:$F,MATCH($F96&amp;"||"&amp;$G96,'Task Master'!$K:$K,0)),"")</f>
        <v/>
      </c>
      <c r="J96" t="str">
        <f>IFERROR(INDEX('Task Master'!$H:$H,MATCH($F96&amp;"||"&amp;$G96,'Task Master'!$K:$K,0)),"")</f>
        <v/>
      </c>
      <c r="N96" s="18" t="str">
        <f t="shared" si="9"/>
        <v/>
      </c>
      <c r="R96" s="18">
        <f t="shared" si="10"/>
        <v>0</v>
      </c>
      <c r="V96" s="18">
        <f t="shared" si="11"/>
        <v>0</v>
      </c>
      <c r="Z96" s="18">
        <f t="shared" si="12"/>
        <v>0</v>
      </c>
      <c r="AA96" s="18"/>
      <c r="AB96" s="18">
        <f t="shared" si="13"/>
        <v>0</v>
      </c>
      <c r="AC96" s="18" t="str">
        <f t="shared" si="14"/>
        <v/>
      </c>
      <c r="AD96" s="18" t="str">
        <f t="shared" si="15"/>
        <v/>
      </c>
      <c r="AF96" t="str">
        <f>IFERROR(INDEX('Task Master'!$D:$D,MATCH($F96,'Task Master'!$C:$C,0)),"")</f>
        <v/>
      </c>
    </row>
    <row r="97" spans="1:32" x14ac:dyDescent="0.25">
      <c r="A97" t="str">
        <f t="shared" si="8"/>
        <v/>
      </c>
      <c r="B97" s="16"/>
      <c r="D97" t="str">
        <f>IF($C97="","",IFERROR(INDEX('Asset Register'!$B:$B,MATCH($C97,'Asset Register'!$A:$A,0)),""))</f>
        <v/>
      </c>
      <c r="H97" t="str">
        <f>IFERROR(INDEX('Task Master'!$E:$E,MATCH($F97&amp;"||"&amp;$G97,'Task Master'!$K:$K,0)),"")</f>
        <v/>
      </c>
      <c r="I97" t="str">
        <f>IFERROR(INDEX('Task Master'!$F:$F,MATCH($F97&amp;"||"&amp;$G97,'Task Master'!$K:$K,0)),"")</f>
        <v/>
      </c>
      <c r="J97" t="str">
        <f>IFERROR(INDEX('Task Master'!$H:$H,MATCH($F97&amp;"||"&amp;$G97,'Task Master'!$K:$K,0)),"")</f>
        <v/>
      </c>
      <c r="N97" s="18" t="str">
        <f t="shared" si="9"/>
        <v/>
      </c>
      <c r="R97" s="18">
        <f t="shared" si="10"/>
        <v>0</v>
      </c>
      <c r="V97" s="18">
        <f t="shared" si="11"/>
        <v>0</v>
      </c>
      <c r="Z97" s="18">
        <f t="shared" si="12"/>
        <v>0</v>
      </c>
      <c r="AA97" s="18"/>
      <c r="AB97" s="18">
        <f t="shared" si="13"/>
        <v>0</v>
      </c>
      <c r="AC97" s="18" t="str">
        <f t="shared" si="14"/>
        <v/>
      </c>
      <c r="AD97" s="18" t="str">
        <f t="shared" si="15"/>
        <v/>
      </c>
      <c r="AF97" t="str">
        <f>IFERROR(INDEX('Task Master'!$D:$D,MATCH($F97,'Task Master'!$C:$C,0)),"")</f>
        <v/>
      </c>
    </row>
    <row r="98" spans="1:32" x14ac:dyDescent="0.25">
      <c r="A98" t="str">
        <f t="shared" si="8"/>
        <v/>
      </c>
      <c r="B98" s="16"/>
      <c r="D98" t="str">
        <f>IF($C98="","",IFERROR(INDEX('Asset Register'!$B:$B,MATCH($C98,'Asset Register'!$A:$A,0)),""))</f>
        <v/>
      </c>
      <c r="H98" t="str">
        <f>IFERROR(INDEX('Task Master'!$E:$E,MATCH($F98&amp;"||"&amp;$G98,'Task Master'!$K:$K,0)),"")</f>
        <v/>
      </c>
      <c r="I98" t="str">
        <f>IFERROR(INDEX('Task Master'!$F:$F,MATCH($F98&amp;"||"&amp;$G98,'Task Master'!$K:$K,0)),"")</f>
        <v/>
      </c>
      <c r="J98" t="str">
        <f>IFERROR(INDEX('Task Master'!$H:$H,MATCH($F98&amp;"||"&amp;$G98,'Task Master'!$K:$K,0)),"")</f>
        <v/>
      </c>
      <c r="N98" s="18" t="str">
        <f t="shared" si="9"/>
        <v/>
      </c>
      <c r="R98" s="18">
        <f t="shared" si="10"/>
        <v>0</v>
      </c>
      <c r="V98" s="18">
        <f t="shared" si="11"/>
        <v>0</v>
      </c>
      <c r="Z98" s="18">
        <f t="shared" si="12"/>
        <v>0</v>
      </c>
      <c r="AA98" s="18"/>
      <c r="AB98" s="18">
        <f t="shared" si="13"/>
        <v>0</v>
      </c>
      <c r="AC98" s="18" t="str">
        <f t="shared" si="14"/>
        <v/>
      </c>
      <c r="AD98" s="18" t="str">
        <f t="shared" si="15"/>
        <v/>
      </c>
      <c r="AF98" t="str">
        <f>IFERROR(INDEX('Task Master'!$D:$D,MATCH($F98,'Task Master'!$C:$C,0)),"")</f>
        <v/>
      </c>
    </row>
    <row r="99" spans="1:32" x14ac:dyDescent="0.25">
      <c r="A99" t="str">
        <f t="shared" si="8"/>
        <v/>
      </c>
      <c r="B99" s="16"/>
      <c r="D99" t="str">
        <f>IF($C99="","",IFERROR(INDEX('Asset Register'!$B:$B,MATCH($C99,'Asset Register'!$A:$A,0)),""))</f>
        <v/>
      </c>
      <c r="H99" t="str">
        <f>IFERROR(INDEX('Task Master'!$E:$E,MATCH($F99&amp;"||"&amp;$G99,'Task Master'!$K:$K,0)),"")</f>
        <v/>
      </c>
      <c r="I99" t="str">
        <f>IFERROR(INDEX('Task Master'!$F:$F,MATCH($F99&amp;"||"&amp;$G99,'Task Master'!$K:$K,0)),"")</f>
        <v/>
      </c>
      <c r="J99" t="str">
        <f>IFERROR(INDEX('Task Master'!$H:$H,MATCH($F99&amp;"||"&amp;$G99,'Task Master'!$K:$K,0)),"")</f>
        <v/>
      </c>
      <c r="N99" s="18" t="str">
        <f t="shared" si="9"/>
        <v/>
      </c>
      <c r="R99" s="18">
        <f t="shared" si="10"/>
        <v>0</v>
      </c>
      <c r="V99" s="18">
        <f t="shared" si="11"/>
        <v>0</v>
      </c>
      <c r="Z99" s="18">
        <f t="shared" si="12"/>
        <v>0</v>
      </c>
      <c r="AA99" s="18"/>
      <c r="AB99" s="18">
        <f t="shared" si="13"/>
        <v>0</v>
      </c>
      <c r="AC99" s="18" t="str">
        <f t="shared" si="14"/>
        <v/>
      </c>
      <c r="AD99" s="18" t="str">
        <f t="shared" si="15"/>
        <v/>
      </c>
      <c r="AF99" t="str">
        <f>IFERROR(INDEX('Task Master'!$D:$D,MATCH($F99,'Task Master'!$C:$C,0)),"")</f>
        <v/>
      </c>
    </row>
    <row r="100" spans="1:32" x14ac:dyDescent="0.25">
      <c r="A100" t="str">
        <f t="shared" si="8"/>
        <v/>
      </c>
      <c r="B100" s="16"/>
      <c r="D100" t="str">
        <f>IF($C100="","",IFERROR(INDEX('Asset Register'!$B:$B,MATCH($C100,'Asset Register'!$A:$A,0)),""))</f>
        <v/>
      </c>
      <c r="H100" t="str">
        <f>IFERROR(INDEX('Task Master'!$E:$E,MATCH($F100&amp;"||"&amp;$G100,'Task Master'!$K:$K,0)),"")</f>
        <v/>
      </c>
      <c r="I100" t="str">
        <f>IFERROR(INDEX('Task Master'!$F:$F,MATCH($F100&amp;"||"&amp;$G100,'Task Master'!$K:$K,0)),"")</f>
        <v/>
      </c>
      <c r="J100" t="str">
        <f>IFERROR(INDEX('Task Master'!$H:$H,MATCH($F100&amp;"||"&amp;$G100,'Task Master'!$K:$K,0)),"")</f>
        <v/>
      </c>
      <c r="N100" s="18" t="str">
        <f t="shared" si="9"/>
        <v/>
      </c>
      <c r="R100" s="18">
        <f t="shared" si="10"/>
        <v>0</v>
      </c>
      <c r="V100" s="18">
        <f t="shared" si="11"/>
        <v>0</v>
      </c>
      <c r="Z100" s="18">
        <f t="shared" si="12"/>
        <v>0</v>
      </c>
      <c r="AA100" s="18"/>
      <c r="AB100" s="18">
        <f t="shared" si="13"/>
        <v>0</v>
      </c>
      <c r="AC100" s="18" t="str">
        <f t="shared" si="14"/>
        <v/>
      </c>
      <c r="AD100" s="18" t="str">
        <f t="shared" si="15"/>
        <v/>
      </c>
      <c r="AF100" t="str">
        <f>IFERROR(INDEX('Task Master'!$D:$D,MATCH($F100,'Task Master'!$C:$C,0)),"")</f>
        <v/>
      </c>
    </row>
    <row r="101" spans="1:32" x14ac:dyDescent="0.25">
      <c r="A101" t="str">
        <f t="shared" si="8"/>
        <v/>
      </c>
      <c r="B101" s="16"/>
      <c r="D101" t="str">
        <f>IF($C101="","",IFERROR(INDEX('Asset Register'!$B:$B,MATCH($C101,'Asset Register'!$A:$A,0)),""))</f>
        <v/>
      </c>
      <c r="H101" t="str">
        <f>IFERROR(INDEX('Task Master'!$E:$E,MATCH($F101&amp;"||"&amp;$G101,'Task Master'!$K:$K,0)),"")</f>
        <v/>
      </c>
      <c r="I101" t="str">
        <f>IFERROR(INDEX('Task Master'!$F:$F,MATCH($F101&amp;"||"&amp;$G101,'Task Master'!$K:$K,0)),"")</f>
        <v/>
      </c>
      <c r="J101" t="str">
        <f>IFERROR(INDEX('Task Master'!$H:$H,MATCH($F101&amp;"||"&amp;$G101,'Task Master'!$K:$K,0)),"")</f>
        <v/>
      </c>
      <c r="N101" s="18" t="str">
        <f t="shared" si="9"/>
        <v/>
      </c>
      <c r="R101" s="18">
        <f t="shared" si="10"/>
        <v>0</v>
      </c>
      <c r="V101" s="18">
        <f t="shared" si="11"/>
        <v>0</v>
      </c>
      <c r="Z101" s="18">
        <f t="shared" si="12"/>
        <v>0</v>
      </c>
      <c r="AA101" s="18"/>
      <c r="AB101" s="18">
        <f t="shared" si="13"/>
        <v>0</v>
      </c>
      <c r="AC101" s="18" t="str">
        <f t="shared" si="14"/>
        <v/>
      </c>
      <c r="AD101" s="18" t="str">
        <f t="shared" si="15"/>
        <v/>
      </c>
      <c r="AF101" t="str">
        <f>IFERROR(INDEX('Task Master'!$D:$D,MATCH($F101,'Task Master'!$C:$C,0)),"")</f>
        <v/>
      </c>
    </row>
    <row r="102" spans="1:32" x14ac:dyDescent="0.25">
      <c r="A102" t="str">
        <f t="shared" si="8"/>
        <v/>
      </c>
      <c r="B102" s="16"/>
      <c r="D102" t="str">
        <f>IF($C102="","",IFERROR(INDEX('Asset Register'!$B:$B,MATCH($C102,'Asset Register'!$A:$A,0)),""))</f>
        <v/>
      </c>
      <c r="H102" t="str">
        <f>IFERROR(INDEX('Task Master'!$E:$E,MATCH($F102&amp;"||"&amp;$G102,'Task Master'!$K:$K,0)),"")</f>
        <v/>
      </c>
      <c r="I102" t="str">
        <f>IFERROR(INDEX('Task Master'!$F:$F,MATCH($F102&amp;"||"&amp;$G102,'Task Master'!$K:$K,0)),"")</f>
        <v/>
      </c>
      <c r="J102" t="str">
        <f>IFERROR(INDEX('Task Master'!$H:$H,MATCH($F102&amp;"||"&amp;$G102,'Task Master'!$K:$K,0)),"")</f>
        <v/>
      </c>
      <c r="N102" s="18" t="str">
        <f t="shared" si="9"/>
        <v/>
      </c>
      <c r="R102" s="18">
        <f t="shared" si="10"/>
        <v>0</v>
      </c>
      <c r="V102" s="18">
        <f t="shared" si="11"/>
        <v>0</v>
      </c>
      <c r="Z102" s="18">
        <f t="shared" si="12"/>
        <v>0</v>
      </c>
      <c r="AA102" s="18"/>
      <c r="AB102" s="18">
        <f t="shared" si="13"/>
        <v>0</v>
      </c>
      <c r="AC102" s="18" t="str">
        <f t="shared" si="14"/>
        <v/>
      </c>
      <c r="AD102" s="18" t="str">
        <f t="shared" si="15"/>
        <v/>
      </c>
      <c r="AF102" t="str">
        <f>IFERROR(INDEX('Task Master'!$D:$D,MATCH($F102,'Task Master'!$C:$C,0)),"")</f>
        <v/>
      </c>
    </row>
    <row r="103" spans="1:32" x14ac:dyDescent="0.25">
      <c r="A103" t="str">
        <f t="shared" si="8"/>
        <v/>
      </c>
      <c r="B103" s="16"/>
      <c r="D103" t="str">
        <f>IF($C103="","",IFERROR(INDEX('Asset Register'!$B:$B,MATCH($C103,'Asset Register'!$A:$A,0)),""))</f>
        <v/>
      </c>
      <c r="H103" t="str">
        <f>IFERROR(INDEX('Task Master'!$E:$E,MATCH($F103&amp;"||"&amp;$G103,'Task Master'!$K:$K,0)),"")</f>
        <v/>
      </c>
      <c r="I103" t="str">
        <f>IFERROR(INDEX('Task Master'!$F:$F,MATCH($F103&amp;"||"&amp;$G103,'Task Master'!$K:$K,0)),"")</f>
        <v/>
      </c>
      <c r="J103" t="str">
        <f>IFERROR(INDEX('Task Master'!$H:$H,MATCH($F103&amp;"||"&amp;$G103,'Task Master'!$K:$K,0)),"")</f>
        <v/>
      </c>
      <c r="N103" s="18" t="str">
        <f t="shared" si="9"/>
        <v/>
      </c>
      <c r="R103" s="18">
        <f t="shared" si="10"/>
        <v>0</v>
      </c>
      <c r="V103" s="18">
        <f t="shared" si="11"/>
        <v>0</v>
      </c>
      <c r="Z103" s="18">
        <f t="shared" si="12"/>
        <v>0</v>
      </c>
      <c r="AA103" s="18"/>
      <c r="AB103" s="18">
        <f t="shared" si="13"/>
        <v>0</v>
      </c>
      <c r="AC103" s="18" t="str">
        <f t="shared" si="14"/>
        <v/>
      </c>
      <c r="AD103" s="18" t="str">
        <f t="shared" si="15"/>
        <v/>
      </c>
      <c r="AF103" t="str">
        <f>IFERROR(INDEX('Task Master'!$D:$D,MATCH($F103,'Task Master'!$C:$C,0)),"")</f>
        <v/>
      </c>
    </row>
    <row r="104" spans="1:32" x14ac:dyDescent="0.25">
      <c r="A104" t="str">
        <f t="shared" si="8"/>
        <v/>
      </c>
      <c r="B104" s="16"/>
      <c r="D104" t="str">
        <f>IF($C104="","",IFERROR(INDEX('Asset Register'!$B:$B,MATCH($C104,'Asset Register'!$A:$A,0)),""))</f>
        <v/>
      </c>
      <c r="H104" t="str">
        <f>IFERROR(INDEX('Task Master'!$E:$E,MATCH($F104&amp;"||"&amp;$G104,'Task Master'!$K:$K,0)),"")</f>
        <v/>
      </c>
      <c r="I104" t="str">
        <f>IFERROR(INDEX('Task Master'!$F:$F,MATCH($F104&amp;"||"&amp;$G104,'Task Master'!$K:$K,0)),"")</f>
        <v/>
      </c>
      <c r="J104" t="str">
        <f>IFERROR(INDEX('Task Master'!$H:$H,MATCH($F104&amp;"||"&amp;$G104,'Task Master'!$K:$K,0)),"")</f>
        <v/>
      </c>
      <c r="N104" s="18" t="str">
        <f t="shared" si="9"/>
        <v/>
      </c>
      <c r="R104" s="18">
        <f t="shared" si="10"/>
        <v>0</v>
      </c>
      <c r="V104" s="18">
        <f t="shared" si="11"/>
        <v>0</v>
      </c>
      <c r="Z104" s="18">
        <f t="shared" si="12"/>
        <v>0</v>
      </c>
      <c r="AA104" s="18"/>
      <c r="AB104" s="18">
        <f t="shared" si="13"/>
        <v>0</v>
      </c>
      <c r="AC104" s="18" t="str">
        <f t="shared" si="14"/>
        <v/>
      </c>
      <c r="AD104" s="18" t="str">
        <f t="shared" si="15"/>
        <v/>
      </c>
      <c r="AF104" t="str">
        <f>IFERROR(INDEX('Task Master'!$D:$D,MATCH($F104,'Task Master'!$C:$C,0)),"")</f>
        <v/>
      </c>
    </row>
    <row r="105" spans="1:32" x14ac:dyDescent="0.25">
      <c r="A105" t="str">
        <f t="shared" si="8"/>
        <v/>
      </c>
      <c r="B105" s="16"/>
      <c r="D105" t="str">
        <f>IF($C105="","",IFERROR(INDEX('Asset Register'!$B:$B,MATCH($C105,'Asset Register'!$A:$A,0)),""))</f>
        <v/>
      </c>
      <c r="H105" t="str">
        <f>IFERROR(INDEX('Task Master'!$E:$E,MATCH($F105&amp;"||"&amp;$G105,'Task Master'!$K:$K,0)),"")</f>
        <v/>
      </c>
      <c r="I105" t="str">
        <f>IFERROR(INDEX('Task Master'!$F:$F,MATCH($F105&amp;"||"&amp;$G105,'Task Master'!$K:$K,0)),"")</f>
        <v/>
      </c>
      <c r="J105" t="str">
        <f>IFERROR(INDEX('Task Master'!$H:$H,MATCH($F105&amp;"||"&amp;$G105,'Task Master'!$K:$K,0)),"")</f>
        <v/>
      </c>
      <c r="N105" s="18" t="str">
        <f t="shared" si="9"/>
        <v/>
      </c>
      <c r="R105" s="18">
        <f t="shared" si="10"/>
        <v>0</v>
      </c>
      <c r="V105" s="18">
        <f t="shared" si="11"/>
        <v>0</v>
      </c>
      <c r="Z105" s="18">
        <f t="shared" si="12"/>
        <v>0</v>
      </c>
      <c r="AA105" s="18"/>
      <c r="AB105" s="18">
        <f t="shared" si="13"/>
        <v>0</v>
      </c>
      <c r="AC105" s="18" t="str">
        <f t="shared" si="14"/>
        <v/>
      </c>
      <c r="AD105" s="18" t="str">
        <f t="shared" si="15"/>
        <v/>
      </c>
      <c r="AF105" t="str">
        <f>IFERROR(INDEX('Task Master'!$D:$D,MATCH($F105,'Task Master'!$C:$C,0)),"")</f>
        <v/>
      </c>
    </row>
    <row r="106" spans="1:32" x14ac:dyDescent="0.25">
      <c r="A106" t="str">
        <f t="shared" si="8"/>
        <v/>
      </c>
      <c r="B106" s="16"/>
      <c r="D106" t="str">
        <f>IF($C106="","",IFERROR(INDEX('Asset Register'!$B:$B,MATCH($C106,'Asset Register'!$A:$A,0)),""))</f>
        <v/>
      </c>
      <c r="H106" t="str">
        <f>IFERROR(INDEX('Task Master'!$E:$E,MATCH($F106&amp;"||"&amp;$G106,'Task Master'!$K:$K,0)),"")</f>
        <v/>
      </c>
      <c r="I106" t="str">
        <f>IFERROR(INDEX('Task Master'!$F:$F,MATCH($F106&amp;"||"&amp;$G106,'Task Master'!$K:$K,0)),"")</f>
        <v/>
      </c>
      <c r="J106" t="str">
        <f>IFERROR(INDEX('Task Master'!$H:$H,MATCH($F106&amp;"||"&amp;$G106,'Task Master'!$K:$K,0)),"")</f>
        <v/>
      </c>
      <c r="N106" s="18" t="str">
        <f t="shared" si="9"/>
        <v/>
      </c>
      <c r="R106" s="18">
        <f t="shared" si="10"/>
        <v>0</v>
      </c>
      <c r="V106" s="18">
        <f t="shared" si="11"/>
        <v>0</v>
      </c>
      <c r="Z106" s="18">
        <f t="shared" si="12"/>
        <v>0</v>
      </c>
      <c r="AA106" s="18"/>
      <c r="AB106" s="18">
        <f t="shared" si="13"/>
        <v>0</v>
      </c>
      <c r="AC106" s="18" t="str">
        <f t="shared" si="14"/>
        <v/>
      </c>
      <c r="AD106" s="18" t="str">
        <f t="shared" si="15"/>
        <v/>
      </c>
      <c r="AF106" t="str">
        <f>IFERROR(INDEX('Task Master'!$D:$D,MATCH($F106,'Task Master'!$C:$C,0)),"")</f>
        <v/>
      </c>
    </row>
    <row r="107" spans="1:32" x14ac:dyDescent="0.25">
      <c r="A107" t="str">
        <f t="shared" si="8"/>
        <v/>
      </c>
      <c r="B107" s="16"/>
      <c r="D107" t="str">
        <f>IF($C107="","",IFERROR(INDEX('Asset Register'!$B:$B,MATCH($C107,'Asset Register'!$A:$A,0)),""))</f>
        <v/>
      </c>
      <c r="H107" t="str">
        <f>IFERROR(INDEX('Task Master'!$E:$E,MATCH($F107&amp;"||"&amp;$G107,'Task Master'!$K:$K,0)),"")</f>
        <v/>
      </c>
      <c r="I107" t="str">
        <f>IFERROR(INDEX('Task Master'!$F:$F,MATCH($F107&amp;"||"&amp;$G107,'Task Master'!$K:$K,0)),"")</f>
        <v/>
      </c>
      <c r="J107" t="str">
        <f>IFERROR(INDEX('Task Master'!$H:$H,MATCH($F107&amp;"||"&amp;$G107,'Task Master'!$K:$K,0)),"")</f>
        <v/>
      </c>
      <c r="N107" s="18" t="str">
        <f t="shared" si="9"/>
        <v/>
      </c>
      <c r="R107" s="18">
        <f t="shared" si="10"/>
        <v>0</v>
      </c>
      <c r="V107" s="18">
        <f t="shared" si="11"/>
        <v>0</v>
      </c>
      <c r="Z107" s="18">
        <f t="shared" si="12"/>
        <v>0</v>
      </c>
      <c r="AA107" s="18"/>
      <c r="AB107" s="18">
        <f t="shared" si="13"/>
        <v>0</v>
      </c>
      <c r="AC107" s="18" t="str">
        <f t="shared" si="14"/>
        <v/>
      </c>
      <c r="AD107" s="18" t="str">
        <f t="shared" si="15"/>
        <v/>
      </c>
      <c r="AF107" t="str">
        <f>IFERROR(INDEX('Task Master'!$D:$D,MATCH($F107,'Task Master'!$C:$C,0)),"")</f>
        <v/>
      </c>
    </row>
    <row r="108" spans="1:32" x14ac:dyDescent="0.25">
      <c r="A108" t="str">
        <f t="shared" si="8"/>
        <v/>
      </c>
      <c r="B108" s="16"/>
      <c r="D108" t="str">
        <f>IF($C108="","",IFERROR(INDEX('Asset Register'!$B:$B,MATCH($C108,'Asset Register'!$A:$A,0)),""))</f>
        <v/>
      </c>
      <c r="H108" t="str">
        <f>IFERROR(INDEX('Task Master'!$E:$E,MATCH($F108&amp;"||"&amp;$G108,'Task Master'!$K:$K,0)),"")</f>
        <v/>
      </c>
      <c r="I108" t="str">
        <f>IFERROR(INDEX('Task Master'!$F:$F,MATCH($F108&amp;"||"&amp;$G108,'Task Master'!$K:$K,0)),"")</f>
        <v/>
      </c>
      <c r="J108" t="str">
        <f>IFERROR(INDEX('Task Master'!$H:$H,MATCH($F108&amp;"||"&amp;$G108,'Task Master'!$K:$K,0)),"")</f>
        <v/>
      </c>
      <c r="N108" s="18" t="str">
        <f t="shared" si="9"/>
        <v/>
      </c>
      <c r="R108" s="18">
        <f t="shared" si="10"/>
        <v>0</v>
      </c>
      <c r="V108" s="18">
        <f t="shared" si="11"/>
        <v>0</v>
      </c>
      <c r="Z108" s="18">
        <f t="shared" si="12"/>
        <v>0</v>
      </c>
      <c r="AA108" s="18"/>
      <c r="AB108" s="18">
        <f t="shared" si="13"/>
        <v>0</v>
      </c>
      <c r="AC108" s="18" t="str">
        <f t="shared" si="14"/>
        <v/>
      </c>
      <c r="AD108" s="18" t="str">
        <f t="shared" si="15"/>
        <v/>
      </c>
      <c r="AF108" t="str">
        <f>IFERROR(INDEX('Task Master'!$D:$D,MATCH($F108,'Task Master'!$C:$C,0)),"")</f>
        <v/>
      </c>
    </row>
    <row r="109" spans="1:32" x14ac:dyDescent="0.25">
      <c r="A109" t="str">
        <f t="shared" si="8"/>
        <v/>
      </c>
      <c r="B109" s="16"/>
      <c r="D109" t="str">
        <f>IF($C109="","",IFERROR(INDEX('Asset Register'!$B:$B,MATCH($C109,'Asset Register'!$A:$A,0)),""))</f>
        <v/>
      </c>
      <c r="H109" t="str">
        <f>IFERROR(INDEX('Task Master'!$E:$E,MATCH($F109&amp;"||"&amp;$G109,'Task Master'!$K:$K,0)),"")</f>
        <v/>
      </c>
      <c r="I109" t="str">
        <f>IFERROR(INDEX('Task Master'!$F:$F,MATCH($F109&amp;"||"&amp;$G109,'Task Master'!$K:$K,0)),"")</f>
        <v/>
      </c>
      <c r="J109" t="str">
        <f>IFERROR(INDEX('Task Master'!$H:$H,MATCH($F109&amp;"||"&amp;$G109,'Task Master'!$K:$K,0)),"")</f>
        <v/>
      </c>
      <c r="N109" s="18" t="str">
        <f t="shared" si="9"/>
        <v/>
      </c>
      <c r="R109" s="18">
        <f t="shared" si="10"/>
        <v>0</v>
      </c>
      <c r="V109" s="18">
        <f t="shared" si="11"/>
        <v>0</v>
      </c>
      <c r="Z109" s="18">
        <f t="shared" si="12"/>
        <v>0</v>
      </c>
      <c r="AA109" s="18"/>
      <c r="AB109" s="18">
        <f t="shared" si="13"/>
        <v>0</v>
      </c>
      <c r="AC109" s="18" t="str">
        <f t="shared" si="14"/>
        <v/>
      </c>
      <c r="AD109" s="18" t="str">
        <f t="shared" si="15"/>
        <v/>
      </c>
      <c r="AF109" t="str">
        <f>IFERROR(INDEX('Task Master'!$D:$D,MATCH($F109,'Task Master'!$C:$C,0)),"")</f>
        <v/>
      </c>
    </row>
    <row r="110" spans="1:32" x14ac:dyDescent="0.25">
      <c r="A110" t="str">
        <f t="shared" si="8"/>
        <v/>
      </c>
      <c r="B110" s="16"/>
      <c r="D110" t="str">
        <f>IF($C110="","",IFERROR(INDEX('Asset Register'!$B:$B,MATCH($C110,'Asset Register'!$A:$A,0)),""))</f>
        <v/>
      </c>
      <c r="H110" t="str">
        <f>IFERROR(INDEX('Task Master'!$E:$E,MATCH($F110&amp;"||"&amp;$G110,'Task Master'!$K:$K,0)),"")</f>
        <v/>
      </c>
      <c r="I110" t="str">
        <f>IFERROR(INDEX('Task Master'!$F:$F,MATCH($F110&amp;"||"&amp;$G110,'Task Master'!$K:$K,0)),"")</f>
        <v/>
      </c>
      <c r="J110" t="str">
        <f>IFERROR(INDEX('Task Master'!$H:$H,MATCH($F110&amp;"||"&amp;$G110,'Task Master'!$K:$K,0)),"")</f>
        <v/>
      </c>
      <c r="N110" s="18" t="str">
        <f t="shared" si="9"/>
        <v/>
      </c>
      <c r="R110" s="18">
        <f t="shared" si="10"/>
        <v>0</v>
      </c>
      <c r="V110" s="18">
        <f t="shared" si="11"/>
        <v>0</v>
      </c>
      <c r="Z110" s="18">
        <f t="shared" si="12"/>
        <v>0</v>
      </c>
      <c r="AA110" s="18"/>
      <c r="AB110" s="18">
        <f t="shared" si="13"/>
        <v>0</v>
      </c>
      <c r="AC110" s="18" t="str">
        <f t="shared" si="14"/>
        <v/>
      </c>
      <c r="AD110" s="18" t="str">
        <f t="shared" si="15"/>
        <v/>
      </c>
      <c r="AF110" t="str">
        <f>IFERROR(INDEX('Task Master'!$D:$D,MATCH($F110,'Task Master'!$C:$C,0)),"")</f>
        <v/>
      </c>
    </row>
    <row r="111" spans="1:32" x14ac:dyDescent="0.25">
      <c r="A111" t="str">
        <f t="shared" si="8"/>
        <v/>
      </c>
      <c r="B111" s="16"/>
      <c r="D111" t="str">
        <f>IF($C111="","",IFERROR(INDEX('Asset Register'!$B:$B,MATCH($C111,'Asset Register'!$A:$A,0)),""))</f>
        <v/>
      </c>
      <c r="H111" t="str">
        <f>IFERROR(INDEX('Task Master'!$E:$E,MATCH($F111&amp;"||"&amp;$G111,'Task Master'!$K:$K,0)),"")</f>
        <v/>
      </c>
      <c r="I111" t="str">
        <f>IFERROR(INDEX('Task Master'!$F:$F,MATCH($F111&amp;"||"&amp;$G111,'Task Master'!$K:$K,0)),"")</f>
        <v/>
      </c>
      <c r="J111" t="str">
        <f>IFERROR(INDEX('Task Master'!$H:$H,MATCH($F111&amp;"||"&amp;$G111,'Task Master'!$K:$K,0)),"")</f>
        <v/>
      </c>
      <c r="N111" s="18" t="str">
        <f t="shared" si="9"/>
        <v/>
      </c>
      <c r="R111" s="18">
        <f t="shared" si="10"/>
        <v>0</v>
      </c>
      <c r="V111" s="18">
        <f t="shared" si="11"/>
        <v>0</v>
      </c>
      <c r="Z111" s="18">
        <f t="shared" si="12"/>
        <v>0</v>
      </c>
      <c r="AA111" s="18"/>
      <c r="AB111" s="18">
        <f t="shared" si="13"/>
        <v>0</v>
      </c>
      <c r="AC111" s="18" t="str">
        <f t="shared" si="14"/>
        <v/>
      </c>
      <c r="AD111" s="18" t="str">
        <f t="shared" si="15"/>
        <v/>
      </c>
      <c r="AF111" t="str">
        <f>IFERROR(INDEX('Task Master'!$D:$D,MATCH($F111,'Task Master'!$C:$C,0)),"")</f>
        <v/>
      </c>
    </row>
    <row r="112" spans="1:32" x14ac:dyDescent="0.25">
      <c r="A112" t="str">
        <f t="shared" si="8"/>
        <v/>
      </c>
      <c r="B112" s="16"/>
      <c r="D112" t="str">
        <f>IF($C112="","",IFERROR(INDEX('Asset Register'!$B:$B,MATCH($C112,'Asset Register'!$A:$A,0)),""))</f>
        <v/>
      </c>
      <c r="H112" t="str">
        <f>IFERROR(INDEX('Task Master'!$E:$E,MATCH($F112&amp;"||"&amp;$G112,'Task Master'!$K:$K,0)),"")</f>
        <v/>
      </c>
      <c r="I112" t="str">
        <f>IFERROR(INDEX('Task Master'!$F:$F,MATCH($F112&amp;"||"&amp;$G112,'Task Master'!$K:$K,0)),"")</f>
        <v/>
      </c>
      <c r="J112" t="str">
        <f>IFERROR(INDEX('Task Master'!$H:$H,MATCH($F112&amp;"||"&amp;$G112,'Task Master'!$K:$K,0)),"")</f>
        <v/>
      </c>
      <c r="N112" s="18" t="str">
        <f t="shared" si="9"/>
        <v/>
      </c>
      <c r="R112" s="18">
        <f t="shared" si="10"/>
        <v>0</v>
      </c>
      <c r="V112" s="18">
        <f t="shared" si="11"/>
        <v>0</v>
      </c>
      <c r="Z112" s="18">
        <f t="shared" si="12"/>
        <v>0</v>
      </c>
      <c r="AA112" s="18"/>
      <c r="AB112" s="18">
        <f t="shared" si="13"/>
        <v>0</v>
      </c>
      <c r="AC112" s="18" t="str">
        <f t="shared" si="14"/>
        <v/>
      </c>
      <c r="AD112" s="18" t="str">
        <f t="shared" si="15"/>
        <v/>
      </c>
      <c r="AF112" t="str">
        <f>IFERROR(INDEX('Task Master'!$D:$D,MATCH($F112,'Task Master'!$C:$C,0)),"")</f>
        <v/>
      </c>
    </row>
    <row r="113" spans="1:32" x14ac:dyDescent="0.25">
      <c r="A113" t="str">
        <f t="shared" si="8"/>
        <v/>
      </c>
      <c r="B113" s="16"/>
      <c r="D113" t="str">
        <f>IF($C113="","",IFERROR(INDEX('Asset Register'!$B:$B,MATCH($C113,'Asset Register'!$A:$A,0)),""))</f>
        <v/>
      </c>
      <c r="H113" t="str">
        <f>IFERROR(INDEX('Task Master'!$E:$E,MATCH($F113&amp;"||"&amp;$G113,'Task Master'!$K:$K,0)),"")</f>
        <v/>
      </c>
      <c r="I113" t="str">
        <f>IFERROR(INDEX('Task Master'!$F:$F,MATCH($F113&amp;"||"&amp;$G113,'Task Master'!$K:$K,0)),"")</f>
        <v/>
      </c>
      <c r="J113" t="str">
        <f>IFERROR(INDEX('Task Master'!$H:$H,MATCH($F113&amp;"||"&amp;$G113,'Task Master'!$K:$K,0)),"")</f>
        <v/>
      </c>
      <c r="N113" s="18" t="str">
        <f t="shared" si="9"/>
        <v/>
      </c>
      <c r="R113" s="18">
        <f t="shared" si="10"/>
        <v>0</v>
      </c>
      <c r="V113" s="18">
        <f t="shared" si="11"/>
        <v>0</v>
      </c>
      <c r="Z113" s="18">
        <f t="shared" si="12"/>
        <v>0</v>
      </c>
      <c r="AA113" s="18"/>
      <c r="AB113" s="18">
        <f t="shared" si="13"/>
        <v>0</v>
      </c>
      <c r="AC113" s="18" t="str">
        <f t="shared" si="14"/>
        <v/>
      </c>
      <c r="AD113" s="18" t="str">
        <f t="shared" si="15"/>
        <v/>
      </c>
      <c r="AF113" t="str">
        <f>IFERROR(INDEX('Task Master'!$D:$D,MATCH($F113,'Task Master'!$C:$C,0)),"")</f>
        <v/>
      </c>
    </row>
    <row r="114" spans="1:32" x14ac:dyDescent="0.25">
      <c r="A114" t="str">
        <f t="shared" si="8"/>
        <v/>
      </c>
      <c r="B114" s="16"/>
      <c r="D114" t="str">
        <f>IF($C114="","",IFERROR(INDEX('Asset Register'!$B:$B,MATCH($C114,'Asset Register'!$A:$A,0)),""))</f>
        <v/>
      </c>
      <c r="H114" t="str">
        <f>IFERROR(INDEX('Task Master'!$E:$E,MATCH($F114&amp;"||"&amp;$G114,'Task Master'!$K:$K,0)),"")</f>
        <v/>
      </c>
      <c r="I114" t="str">
        <f>IFERROR(INDEX('Task Master'!$F:$F,MATCH($F114&amp;"||"&amp;$G114,'Task Master'!$K:$K,0)),"")</f>
        <v/>
      </c>
      <c r="J114" t="str">
        <f>IFERROR(INDEX('Task Master'!$H:$H,MATCH($F114&amp;"||"&amp;$G114,'Task Master'!$K:$K,0)),"")</f>
        <v/>
      </c>
      <c r="N114" s="18" t="str">
        <f t="shared" si="9"/>
        <v/>
      </c>
      <c r="R114" s="18">
        <f t="shared" si="10"/>
        <v>0</v>
      </c>
      <c r="V114" s="18">
        <f t="shared" si="11"/>
        <v>0</v>
      </c>
      <c r="Z114" s="18">
        <f t="shared" si="12"/>
        <v>0</v>
      </c>
      <c r="AA114" s="18"/>
      <c r="AB114" s="18">
        <f t="shared" si="13"/>
        <v>0</v>
      </c>
      <c r="AC114" s="18" t="str">
        <f t="shared" si="14"/>
        <v/>
      </c>
      <c r="AD114" s="18" t="str">
        <f t="shared" si="15"/>
        <v/>
      </c>
      <c r="AF114" t="str">
        <f>IFERROR(INDEX('Task Master'!$D:$D,MATCH($F114,'Task Master'!$C:$C,0)),"")</f>
        <v/>
      </c>
    </row>
    <row r="115" spans="1:32" x14ac:dyDescent="0.25">
      <c r="A115" t="str">
        <f t="shared" si="8"/>
        <v/>
      </c>
      <c r="B115" s="16"/>
      <c r="D115" t="str">
        <f>IF($C115="","",IFERROR(INDEX('Asset Register'!$B:$B,MATCH($C115,'Asset Register'!$A:$A,0)),""))</f>
        <v/>
      </c>
      <c r="H115" t="str">
        <f>IFERROR(INDEX('Task Master'!$E:$E,MATCH($F115&amp;"||"&amp;$G115,'Task Master'!$K:$K,0)),"")</f>
        <v/>
      </c>
      <c r="I115" t="str">
        <f>IFERROR(INDEX('Task Master'!$F:$F,MATCH($F115&amp;"||"&amp;$G115,'Task Master'!$K:$K,0)),"")</f>
        <v/>
      </c>
      <c r="J115" t="str">
        <f>IFERROR(INDEX('Task Master'!$H:$H,MATCH($F115&amp;"||"&amp;$G115,'Task Master'!$K:$K,0)),"")</f>
        <v/>
      </c>
      <c r="N115" s="18" t="str">
        <f t="shared" si="9"/>
        <v/>
      </c>
      <c r="R115" s="18">
        <f t="shared" si="10"/>
        <v>0</v>
      </c>
      <c r="V115" s="18">
        <f t="shared" si="11"/>
        <v>0</v>
      </c>
      <c r="Z115" s="18">
        <f t="shared" si="12"/>
        <v>0</v>
      </c>
      <c r="AA115" s="18"/>
      <c r="AB115" s="18">
        <f t="shared" si="13"/>
        <v>0</v>
      </c>
      <c r="AC115" s="18" t="str">
        <f t="shared" si="14"/>
        <v/>
      </c>
      <c r="AD115" s="18" t="str">
        <f t="shared" si="15"/>
        <v/>
      </c>
      <c r="AF115" t="str">
        <f>IFERROR(INDEX('Task Master'!$D:$D,MATCH($F115,'Task Master'!$C:$C,0)),"")</f>
        <v/>
      </c>
    </row>
    <row r="116" spans="1:32" x14ac:dyDescent="0.25">
      <c r="A116" t="str">
        <f t="shared" si="8"/>
        <v/>
      </c>
      <c r="B116" s="16"/>
      <c r="D116" t="str">
        <f>IF($C116="","",IFERROR(INDEX('Asset Register'!$B:$B,MATCH($C116,'Asset Register'!$A:$A,0)),""))</f>
        <v/>
      </c>
      <c r="H116" t="str">
        <f>IFERROR(INDEX('Task Master'!$E:$E,MATCH($F116&amp;"||"&amp;$G116,'Task Master'!$K:$K,0)),"")</f>
        <v/>
      </c>
      <c r="I116" t="str">
        <f>IFERROR(INDEX('Task Master'!$F:$F,MATCH($F116&amp;"||"&amp;$G116,'Task Master'!$K:$K,0)),"")</f>
        <v/>
      </c>
      <c r="J116" t="str">
        <f>IFERROR(INDEX('Task Master'!$H:$H,MATCH($F116&amp;"||"&amp;$G116,'Task Master'!$K:$K,0)),"")</f>
        <v/>
      </c>
      <c r="N116" s="18" t="str">
        <f t="shared" si="9"/>
        <v/>
      </c>
      <c r="R116" s="18">
        <f t="shared" si="10"/>
        <v>0</v>
      </c>
      <c r="V116" s="18">
        <f t="shared" si="11"/>
        <v>0</v>
      </c>
      <c r="Z116" s="18">
        <f t="shared" si="12"/>
        <v>0</v>
      </c>
      <c r="AA116" s="18"/>
      <c r="AB116" s="18">
        <f t="shared" si="13"/>
        <v>0</v>
      </c>
      <c r="AC116" s="18" t="str">
        <f t="shared" si="14"/>
        <v/>
      </c>
      <c r="AD116" s="18" t="str">
        <f t="shared" si="15"/>
        <v/>
      </c>
      <c r="AF116" t="str">
        <f>IFERROR(INDEX('Task Master'!$D:$D,MATCH($F116,'Task Master'!$C:$C,0)),"")</f>
        <v/>
      </c>
    </row>
    <row r="117" spans="1:32" x14ac:dyDescent="0.25">
      <c r="A117" t="str">
        <f t="shared" si="8"/>
        <v/>
      </c>
      <c r="B117" s="16"/>
      <c r="D117" t="str">
        <f>IF($C117="","",IFERROR(INDEX('Asset Register'!$B:$B,MATCH($C117,'Asset Register'!$A:$A,0)),""))</f>
        <v/>
      </c>
      <c r="H117" t="str">
        <f>IFERROR(INDEX('Task Master'!$E:$E,MATCH($F117&amp;"||"&amp;$G117,'Task Master'!$K:$K,0)),"")</f>
        <v/>
      </c>
      <c r="I117" t="str">
        <f>IFERROR(INDEX('Task Master'!$F:$F,MATCH($F117&amp;"||"&amp;$G117,'Task Master'!$K:$K,0)),"")</f>
        <v/>
      </c>
      <c r="J117" t="str">
        <f>IFERROR(INDEX('Task Master'!$H:$H,MATCH($F117&amp;"||"&amp;$G117,'Task Master'!$K:$K,0)),"")</f>
        <v/>
      </c>
      <c r="N117" s="18" t="str">
        <f t="shared" si="9"/>
        <v/>
      </c>
      <c r="R117" s="18">
        <f t="shared" si="10"/>
        <v>0</v>
      </c>
      <c r="V117" s="18">
        <f t="shared" si="11"/>
        <v>0</v>
      </c>
      <c r="Z117" s="18">
        <f t="shared" si="12"/>
        <v>0</v>
      </c>
      <c r="AA117" s="18"/>
      <c r="AB117" s="18">
        <f t="shared" si="13"/>
        <v>0</v>
      </c>
      <c r="AC117" s="18" t="str">
        <f t="shared" si="14"/>
        <v/>
      </c>
      <c r="AD117" s="18" t="str">
        <f t="shared" si="15"/>
        <v/>
      </c>
      <c r="AF117" t="str">
        <f>IFERROR(INDEX('Task Master'!$D:$D,MATCH($F117,'Task Master'!$C:$C,0)),"")</f>
        <v/>
      </c>
    </row>
    <row r="118" spans="1:32" x14ac:dyDescent="0.25">
      <c r="A118" t="str">
        <f t="shared" si="8"/>
        <v/>
      </c>
      <c r="B118" s="16"/>
      <c r="D118" t="str">
        <f>IF($C118="","",IFERROR(INDEX('Asset Register'!$B:$B,MATCH($C118,'Asset Register'!$A:$A,0)),""))</f>
        <v/>
      </c>
      <c r="H118" t="str">
        <f>IFERROR(INDEX('Task Master'!$E:$E,MATCH($F118&amp;"||"&amp;$G118,'Task Master'!$K:$K,0)),"")</f>
        <v/>
      </c>
      <c r="I118" t="str">
        <f>IFERROR(INDEX('Task Master'!$F:$F,MATCH($F118&amp;"||"&amp;$G118,'Task Master'!$K:$K,0)),"")</f>
        <v/>
      </c>
      <c r="J118" t="str">
        <f>IFERROR(INDEX('Task Master'!$H:$H,MATCH($F118&amp;"||"&amp;$G118,'Task Master'!$K:$K,0)),"")</f>
        <v/>
      </c>
      <c r="N118" s="18" t="str">
        <f t="shared" si="9"/>
        <v/>
      </c>
      <c r="R118" s="18">
        <f t="shared" si="10"/>
        <v>0</v>
      </c>
      <c r="V118" s="18">
        <f t="shared" si="11"/>
        <v>0</v>
      </c>
      <c r="Z118" s="18">
        <f t="shared" si="12"/>
        <v>0</v>
      </c>
      <c r="AA118" s="18"/>
      <c r="AB118" s="18">
        <f t="shared" si="13"/>
        <v>0</v>
      </c>
      <c r="AC118" s="18" t="str">
        <f t="shared" si="14"/>
        <v/>
      </c>
      <c r="AD118" s="18" t="str">
        <f t="shared" si="15"/>
        <v/>
      </c>
      <c r="AF118" t="str">
        <f>IFERROR(INDEX('Task Master'!$D:$D,MATCH($F118,'Task Master'!$C:$C,0)),"")</f>
        <v/>
      </c>
    </row>
    <row r="119" spans="1:32" x14ac:dyDescent="0.25">
      <c r="A119" t="str">
        <f t="shared" si="8"/>
        <v/>
      </c>
      <c r="B119" s="16"/>
      <c r="D119" t="str">
        <f>IF($C119="","",IFERROR(INDEX('Asset Register'!$B:$B,MATCH($C119,'Asset Register'!$A:$A,0)),""))</f>
        <v/>
      </c>
      <c r="H119" t="str">
        <f>IFERROR(INDEX('Task Master'!$E:$E,MATCH($F119&amp;"||"&amp;$G119,'Task Master'!$K:$K,0)),"")</f>
        <v/>
      </c>
      <c r="I119" t="str">
        <f>IFERROR(INDEX('Task Master'!$F:$F,MATCH($F119&amp;"||"&amp;$G119,'Task Master'!$K:$K,0)),"")</f>
        <v/>
      </c>
      <c r="J119" t="str">
        <f>IFERROR(INDEX('Task Master'!$H:$H,MATCH($F119&amp;"||"&amp;$G119,'Task Master'!$K:$K,0)),"")</f>
        <v/>
      </c>
      <c r="N119" s="18" t="str">
        <f t="shared" si="9"/>
        <v/>
      </c>
      <c r="R119" s="18">
        <f t="shared" si="10"/>
        <v>0</v>
      </c>
      <c r="V119" s="18">
        <f t="shared" si="11"/>
        <v>0</v>
      </c>
      <c r="Z119" s="18">
        <f t="shared" si="12"/>
        <v>0</v>
      </c>
      <c r="AA119" s="18"/>
      <c r="AB119" s="18">
        <f t="shared" si="13"/>
        <v>0</v>
      </c>
      <c r="AC119" s="18" t="str">
        <f t="shared" si="14"/>
        <v/>
      </c>
      <c r="AD119" s="18" t="str">
        <f t="shared" si="15"/>
        <v/>
      </c>
      <c r="AF119" t="str">
        <f>IFERROR(INDEX('Task Master'!$D:$D,MATCH($F119,'Task Master'!$C:$C,0)),"")</f>
        <v/>
      </c>
    </row>
    <row r="120" spans="1:32" x14ac:dyDescent="0.25">
      <c r="A120" t="str">
        <f t="shared" si="8"/>
        <v/>
      </c>
      <c r="B120" s="16"/>
      <c r="D120" t="str">
        <f>IF($C120="","",IFERROR(INDEX('Asset Register'!$B:$B,MATCH($C120,'Asset Register'!$A:$A,0)),""))</f>
        <v/>
      </c>
      <c r="H120" t="str">
        <f>IFERROR(INDEX('Task Master'!$E:$E,MATCH($F120&amp;"||"&amp;$G120,'Task Master'!$K:$K,0)),"")</f>
        <v/>
      </c>
      <c r="I120" t="str">
        <f>IFERROR(INDEX('Task Master'!$F:$F,MATCH($F120&amp;"||"&amp;$G120,'Task Master'!$K:$K,0)),"")</f>
        <v/>
      </c>
      <c r="J120" t="str">
        <f>IFERROR(INDEX('Task Master'!$H:$H,MATCH($F120&amp;"||"&amp;$G120,'Task Master'!$K:$K,0)),"")</f>
        <v/>
      </c>
      <c r="N120" s="18" t="str">
        <f t="shared" si="9"/>
        <v/>
      </c>
      <c r="R120" s="18">
        <f t="shared" si="10"/>
        <v>0</v>
      </c>
      <c r="V120" s="18">
        <f t="shared" si="11"/>
        <v>0</v>
      </c>
      <c r="Z120" s="18">
        <f t="shared" si="12"/>
        <v>0</v>
      </c>
      <c r="AA120" s="18"/>
      <c r="AB120" s="18">
        <f t="shared" si="13"/>
        <v>0</v>
      </c>
      <c r="AC120" s="18" t="str">
        <f t="shared" si="14"/>
        <v/>
      </c>
      <c r="AD120" s="18" t="str">
        <f t="shared" si="15"/>
        <v/>
      </c>
      <c r="AF120" t="str">
        <f>IFERROR(INDEX('Task Master'!$D:$D,MATCH($F120,'Task Master'!$C:$C,0)),"")</f>
        <v/>
      </c>
    </row>
    <row r="121" spans="1:32" x14ac:dyDescent="0.25">
      <c r="A121" t="str">
        <f t="shared" si="8"/>
        <v/>
      </c>
      <c r="B121" s="16"/>
      <c r="D121" t="str">
        <f>IF($C121="","",IFERROR(INDEX('Asset Register'!$B:$B,MATCH($C121,'Asset Register'!$A:$A,0)),""))</f>
        <v/>
      </c>
      <c r="H121" t="str">
        <f>IFERROR(INDEX('Task Master'!$E:$E,MATCH($F121&amp;"||"&amp;$G121,'Task Master'!$K:$K,0)),"")</f>
        <v/>
      </c>
      <c r="I121" t="str">
        <f>IFERROR(INDEX('Task Master'!$F:$F,MATCH($F121&amp;"||"&amp;$G121,'Task Master'!$K:$K,0)),"")</f>
        <v/>
      </c>
      <c r="J121" t="str">
        <f>IFERROR(INDEX('Task Master'!$H:$H,MATCH($F121&amp;"||"&amp;$G121,'Task Master'!$K:$K,0)),"")</f>
        <v/>
      </c>
      <c r="N121" s="18" t="str">
        <f t="shared" si="9"/>
        <v/>
      </c>
      <c r="R121" s="18">
        <f t="shared" si="10"/>
        <v>0</v>
      </c>
      <c r="V121" s="18">
        <f t="shared" si="11"/>
        <v>0</v>
      </c>
      <c r="Z121" s="18">
        <f t="shared" si="12"/>
        <v>0</v>
      </c>
      <c r="AA121" s="18"/>
      <c r="AB121" s="18">
        <f t="shared" si="13"/>
        <v>0</v>
      </c>
      <c r="AC121" s="18" t="str">
        <f t="shared" si="14"/>
        <v/>
      </c>
      <c r="AD121" s="18" t="str">
        <f t="shared" si="15"/>
        <v/>
      </c>
      <c r="AF121" t="str">
        <f>IFERROR(INDEX('Task Master'!$D:$D,MATCH($F121,'Task Master'!$C:$C,0)),"")</f>
        <v/>
      </c>
    </row>
    <row r="122" spans="1:32" x14ac:dyDescent="0.25">
      <c r="A122" t="str">
        <f t="shared" si="8"/>
        <v/>
      </c>
      <c r="B122" s="16"/>
      <c r="D122" t="str">
        <f>IF($C122="","",IFERROR(INDEX('Asset Register'!$B:$B,MATCH($C122,'Asset Register'!$A:$A,0)),""))</f>
        <v/>
      </c>
      <c r="H122" t="str">
        <f>IFERROR(INDEX('Task Master'!$E:$E,MATCH($F122&amp;"||"&amp;$G122,'Task Master'!$K:$K,0)),"")</f>
        <v/>
      </c>
      <c r="I122" t="str">
        <f>IFERROR(INDEX('Task Master'!$F:$F,MATCH($F122&amp;"||"&amp;$G122,'Task Master'!$K:$K,0)),"")</f>
        <v/>
      </c>
      <c r="J122" t="str">
        <f>IFERROR(INDEX('Task Master'!$H:$H,MATCH($F122&amp;"||"&amp;$G122,'Task Master'!$K:$K,0)),"")</f>
        <v/>
      </c>
      <c r="N122" s="18" t="str">
        <f t="shared" si="9"/>
        <v/>
      </c>
      <c r="R122" s="18">
        <f t="shared" si="10"/>
        <v>0</v>
      </c>
      <c r="V122" s="18">
        <f t="shared" si="11"/>
        <v>0</v>
      </c>
      <c r="Z122" s="18">
        <f t="shared" si="12"/>
        <v>0</v>
      </c>
      <c r="AA122" s="18"/>
      <c r="AB122" s="18">
        <f t="shared" si="13"/>
        <v>0</v>
      </c>
      <c r="AC122" s="18" t="str">
        <f t="shared" si="14"/>
        <v/>
      </c>
      <c r="AD122" s="18" t="str">
        <f t="shared" si="15"/>
        <v/>
      </c>
      <c r="AF122" t="str">
        <f>IFERROR(INDEX('Task Master'!$D:$D,MATCH($F122,'Task Master'!$C:$C,0)),"")</f>
        <v/>
      </c>
    </row>
    <row r="123" spans="1:32" x14ac:dyDescent="0.25">
      <c r="A123" t="str">
        <f t="shared" si="8"/>
        <v/>
      </c>
      <c r="B123" s="16"/>
      <c r="D123" t="str">
        <f>IF($C123="","",IFERROR(INDEX('Asset Register'!$B:$B,MATCH($C123,'Asset Register'!$A:$A,0)),""))</f>
        <v/>
      </c>
      <c r="H123" t="str">
        <f>IFERROR(INDEX('Task Master'!$E:$E,MATCH($F123&amp;"||"&amp;$G123,'Task Master'!$K:$K,0)),"")</f>
        <v/>
      </c>
      <c r="I123" t="str">
        <f>IFERROR(INDEX('Task Master'!$F:$F,MATCH($F123&amp;"||"&amp;$G123,'Task Master'!$K:$K,0)),"")</f>
        <v/>
      </c>
      <c r="J123" t="str">
        <f>IFERROR(INDEX('Task Master'!$H:$H,MATCH($F123&amp;"||"&amp;$G123,'Task Master'!$K:$K,0)),"")</f>
        <v/>
      </c>
      <c r="N123" s="18" t="str">
        <f t="shared" si="9"/>
        <v/>
      </c>
      <c r="R123" s="18">
        <f t="shared" si="10"/>
        <v>0</v>
      </c>
      <c r="V123" s="18">
        <f t="shared" si="11"/>
        <v>0</v>
      </c>
      <c r="Z123" s="18">
        <f t="shared" si="12"/>
        <v>0</v>
      </c>
      <c r="AA123" s="18"/>
      <c r="AB123" s="18">
        <f t="shared" si="13"/>
        <v>0</v>
      </c>
      <c r="AC123" s="18" t="str">
        <f t="shared" si="14"/>
        <v/>
      </c>
      <c r="AD123" s="18" t="str">
        <f t="shared" si="15"/>
        <v/>
      </c>
      <c r="AF123" t="str">
        <f>IFERROR(INDEX('Task Master'!$D:$D,MATCH($F123,'Task Master'!$C:$C,0)),"")</f>
        <v/>
      </c>
    </row>
    <row r="124" spans="1:32" x14ac:dyDescent="0.25">
      <c r="A124" t="str">
        <f t="shared" si="8"/>
        <v/>
      </c>
      <c r="B124" s="16"/>
      <c r="D124" t="str">
        <f>IF($C124="","",IFERROR(INDEX('Asset Register'!$B:$B,MATCH($C124,'Asset Register'!$A:$A,0)),""))</f>
        <v/>
      </c>
      <c r="H124" t="str">
        <f>IFERROR(INDEX('Task Master'!$E:$E,MATCH($F124&amp;"||"&amp;$G124,'Task Master'!$K:$K,0)),"")</f>
        <v/>
      </c>
      <c r="I124" t="str">
        <f>IFERROR(INDEX('Task Master'!$F:$F,MATCH($F124&amp;"||"&amp;$G124,'Task Master'!$K:$K,0)),"")</f>
        <v/>
      </c>
      <c r="J124" t="str">
        <f>IFERROR(INDEX('Task Master'!$H:$H,MATCH($F124&amp;"||"&amp;$G124,'Task Master'!$K:$K,0)),"")</f>
        <v/>
      </c>
      <c r="N124" s="18" t="str">
        <f t="shared" si="9"/>
        <v/>
      </c>
      <c r="R124" s="18">
        <f t="shared" si="10"/>
        <v>0</v>
      </c>
      <c r="V124" s="18">
        <f t="shared" si="11"/>
        <v>0</v>
      </c>
      <c r="Z124" s="18">
        <f t="shared" si="12"/>
        <v>0</v>
      </c>
      <c r="AA124" s="18"/>
      <c r="AB124" s="18">
        <f t="shared" si="13"/>
        <v>0</v>
      </c>
      <c r="AC124" s="18" t="str">
        <f t="shared" si="14"/>
        <v/>
      </c>
      <c r="AD124" s="18" t="str">
        <f t="shared" si="15"/>
        <v/>
      </c>
      <c r="AF124" t="str">
        <f>IFERROR(INDEX('Task Master'!$D:$D,MATCH($F124,'Task Master'!$C:$C,0)),"")</f>
        <v/>
      </c>
    </row>
    <row r="125" spans="1:32" x14ac:dyDescent="0.25">
      <c r="A125" t="str">
        <f t="shared" si="8"/>
        <v/>
      </c>
      <c r="B125" s="16"/>
      <c r="D125" t="str">
        <f>IF($C125="","",IFERROR(INDEX('Asset Register'!$B:$B,MATCH($C125,'Asset Register'!$A:$A,0)),""))</f>
        <v/>
      </c>
      <c r="H125" t="str">
        <f>IFERROR(INDEX('Task Master'!$E:$E,MATCH($F125&amp;"||"&amp;$G125,'Task Master'!$K:$K,0)),"")</f>
        <v/>
      </c>
      <c r="I125" t="str">
        <f>IFERROR(INDEX('Task Master'!$F:$F,MATCH($F125&amp;"||"&amp;$G125,'Task Master'!$K:$K,0)),"")</f>
        <v/>
      </c>
      <c r="J125" t="str">
        <f>IFERROR(INDEX('Task Master'!$H:$H,MATCH($F125&amp;"||"&amp;$G125,'Task Master'!$K:$K,0)),"")</f>
        <v/>
      </c>
      <c r="N125" s="18" t="str">
        <f t="shared" si="9"/>
        <v/>
      </c>
      <c r="R125" s="18">
        <f t="shared" si="10"/>
        <v>0</v>
      </c>
      <c r="V125" s="18">
        <f t="shared" si="11"/>
        <v>0</v>
      </c>
      <c r="Z125" s="18">
        <f t="shared" si="12"/>
        <v>0</v>
      </c>
      <c r="AA125" s="18"/>
      <c r="AB125" s="18">
        <f t="shared" si="13"/>
        <v>0</v>
      </c>
      <c r="AC125" s="18" t="str">
        <f t="shared" si="14"/>
        <v/>
      </c>
      <c r="AD125" s="18" t="str">
        <f t="shared" si="15"/>
        <v/>
      </c>
      <c r="AF125" t="str">
        <f>IFERROR(INDEX('Task Master'!$D:$D,MATCH($F125,'Task Master'!$C:$C,0)),"")</f>
        <v/>
      </c>
    </row>
    <row r="126" spans="1:32" x14ac:dyDescent="0.25">
      <c r="A126" t="str">
        <f t="shared" si="8"/>
        <v/>
      </c>
      <c r="B126" s="16"/>
      <c r="D126" t="str">
        <f>IF($C126="","",IFERROR(INDEX('Asset Register'!$B:$B,MATCH($C126,'Asset Register'!$A:$A,0)),""))</f>
        <v/>
      </c>
      <c r="H126" t="str">
        <f>IFERROR(INDEX('Task Master'!$E:$E,MATCH($F126&amp;"||"&amp;$G126,'Task Master'!$K:$K,0)),"")</f>
        <v/>
      </c>
      <c r="I126" t="str">
        <f>IFERROR(INDEX('Task Master'!$F:$F,MATCH($F126&amp;"||"&amp;$G126,'Task Master'!$K:$K,0)),"")</f>
        <v/>
      </c>
      <c r="J126" t="str">
        <f>IFERROR(INDEX('Task Master'!$H:$H,MATCH($F126&amp;"||"&amp;$G126,'Task Master'!$K:$K,0)),"")</f>
        <v/>
      </c>
      <c r="N126" s="18" t="str">
        <f t="shared" si="9"/>
        <v/>
      </c>
      <c r="R126" s="18">
        <f t="shared" si="10"/>
        <v>0</v>
      </c>
      <c r="V126" s="18">
        <f t="shared" si="11"/>
        <v>0</v>
      </c>
      <c r="Z126" s="18">
        <f t="shared" si="12"/>
        <v>0</v>
      </c>
      <c r="AA126" s="18"/>
      <c r="AB126" s="18">
        <f t="shared" si="13"/>
        <v>0</v>
      </c>
      <c r="AC126" s="18" t="str">
        <f t="shared" si="14"/>
        <v/>
      </c>
      <c r="AD126" s="18" t="str">
        <f t="shared" si="15"/>
        <v/>
      </c>
      <c r="AF126" t="str">
        <f>IFERROR(INDEX('Task Master'!$D:$D,MATCH($F126,'Task Master'!$C:$C,0)),"")</f>
        <v/>
      </c>
    </row>
    <row r="127" spans="1:32" x14ac:dyDescent="0.25">
      <c r="A127" t="str">
        <f t="shared" si="8"/>
        <v/>
      </c>
      <c r="B127" s="16"/>
      <c r="D127" t="str">
        <f>IF($C127="","",IFERROR(INDEX('Asset Register'!$B:$B,MATCH($C127,'Asset Register'!$A:$A,0)),""))</f>
        <v/>
      </c>
      <c r="H127" t="str">
        <f>IFERROR(INDEX('Task Master'!$E:$E,MATCH($F127&amp;"||"&amp;$G127,'Task Master'!$K:$K,0)),"")</f>
        <v/>
      </c>
      <c r="I127" t="str">
        <f>IFERROR(INDEX('Task Master'!$F:$F,MATCH($F127&amp;"||"&amp;$G127,'Task Master'!$K:$K,0)),"")</f>
        <v/>
      </c>
      <c r="J127" t="str">
        <f>IFERROR(INDEX('Task Master'!$H:$H,MATCH($F127&amp;"||"&amp;$G127,'Task Master'!$K:$K,0)),"")</f>
        <v/>
      </c>
      <c r="N127" s="18" t="str">
        <f t="shared" si="9"/>
        <v/>
      </c>
      <c r="R127" s="18">
        <f t="shared" si="10"/>
        <v>0</v>
      </c>
      <c r="V127" s="18">
        <f t="shared" si="11"/>
        <v>0</v>
      </c>
      <c r="Z127" s="18">
        <f t="shared" si="12"/>
        <v>0</v>
      </c>
      <c r="AA127" s="18"/>
      <c r="AB127" s="18">
        <f t="shared" si="13"/>
        <v>0</v>
      </c>
      <c r="AC127" s="18" t="str">
        <f t="shared" si="14"/>
        <v/>
      </c>
      <c r="AD127" s="18" t="str">
        <f t="shared" si="15"/>
        <v/>
      </c>
      <c r="AF127" t="str">
        <f>IFERROR(INDEX('Task Master'!$D:$D,MATCH($F127,'Task Master'!$C:$C,0)),"")</f>
        <v/>
      </c>
    </row>
    <row r="128" spans="1:32" x14ac:dyDescent="0.25">
      <c r="A128" t="str">
        <f t="shared" si="8"/>
        <v/>
      </c>
      <c r="B128" s="16"/>
      <c r="D128" t="str">
        <f>IF($C128="","",IFERROR(INDEX('Asset Register'!$B:$B,MATCH($C128,'Asset Register'!$A:$A,0)),""))</f>
        <v/>
      </c>
      <c r="H128" t="str">
        <f>IFERROR(INDEX('Task Master'!$E:$E,MATCH($F128&amp;"||"&amp;$G128,'Task Master'!$K:$K,0)),"")</f>
        <v/>
      </c>
      <c r="I128" t="str">
        <f>IFERROR(INDEX('Task Master'!$F:$F,MATCH($F128&amp;"||"&amp;$G128,'Task Master'!$K:$K,0)),"")</f>
        <v/>
      </c>
      <c r="J128" t="str">
        <f>IFERROR(INDEX('Task Master'!$H:$H,MATCH($F128&amp;"||"&amp;$G128,'Task Master'!$K:$K,0)),"")</f>
        <v/>
      </c>
      <c r="N128" s="18" t="str">
        <f t="shared" si="9"/>
        <v/>
      </c>
      <c r="R128" s="18">
        <f t="shared" si="10"/>
        <v>0</v>
      </c>
      <c r="V128" s="18">
        <f t="shared" si="11"/>
        <v>0</v>
      </c>
      <c r="Z128" s="18">
        <f t="shared" si="12"/>
        <v>0</v>
      </c>
      <c r="AA128" s="18"/>
      <c r="AB128" s="18">
        <f t="shared" si="13"/>
        <v>0</v>
      </c>
      <c r="AC128" s="18" t="str">
        <f t="shared" si="14"/>
        <v/>
      </c>
      <c r="AD128" s="18" t="str">
        <f t="shared" si="15"/>
        <v/>
      </c>
      <c r="AF128" t="str">
        <f>IFERROR(INDEX('Task Master'!$D:$D,MATCH($F128,'Task Master'!$C:$C,0)),"")</f>
        <v/>
      </c>
    </row>
    <row r="129" spans="1:32" x14ac:dyDescent="0.25">
      <c r="A129" t="str">
        <f t="shared" si="8"/>
        <v/>
      </c>
      <c r="B129" s="16"/>
      <c r="D129" t="str">
        <f>IF($C129="","",IFERROR(INDEX('Asset Register'!$B:$B,MATCH($C129,'Asset Register'!$A:$A,0)),""))</f>
        <v/>
      </c>
      <c r="H129" t="str">
        <f>IFERROR(INDEX('Task Master'!$E:$E,MATCH($F129&amp;"||"&amp;$G129,'Task Master'!$K:$K,0)),"")</f>
        <v/>
      </c>
      <c r="I129" t="str">
        <f>IFERROR(INDEX('Task Master'!$F:$F,MATCH($F129&amp;"||"&amp;$G129,'Task Master'!$K:$K,0)),"")</f>
        <v/>
      </c>
      <c r="J129" t="str">
        <f>IFERROR(INDEX('Task Master'!$H:$H,MATCH($F129&amp;"||"&amp;$G129,'Task Master'!$K:$K,0)),"")</f>
        <v/>
      </c>
      <c r="N129" s="18" t="str">
        <f t="shared" si="9"/>
        <v/>
      </c>
      <c r="R129" s="18">
        <f t="shared" si="10"/>
        <v>0</v>
      </c>
      <c r="V129" s="18">
        <f t="shared" si="11"/>
        <v>0</v>
      </c>
      <c r="Z129" s="18">
        <f t="shared" si="12"/>
        <v>0</v>
      </c>
      <c r="AA129" s="18"/>
      <c r="AB129" s="18">
        <f t="shared" si="13"/>
        <v>0</v>
      </c>
      <c r="AC129" s="18" t="str">
        <f t="shared" si="14"/>
        <v/>
      </c>
      <c r="AD129" s="18" t="str">
        <f t="shared" si="15"/>
        <v/>
      </c>
      <c r="AF129" t="str">
        <f>IFERROR(INDEX('Task Master'!$D:$D,MATCH($F129,'Task Master'!$C:$C,0)),"")</f>
        <v/>
      </c>
    </row>
    <row r="130" spans="1:32" x14ac:dyDescent="0.25">
      <c r="A130" t="str">
        <f t="shared" ref="A130:A193" si="16">IF(B130="","",ROW()-1)</f>
        <v/>
      </c>
      <c r="B130" s="16"/>
      <c r="D130" t="str">
        <f>IF($C130="","",IFERROR(INDEX('Asset Register'!$B:$B,MATCH($C130,'Asset Register'!$A:$A,0)),""))</f>
        <v/>
      </c>
      <c r="H130" t="str">
        <f>IFERROR(INDEX('Task Master'!$E:$E,MATCH($F130&amp;"||"&amp;$G130,'Task Master'!$K:$K,0)),"")</f>
        <v/>
      </c>
      <c r="I130" t="str">
        <f>IFERROR(INDEX('Task Master'!$F:$F,MATCH($F130&amp;"||"&amp;$G130,'Task Master'!$K:$K,0)),"")</f>
        <v/>
      </c>
      <c r="J130" t="str">
        <f>IFERROR(INDEX('Task Master'!$H:$H,MATCH($F130&amp;"||"&amp;$G130,'Task Master'!$K:$K,0)),"")</f>
        <v/>
      </c>
      <c r="N130" s="18" t="str">
        <f t="shared" ref="N130:N193" si="17">IF(OR($K130="",$L130="",$M130=""),"",$K130*$L130*$M130)</f>
        <v/>
      </c>
      <c r="R130" s="18">
        <f t="shared" ref="R130:R193" si="18">IF(OR($P130="",$Q130=""),0,$P130*$Q130)</f>
        <v>0</v>
      </c>
      <c r="V130" s="18">
        <f t="shared" ref="V130:V193" si="19">IF(OR($T130="",$U130=""),0,$T130*$U130)</f>
        <v>0</v>
      </c>
      <c r="Z130" s="18">
        <f t="shared" ref="Z130:Z193" si="20">IF(OR($X130="",$Y130=""),0,$X130*$Y130)</f>
        <v>0</v>
      </c>
      <c r="AA130" s="18"/>
      <c r="AB130" s="18">
        <f t="shared" ref="AB130:AB193" si="21">$R130+$V130+$Z130</f>
        <v>0</v>
      </c>
      <c r="AC130" s="18" t="str">
        <f t="shared" ref="AC130:AC193" si="22">IF($B130="","",$AB130+$AA130+$N130)</f>
        <v/>
      </c>
      <c r="AD130" s="18" t="str">
        <f t="shared" ref="AD130:AD193" si="23">IF(OR($K130="",$K130=0,$AC130=""),"",$AC130/$K130)</f>
        <v/>
      </c>
      <c r="AF130" t="str">
        <f>IFERROR(INDEX('Task Master'!$D:$D,MATCH($F130,'Task Master'!$C:$C,0)),"")</f>
        <v/>
      </c>
    </row>
    <row r="131" spans="1:32" x14ac:dyDescent="0.25">
      <c r="A131" t="str">
        <f t="shared" si="16"/>
        <v/>
      </c>
      <c r="B131" s="16"/>
      <c r="D131" t="str">
        <f>IF($C131="","",IFERROR(INDEX('Asset Register'!$B:$B,MATCH($C131,'Asset Register'!$A:$A,0)),""))</f>
        <v/>
      </c>
      <c r="H131" t="str">
        <f>IFERROR(INDEX('Task Master'!$E:$E,MATCH($F131&amp;"||"&amp;$G131,'Task Master'!$K:$K,0)),"")</f>
        <v/>
      </c>
      <c r="I131" t="str">
        <f>IFERROR(INDEX('Task Master'!$F:$F,MATCH($F131&amp;"||"&amp;$G131,'Task Master'!$K:$K,0)),"")</f>
        <v/>
      </c>
      <c r="J131" t="str">
        <f>IFERROR(INDEX('Task Master'!$H:$H,MATCH($F131&amp;"||"&amp;$G131,'Task Master'!$K:$K,0)),"")</f>
        <v/>
      </c>
      <c r="N131" s="18" t="str">
        <f t="shared" si="17"/>
        <v/>
      </c>
      <c r="R131" s="18">
        <f t="shared" si="18"/>
        <v>0</v>
      </c>
      <c r="V131" s="18">
        <f t="shared" si="19"/>
        <v>0</v>
      </c>
      <c r="Z131" s="18">
        <f t="shared" si="20"/>
        <v>0</v>
      </c>
      <c r="AA131" s="18"/>
      <c r="AB131" s="18">
        <f t="shared" si="21"/>
        <v>0</v>
      </c>
      <c r="AC131" s="18" t="str">
        <f t="shared" si="22"/>
        <v/>
      </c>
      <c r="AD131" s="18" t="str">
        <f t="shared" si="23"/>
        <v/>
      </c>
      <c r="AF131" t="str">
        <f>IFERROR(INDEX('Task Master'!$D:$D,MATCH($F131,'Task Master'!$C:$C,0)),"")</f>
        <v/>
      </c>
    </row>
    <row r="132" spans="1:32" x14ac:dyDescent="0.25">
      <c r="A132" t="str">
        <f t="shared" si="16"/>
        <v/>
      </c>
      <c r="B132" s="16"/>
      <c r="D132" t="str">
        <f>IF($C132="","",IFERROR(INDEX('Asset Register'!$B:$B,MATCH($C132,'Asset Register'!$A:$A,0)),""))</f>
        <v/>
      </c>
      <c r="H132" t="str">
        <f>IFERROR(INDEX('Task Master'!$E:$E,MATCH($F132&amp;"||"&amp;$G132,'Task Master'!$K:$K,0)),"")</f>
        <v/>
      </c>
      <c r="I132" t="str">
        <f>IFERROR(INDEX('Task Master'!$F:$F,MATCH($F132&amp;"||"&amp;$G132,'Task Master'!$K:$K,0)),"")</f>
        <v/>
      </c>
      <c r="J132" t="str">
        <f>IFERROR(INDEX('Task Master'!$H:$H,MATCH($F132&amp;"||"&amp;$G132,'Task Master'!$K:$K,0)),"")</f>
        <v/>
      </c>
      <c r="N132" s="18" t="str">
        <f t="shared" si="17"/>
        <v/>
      </c>
      <c r="R132" s="18">
        <f t="shared" si="18"/>
        <v>0</v>
      </c>
      <c r="V132" s="18">
        <f t="shared" si="19"/>
        <v>0</v>
      </c>
      <c r="Z132" s="18">
        <f t="shared" si="20"/>
        <v>0</v>
      </c>
      <c r="AA132" s="18"/>
      <c r="AB132" s="18">
        <f t="shared" si="21"/>
        <v>0</v>
      </c>
      <c r="AC132" s="18" t="str">
        <f t="shared" si="22"/>
        <v/>
      </c>
      <c r="AD132" s="18" t="str">
        <f t="shared" si="23"/>
        <v/>
      </c>
      <c r="AF132" t="str">
        <f>IFERROR(INDEX('Task Master'!$D:$D,MATCH($F132,'Task Master'!$C:$C,0)),"")</f>
        <v/>
      </c>
    </row>
    <row r="133" spans="1:32" x14ac:dyDescent="0.25">
      <c r="A133" t="str">
        <f t="shared" si="16"/>
        <v/>
      </c>
      <c r="B133" s="16"/>
      <c r="D133" t="str">
        <f>IF($C133="","",IFERROR(INDEX('Asset Register'!$B:$B,MATCH($C133,'Asset Register'!$A:$A,0)),""))</f>
        <v/>
      </c>
      <c r="H133" t="str">
        <f>IFERROR(INDEX('Task Master'!$E:$E,MATCH($F133&amp;"||"&amp;$G133,'Task Master'!$K:$K,0)),"")</f>
        <v/>
      </c>
      <c r="I133" t="str">
        <f>IFERROR(INDEX('Task Master'!$F:$F,MATCH($F133&amp;"||"&amp;$G133,'Task Master'!$K:$K,0)),"")</f>
        <v/>
      </c>
      <c r="J133" t="str">
        <f>IFERROR(INDEX('Task Master'!$H:$H,MATCH($F133&amp;"||"&amp;$G133,'Task Master'!$K:$K,0)),"")</f>
        <v/>
      </c>
      <c r="N133" s="18" t="str">
        <f t="shared" si="17"/>
        <v/>
      </c>
      <c r="R133" s="18">
        <f t="shared" si="18"/>
        <v>0</v>
      </c>
      <c r="V133" s="18">
        <f t="shared" si="19"/>
        <v>0</v>
      </c>
      <c r="Z133" s="18">
        <f t="shared" si="20"/>
        <v>0</v>
      </c>
      <c r="AA133" s="18"/>
      <c r="AB133" s="18">
        <f t="shared" si="21"/>
        <v>0</v>
      </c>
      <c r="AC133" s="18" t="str">
        <f t="shared" si="22"/>
        <v/>
      </c>
      <c r="AD133" s="18" t="str">
        <f t="shared" si="23"/>
        <v/>
      </c>
      <c r="AF133" t="str">
        <f>IFERROR(INDEX('Task Master'!$D:$D,MATCH($F133,'Task Master'!$C:$C,0)),"")</f>
        <v/>
      </c>
    </row>
    <row r="134" spans="1:32" x14ac:dyDescent="0.25">
      <c r="A134" t="str">
        <f t="shared" si="16"/>
        <v/>
      </c>
      <c r="B134" s="16"/>
      <c r="D134" t="str">
        <f>IF($C134="","",IFERROR(INDEX('Asset Register'!$B:$B,MATCH($C134,'Asset Register'!$A:$A,0)),""))</f>
        <v/>
      </c>
      <c r="H134" t="str">
        <f>IFERROR(INDEX('Task Master'!$E:$E,MATCH($F134&amp;"||"&amp;$G134,'Task Master'!$K:$K,0)),"")</f>
        <v/>
      </c>
      <c r="I134" t="str">
        <f>IFERROR(INDEX('Task Master'!$F:$F,MATCH($F134&amp;"||"&amp;$G134,'Task Master'!$K:$K,0)),"")</f>
        <v/>
      </c>
      <c r="J134" t="str">
        <f>IFERROR(INDEX('Task Master'!$H:$H,MATCH($F134&amp;"||"&amp;$G134,'Task Master'!$K:$K,0)),"")</f>
        <v/>
      </c>
      <c r="N134" s="18" t="str">
        <f t="shared" si="17"/>
        <v/>
      </c>
      <c r="R134" s="18">
        <f t="shared" si="18"/>
        <v>0</v>
      </c>
      <c r="V134" s="18">
        <f t="shared" si="19"/>
        <v>0</v>
      </c>
      <c r="Z134" s="18">
        <f t="shared" si="20"/>
        <v>0</v>
      </c>
      <c r="AA134" s="18"/>
      <c r="AB134" s="18">
        <f t="shared" si="21"/>
        <v>0</v>
      </c>
      <c r="AC134" s="18" t="str">
        <f t="shared" si="22"/>
        <v/>
      </c>
      <c r="AD134" s="18" t="str">
        <f t="shared" si="23"/>
        <v/>
      </c>
      <c r="AF134" t="str">
        <f>IFERROR(INDEX('Task Master'!$D:$D,MATCH($F134,'Task Master'!$C:$C,0)),"")</f>
        <v/>
      </c>
    </row>
    <row r="135" spans="1:32" x14ac:dyDescent="0.25">
      <c r="A135" t="str">
        <f t="shared" si="16"/>
        <v/>
      </c>
      <c r="B135" s="16"/>
      <c r="D135" t="str">
        <f>IF($C135="","",IFERROR(INDEX('Asset Register'!$B:$B,MATCH($C135,'Asset Register'!$A:$A,0)),""))</f>
        <v/>
      </c>
      <c r="H135" t="str">
        <f>IFERROR(INDEX('Task Master'!$E:$E,MATCH($F135&amp;"||"&amp;$G135,'Task Master'!$K:$K,0)),"")</f>
        <v/>
      </c>
      <c r="I135" t="str">
        <f>IFERROR(INDEX('Task Master'!$F:$F,MATCH($F135&amp;"||"&amp;$G135,'Task Master'!$K:$K,0)),"")</f>
        <v/>
      </c>
      <c r="J135" t="str">
        <f>IFERROR(INDEX('Task Master'!$H:$H,MATCH($F135&amp;"||"&amp;$G135,'Task Master'!$K:$K,0)),"")</f>
        <v/>
      </c>
      <c r="N135" s="18" t="str">
        <f t="shared" si="17"/>
        <v/>
      </c>
      <c r="R135" s="18">
        <f t="shared" si="18"/>
        <v>0</v>
      </c>
      <c r="V135" s="18">
        <f t="shared" si="19"/>
        <v>0</v>
      </c>
      <c r="Z135" s="18">
        <f t="shared" si="20"/>
        <v>0</v>
      </c>
      <c r="AA135" s="18"/>
      <c r="AB135" s="18">
        <f t="shared" si="21"/>
        <v>0</v>
      </c>
      <c r="AC135" s="18" t="str">
        <f t="shared" si="22"/>
        <v/>
      </c>
      <c r="AD135" s="18" t="str">
        <f t="shared" si="23"/>
        <v/>
      </c>
      <c r="AF135" t="str">
        <f>IFERROR(INDEX('Task Master'!$D:$D,MATCH($F135,'Task Master'!$C:$C,0)),"")</f>
        <v/>
      </c>
    </row>
    <row r="136" spans="1:32" x14ac:dyDescent="0.25">
      <c r="A136" t="str">
        <f t="shared" si="16"/>
        <v/>
      </c>
      <c r="B136" s="16"/>
      <c r="D136" t="str">
        <f>IF($C136="","",IFERROR(INDEX('Asset Register'!$B:$B,MATCH($C136,'Asset Register'!$A:$A,0)),""))</f>
        <v/>
      </c>
      <c r="H136" t="str">
        <f>IFERROR(INDEX('Task Master'!$E:$E,MATCH($F136&amp;"||"&amp;$G136,'Task Master'!$K:$K,0)),"")</f>
        <v/>
      </c>
      <c r="I136" t="str">
        <f>IFERROR(INDEX('Task Master'!$F:$F,MATCH($F136&amp;"||"&amp;$G136,'Task Master'!$K:$K,0)),"")</f>
        <v/>
      </c>
      <c r="J136" t="str">
        <f>IFERROR(INDEX('Task Master'!$H:$H,MATCH($F136&amp;"||"&amp;$G136,'Task Master'!$K:$K,0)),"")</f>
        <v/>
      </c>
      <c r="N136" s="18" t="str">
        <f t="shared" si="17"/>
        <v/>
      </c>
      <c r="R136" s="18">
        <f t="shared" si="18"/>
        <v>0</v>
      </c>
      <c r="V136" s="18">
        <f t="shared" si="19"/>
        <v>0</v>
      </c>
      <c r="Z136" s="18">
        <f t="shared" si="20"/>
        <v>0</v>
      </c>
      <c r="AA136" s="18"/>
      <c r="AB136" s="18">
        <f t="shared" si="21"/>
        <v>0</v>
      </c>
      <c r="AC136" s="18" t="str">
        <f t="shared" si="22"/>
        <v/>
      </c>
      <c r="AD136" s="18" t="str">
        <f t="shared" si="23"/>
        <v/>
      </c>
      <c r="AF136" t="str">
        <f>IFERROR(INDEX('Task Master'!$D:$D,MATCH($F136,'Task Master'!$C:$C,0)),"")</f>
        <v/>
      </c>
    </row>
    <row r="137" spans="1:32" x14ac:dyDescent="0.25">
      <c r="A137" t="str">
        <f t="shared" si="16"/>
        <v/>
      </c>
      <c r="B137" s="16"/>
      <c r="D137" t="str">
        <f>IF($C137="","",IFERROR(INDEX('Asset Register'!$B:$B,MATCH($C137,'Asset Register'!$A:$A,0)),""))</f>
        <v/>
      </c>
      <c r="H137" t="str">
        <f>IFERROR(INDEX('Task Master'!$E:$E,MATCH($F137&amp;"||"&amp;$G137,'Task Master'!$K:$K,0)),"")</f>
        <v/>
      </c>
      <c r="I137" t="str">
        <f>IFERROR(INDEX('Task Master'!$F:$F,MATCH($F137&amp;"||"&amp;$G137,'Task Master'!$K:$K,0)),"")</f>
        <v/>
      </c>
      <c r="J137" t="str">
        <f>IFERROR(INDEX('Task Master'!$H:$H,MATCH($F137&amp;"||"&amp;$G137,'Task Master'!$K:$K,0)),"")</f>
        <v/>
      </c>
      <c r="N137" s="18" t="str">
        <f t="shared" si="17"/>
        <v/>
      </c>
      <c r="R137" s="18">
        <f t="shared" si="18"/>
        <v>0</v>
      </c>
      <c r="V137" s="18">
        <f t="shared" si="19"/>
        <v>0</v>
      </c>
      <c r="Z137" s="18">
        <f t="shared" si="20"/>
        <v>0</v>
      </c>
      <c r="AA137" s="18"/>
      <c r="AB137" s="18">
        <f t="shared" si="21"/>
        <v>0</v>
      </c>
      <c r="AC137" s="18" t="str">
        <f t="shared" si="22"/>
        <v/>
      </c>
      <c r="AD137" s="18" t="str">
        <f t="shared" si="23"/>
        <v/>
      </c>
      <c r="AF137" t="str">
        <f>IFERROR(INDEX('Task Master'!$D:$D,MATCH($F137,'Task Master'!$C:$C,0)),"")</f>
        <v/>
      </c>
    </row>
    <row r="138" spans="1:32" x14ac:dyDescent="0.25">
      <c r="A138" t="str">
        <f t="shared" si="16"/>
        <v/>
      </c>
      <c r="B138" s="16"/>
      <c r="D138" t="str">
        <f>IF($C138="","",IFERROR(INDEX('Asset Register'!$B:$B,MATCH($C138,'Asset Register'!$A:$A,0)),""))</f>
        <v/>
      </c>
      <c r="H138" t="str">
        <f>IFERROR(INDEX('Task Master'!$E:$E,MATCH($F138&amp;"||"&amp;$G138,'Task Master'!$K:$K,0)),"")</f>
        <v/>
      </c>
      <c r="I138" t="str">
        <f>IFERROR(INDEX('Task Master'!$F:$F,MATCH($F138&amp;"||"&amp;$G138,'Task Master'!$K:$K,0)),"")</f>
        <v/>
      </c>
      <c r="J138" t="str">
        <f>IFERROR(INDEX('Task Master'!$H:$H,MATCH($F138&amp;"||"&amp;$G138,'Task Master'!$K:$K,0)),"")</f>
        <v/>
      </c>
      <c r="N138" s="18" t="str">
        <f t="shared" si="17"/>
        <v/>
      </c>
      <c r="R138" s="18">
        <f t="shared" si="18"/>
        <v>0</v>
      </c>
      <c r="V138" s="18">
        <f t="shared" si="19"/>
        <v>0</v>
      </c>
      <c r="Z138" s="18">
        <f t="shared" si="20"/>
        <v>0</v>
      </c>
      <c r="AA138" s="18"/>
      <c r="AB138" s="18">
        <f t="shared" si="21"/>
        <v>0</v>
      </c>
      <c r="AC138" s="18" t="str">
        <f t="shared" si="22"/>
        <v/>
      </c>
      <c r="AD138" s="18" t="str">
        <f t="shared" si="23"/>
        <v/>
      </c>
      <c r="AF138" t="str">
        <f>IFERROR(INDEX('Task Master'!$D:$D,MATCH($F138,'Task Master'!$C:$C,0)),"")</f>
        <v/>
      </c>
    </row>
    <row r="139" spans="1:32" x14ac:dyDescent="0.25">
      <c r="A139" t="str">
        <f t="shared" si="16"/>
        <v/>
      </c>
      <c r="B139" s="16"/>
      <c r="D139" t="str">
        <f>IF($C139="","",IFERROR(INDEX('Asset Register'!$B:$B,MATCH($C139,'Asset Register'!$A:$A,0)),""))</f>
        <v/>
      </c>
      <c r="H139" t="str">
        <f>IFERROR(INDEX('Task Master'!$E:$E,MATCH($F139&amp;"||"&amp;$G139,'Task Master'!$K:$K,0)),"")</f>
        <v/>
      </c>
      <c r="I139" t="str">
        <f>IFERROR(INDEX('Task Master'!$F:$F,MATCH($F139&amp;"||"&amp;$G139,'Task Master'!$K:$K,0)),"")</f>
        <v/>
      </c>
      <c r="J139" t="str">
        <f>IFERROR(INDEX('Task Master'!$H:$H,MATCH($F139&amp;"||"&amp;$G139,'Task Master'!$K:$K,0)),"")</f>
        <v/>
      </c>
      <c r="N139" s="18" t="str">
        <f t="shared" si="17"/>
        <v/>
      </c>
      <c r="R139" s="18">
        <f t="shared" si="18"/>
        <v>0</v>
      </c>
      <c r="V139" s="18">
        <f t="shared" si="19"/>
        <v>0</v>
      </c>
      <c r="Z139" s="18">
        <f t="shared" si="20"/>
        <v>0</v>
      </c>
      <c r="AA139" s="18"/>
      <c r="AB139" s="18">
        <f t="shared" si="21"/>
        <v>0</v>
      </c>
      <c r="AC139" s="18" t="str">
        <f t="shared" si="22"/>
        <v/>
      </c>
      <c r="AD139" s="18" t="str">
        <f t="shared" si="23"/>
        <v/>
      </c>
      <c r="AF139" t="str">
        <f>IFERROR(INDEX('Task Master'!$D:$D,MATCH($F139,'Task Master'!$C:$C,0)),"")</f>
        <v/>
      </c>
    </row>
    <row r="140" spans="1:32" x14ac:dyDescent="0.25">
      <c r="A140" t="str">
        <f t="shared" si="16"/>
        <v/>
      </c>
      <c r="B140" s="16"/>
      <c r="D140" t="str">
        <f>IF($C140="","",IFERROR(INDEX('Asset Register'!$B:$B,MATCH($C140,'Asset Register'!$A:$A,0)),""))</f>
        <v/>
      </c>
      <c r="H140" t="str">
        <f>IFERROR(INDEX('Task Master'!$E:$E,MATCH($F140&amp;"||"&amp;$G140,'Task Master'!$K:$K,0)),"")</f>
        <v/>
      </c>
      <c r="I140" t="str">
        <f>IFERROR(INDEX('Task Master'!$F:$F,MATCH($F140&amp;"||"&amp;$G140,'Task Master'!$K:$K,0)),"")</f>
        <v/>
      </c>
      <c r="J140" t="str">
        <f>IFERROR(INDEX('Task Master'!$H:$H,MATCH($F140&amp;"||"&amp;$G140,'Task Master'!$K:$K,0)),"")</f>
        <v/>
      </c>
      <c r="N140" s="18" t="str">
        <f t="shared" si="17"/>
        <v/>
      </c>
      <c r="R140" s="18">
        <f t="shared" si="18"/>
        <v>0</v>
      </c>
      <c r="V140" s="18">
        <f t="shared" si="19"/>
        <v>0</v>
      </c>
      <c r="Z140" s="18">
        <f t="shared" si="20"/>
        <v>0</v>
      </c>
      <c r="AA140" s="18"/>
      <c r="AB140" s="18">
        <f t="shared" si="21"/>
        <v>0</v>
      </c>
      <c r="AC140" s="18" t="str">
        <f t="shared" si="22"/>
        <v/>
      </c>
      <c r="AD140" s="18" t="str">
        <f t="shared" si="23"/>
        <v/>
      </c>
      <c r="AF140" t="str">
        <f>IFERROR(INDEX('Task Master'!$D:$D,MATCH($F140,'Task Master'!$C:$C,0)),"")</f>
        <v/>
      </c>
    </row>
    <row r="141" spans="1:32" x14ac:dyDescent="0.25">
      <c r="A141" t="str">
        <f t="shared" si="16"/>
        <v/>
      </c>
      <c r="B141" s="16"/>
      <c r="D141" t="str">
        <f>IF($C141="","",IFERROR(INDEX('Asset Register'!$B:$B,MATCH($C141,'Asset Register'!$A:$A,0)),""))</f>
        <v/>
      </c>
      <c r="H141" t="str">
        <f>IFERROR(INDEX('Task Master'!$E:$E,MATCH($F141&amp;"||"&amp;$G141,'Task Master'!$K:$K,0)),"")</f>
        <v/>
      </c>
      <c r="I141" t="str">
        <f>IFERROR(INDEX('Task Master'!$F:$F,MATCH($F141&amp;"||"&amp;$G141,'Task Master'!$K:$K,0)),"")</f>
        <v/>
      </c>
      <c r="J141" t="str">
        <f>IFERROR(INDEX('Task Master'!$H:$H,MATCH($F141&amp;"||"&amp;$G141,'Task Master'!$K:$K,0)),"")</f>
        <v/>
      </c>
      <c r="N141" s="18" t="str">
        <f t="shared" si="17"/>
        <v/>
      </c>
      <c r="R141" s="18">
        <f t="shared" si="18"/>
        <v>0</v>
      </c>
      <c r="V141" s="18">
        <f t="shared" si="19"/>
        <v>0</v>
      </c>
      <c r="Z141" s="18">
        <f t="shared" si="20"/>
        <v>0</v>
      </c>
      <c r="AA141" s="18"/>
      <c r="AB141" s="18">
        <f t="shared" si="21"/>
        <v>0</v>
      </c>
      <c r="AC141" s="18" t="str">
        <f t="shared" si="22"/>
        <v/>
      </c>
      <c r="AD141" s="18" t="str">
        <f t="shared" si="23"/>
        <v/>
      </c>
      <c r="AF141" t="str">
        <f>IFERROR(INDEX('Task Master'!$D:$D,MATCH($F141,'Task Master'!$C:$C,0)),"")</f>
        <v/>
      </c>
    </row>
    <row r="142" spans="1:32" x14ac:dyDescent="0.25">
      <c r="A142" t="str">
        <f t="shared" si="16"/>
        <v/>
      </c>
      <c r="B142" s="16"/>
      <c r="D142" t="str">
        <f>IF($C142="","",IFERROR(INDEX('Asset Register'!$B:$B,MATCH($C142,'Asset Register'!$A:$A,0)),""))</f>
        <v/>
      </c>
      <c r="H142" t="str">
        <f>IFERROR(INDEX('Task Master'!$E:$E,MATCH($F142&amp;"||"&amp;$G142,'Task Master'!$K:$K,0)),"")</f>
        <v/>
      </c>
      <c r="I142" t="str">
        <f>IFERROR(INDEX('Task Master'!$F:$F,MATCH($F142&amp;"||"&amp;$G142,'Task Master'!$K:$K,0)),"")</f>
        <v/>
      </c>
      <c r="J142" t="str">
        <f>IFERROR(INDEX('Task Master'!$H:$H,MATCH($F142&amp;"||"&amp;$G142,'Task Master'!$K:$K,0)),"")</f>
        <v/>
      </c>
      <c r="N142" s="18" t="str">
        <f t="shared" si="17"/>
        <v/>
      </c>
      <c r="R142" s="18">
        <f t="shared" si="18"/>
        <v>0</v>
      </c>
      <c r="V142" s="18">
        <f t="shared" si="19"/>
        <v>0</v>
      </c>
      <c r="Z142" s="18">
        <f t="shared" si="20"/>
        <v>0</v>
      </c>
      <c r="AA142" s="18"/>
      <c r="AB142" s="18">
        <f t="shared" si="21"/>
        <v>0</v>
      </c>
      <c r="AC142" s="18" t="str">
        <f t="shared" si="22"/>
        <v/>
      </c>
      <c r="AD142" s="18" t="str">
        <f t="shared" si="23"/>
        <v/>
      </c>
      <c r="AF142" t="str">
        <f>IFERROR(INDEX('Task Master'!$D:$D,MATCH($F142,'Task Master'!$C:$C,0)),"")</f>
        <v/>
      </c>
    </row>
    <row r="143" spans="1:32" x14ac:dyDescent="0.25">
      <c r="A143" t="str">
        <f t="shared" si="16"/>
        <v/>
      </c>
      <c r="B143" s="16"/>
      <c r="D143" t="str">
        <f>IF($C143="","",IFERROR(INDEX('Asset Register'!$B:$B,MATCH($C143,'Asset Register'!$A:$A,0)),""))</f>
        <v/>
      </c>
      <c r="H143" t="str">
        <f>IFERROR(INDEX('Task Master'!$E:$E,MATCH($F143&amp;"||"&amp;$G143,'Task Master'!$K:$K,0)),"")</f>
        <v/>
      </c>
      <c r="I143" t="str">
        <f>IFERROR(INDEX('Task Master'!$F:$F,MATCH($F143&amp;"||"&amp;$G143,'Task Master'!$K:$K,0)),"")</f>
        <v/>
      </c>
      <c r="J143" t="str">
        <f>IFERROR(INDEX('Task Master'!$H:$H,MATCH($F143&amp;"||"&amp;$G143,'Task Master'!$K:$K,0)),"")</f>
        <v/>
      </c>
      <c r="N143" s="18" t="str">
        <f t="shared" si="17"/>
        <v/>
      </c>
      <c r="R143" s="18">
        <f t="shared" si="18"/>
        <v>0</v>
      </c>
      <c r="V143" s="18">
        <f t="shared" si="19"/>
        <v>0</v>
      </c>
      <c r="Z143" s="18">
        <f t="shared" si="20"/>
        <v>0</v>
      </c>
      <c r="AA143" s="18"/>
      <c r="AB143" s="18">
        <f t="shared" si="21"/>
        <v>0</v>
      </c>
      <c r="AC143" s="18" t="str">
        <f t="shared" si="22"/>
        <v/>
      </c>
      <c r="AD143" s="18" t="str">
        <f t="shared" si="23"/>
        <v/>
      </c>
      <c r="AF143" t="str">
        <f>IFERROR(INDEX('Task Master'!$D:$D,MATCH($F143,'Task Master'!$C:$C,0)),"")</f>
        <v/>
      </c>
    </row>
    <row r="144" spans="1:32" x14ac:dyDescent="0.25">
      <c r="A144" t="str">
        <f t="shared" si="16"/>
        <v/>
      </c>
      <c r="B144" s="16"/>
      <c r="D144" t="str">
        <f>IF($C144="","",IFERROR(INDEX('Asset Register'!$B:$B,MATCH($C144,'Asset Register'!$A:$A,0)),""))</f>
        <v/>
      </c>
      <c r="H144" t="str">
        <f>IFERROR(INDEX('Task Master'!$E:$E,MATCH($F144&amp;"||"&amp;$G144,'Task Master'!$K:$K,0)),"")</f>
        <v/>
      </c>
      <c r="I144" t="str">
        <f>IFERROR(INDEX('Task Master'!$F:$F,MATCH($F144&amp;"||"&amp;$G144,'Task Master'!$K:$K,0)),"")</f>
        <v/>
      </c>
      <c r="J144" t="str">
        <f>IFERROR(INDEX('Task Master'!$H:$H,MATCH($F144&amp;"||"&amp;$G144,'Task Master'!$K:$K,0)),"")</f>
        <v/>
      </c>
      <c r="N144" s="18" t="str">
        <f t="shared" si="17"/>
        <v/>
      </c>
      <c r="R144" s="18">
        <f t="shared" si="18"/>
        <v>0</v>
      </c>
      <c r="V144" s="18">
        <f t="shared" si="19"/>
        <v>0</v>
      </c>
      <c r="Z144" s="18">
        <f t="shared" si="20"/>
        <v>0</v>
      </c>
      <c r="AA144" s="18"/>
      <c r="AB144" s="18">
        <f t="shared" si="21"/>
        <v>0</v>
      </c>
      <c r="AC144" s="18" t="str">
        <f t="shared" si="22"/>
        <v/>
      </c>
      <c r="AD144" s="18" t="str">
        <f t="shared" si="23"/>
        <v/>
      </c>
      <c r="AF144" t="str">
        <f>IFERROR(INDEX('Task Master'!$D:$D,MATCH($F144,'Task Master'!$C:$C,0)),"")</f>
        <v/>
      </c>
    </row>
    <row r="145" spans="1:32" x14ac:dyDescent="0.25">
      <c r="A145" t="str">
        <f t="shared" si="16"/>
        <v/>
      </c>
      <c r="B145" s="16"/>
      <c r="D145" t="str">
        <f>IF($C145="","",IFERROR(INDEX('Asset Register'!$B:$B,MATCH($C145,'Asset Register'!$A:$A,0)),""))</f>
        <v/>
      </c>
      <c r="H145" t="str">
        <f>IFERROR(INDEX('Task Master'!$E:$E,MATCH($F145&amp;"||"&amp;$G145,'Task Master'!$K:$K,0)),"")</f>
        <v/>
      </c>
      <c r="I145" t="str">
        <f>IFERROR(INDEX('Task Master'!$F:$F,MATCH($F145&amp;"||"&amp;$G145,'Task Master'!$K:$K,0)),"")</f>
        <v/>
      </c>
      <c r="J145" t="str">
        <f>IFERROR(INDEX('Task Master'!$H:$H,MATCH($F145&amp;"||"&amp;$G145,'Task Master'!$K:$K,0)),"")</f>
        <v/>
      </c>
      <c r="N145" s="18" t="str">
        <f t="shared" si="17"/>
        <v/>
      </c>
      <c r="R145" s="18">
        <f t="shared" si="18"/>
        <v>0</v>
      </c>
      <c r="V145" s="18">
        <f t="shared" si="19"/>
        <v>0</v>
      </c>
      <c r="Z145" s="18">
        <f t="shared" si="20"/>
        <v>0</v>
      </c>
      <c r="AA145" s="18"/>
      <c r="AB145" s="18">
        <f t="shared" si="21"/>
        <v>0</v>
      </c>
      <c r="AC145" s="18" t="str">
        <f t="shared" si="22"/>
        <v/>
      </c>
      <c r="AD145" s="18" t="str">
        <f t="shared" si="23"/>
        <v/>
      </c>
      <c r="AF145" t="str">
        <f>IFERROR(INDEX('Task Master'!$D:$D,MATCH($F145,'Task Master'!$C:$C,0)),"")</f>
        <v/>
      </c>
    </row>
    <row r="146" spans="1:32" x14ac:dyDescent="0.25">
      <c r="A146" t="str">
        <f t="shared" si="16"/>
        <v/>
      </c>
      <c r="B146" s="16"/>
      <c r="D146" t="str">
        <f>IF($C146="","",IFERROR(INDEX('Asset Register'!$B:$B,MATCH($C146,'Asset Register'!$A:$A,0)),""))</f>
        <v/>
      </c>
      <c r="H146" t="str">
        <f>IFERROR(INDEX('Task Master'!$E:$E,MATCH($F146&amp;"||"&amp;$G146,'Task Master'!$K:$K,0)),"")</f>
        <v/>
      </c>
      <c r="I146" t="str">
        <f>IFERROR(INDEX('Task Master'!$F:$F,MATCH($F146&amp;"||"&amp;$G146,'Task Master'!$K:$K,0)),"")</f>
        <v/>
      </c>
      <c r="J146" t="str">
        <f>IFERROR(INDEX('Task Master'!$H:$H,MATCH($F146&amp;"||"&amp;$G146,'Task Master'!$K:$K,0)),"")</f>
        <v/>
      </c>
      <c r="N146" s="18" t="str">
        <f t="shared" si="17"/>
        <v/>
      </c>
      <c r="R146" s="18">
        <f t="shared" si="18"/>
        <v>0</v>
      </c>
      <c r="V146" s="18">
        <f t="shared" si="19"/>
        <v>0</v>
      </c>
      <c r="Z146" s="18">
        <f t="shared" si="20"/>
        <v>0</v>
      </c>
      <c r="AA146" s="18"/>
      <c r="AB146" s="18">
        <f t="shared" si="21"/>
        <v>0</v>
      </c>
      <c r="AC146" s="18" t="str">
        <f t="shared" si="22"/>
        <v/>
      </c>
      <c r="AD146" s="18" t="str">
        <f t="shared" si="23"/>
        <v/>
      </c>
      <c r="AF146" t="str">
        <f>IFERROR(INDEX('Task Master'!$D:$D,MATCH($F146,'Task Master'!$C:$C,0)),"")</f>
        <v/>
      </c>
    </row>
    <row r="147" spans="1:32" x14ac:dyDescent="0.25">
      <c r="A147" t="str">
        <f t="shared" si="16"/>
        <v/>
      </c>
      <c r="B147" s="16"/>
      <c r="D147" t="str">
        <f>IF($C147="","",IFERROR(INDEX('Asset Register'!$B:$B,MATCH($C147,'Asset Register'!$A:$A,0)),""))</f>
        <v/>
      </c>
      <c r="H147" t="str">
        <f>IFERROR(INDEX('Task Master'!$E:$E,MATCH($F147&amp;"||"&amp;$G147,'Task Master'!$K:$K,0)),"")</f>
        <v/>
      </c>
      <c r="I147" t="str">
        <f>IFERROR(INDEX('Task Master'!$F:$F,MATCH($F147&amp;"||"&amp;$G147,'Task Master'!$K:$K,0)),"")</f>
        <v/>
      </c>
      <c r="J147" t="str">
        <f>IFERROR(INDEX('Task Master'!$H:$H,MATCH($F147&amp;"||"&amp;$G147,'Task Master'!$K:$K,0)),"")</f>
        <v/>
      </c>
      <c r="N147" s="18" t="str">
        <f t="shared" si="17"/>
        <v/>
      </c>
      <c r="R147" s="18">
        <f t="shared" si="18"/>
        <v>0</v>
      </c>
      <c r="V147" s="18">
        <f t="shared" si="19"/>
        <v>0</v>
      </c>
      <c r="Z147" s="18">
        <f t="shared" si="20"/>
        <v>0</v>
      </c>
      <c r="AA147" s="18"/>
      <c r="AB147" s="18">
        <f t="shared" si="21"/>
        <v>0</v>
      </c>
      <c r="AC147" s="18" t="str">
        <f t="shared" si="22"/>
        <v/>
      </c>
      <c r="AD147" s="18" t="str">
        <f t="shared" si="23"/>
        <v/>
      </c>
      <c r="AF147" t="str">
        <f>IFERROR(INDEX('Task Master'!$D:$D,MATCH($F147,'Task Master'!$C:$C,0)),"")</f>
        <v/>
      </c>
    </row>
    <row r="148" spans="1:32" x14ac:dyDescent="0.25">
      <c r="A148" t="str">
        <f t="shared" si="16"/>
        <v/>
      </c>
      <c r="B148" s="16"/>
      <c r="D148" t="str">
        <f>IF($C148="","",IFERROR(INDEX('Asset Register'!$B:$B,MATCH($C148,'Asset Register'!$A:$A,0)),""))</f>
        <v/>
      </c>
      <c r="H148" t="str">
        <f>IFERROR(INDEX('Task Master'!$E:$E,MATCH($F148&amp;"||"&amp;$G148,'Task Master'!$K:$K,0)),"")</f>
        <v/>
      </c>
      <c r="I148" t="str">
        <f>IFERROR(INDEX('Task Master'!$F:$F,MATCH($F148&amp;"||"&amp;$G148,'Task Master'!$K:$K,0)),"")</f>
        <v/>
      </c>
      <c r="J148" t="str">
        <f>IFERROR(INDEX('Task Master'!$H:$H,MATCH($F148&amp;"||"&amp;$G148,'Task Master'!$K:$K,0)),"")</f>
        <v/>
      </c>
      <c r="N148" s="18" t="str">
        <f t="shared" si="17"/>
        <v/>
      </c>
      <c r="R148" s="18">
        <f t="shared" si="18"/>
        <v>0</v>
      </c>
      <c r="V148" s="18">
        <f t="shared" si="19"/>
        <v>0</v>
      </c>
      <c r="Z148" s="18">
        <f t="shared" si="20"/>
        <v>0</v>
      </c>
      <c r="AA148" s="18"/>
      <c r="AB148" s="18">
        <f t="shared" si="21"/>
        <v>0</v>
      </c>
      <c r="AC148" s="18" t="str">
        <f t="shared" si="22"/>
        <v/>
      </c>
      <c r="AD148" s="18" t="str">
        <f t="shared" si="23"/>
        <v/>
      </c>
      <c r="AF148" t="str">
        <f>IFERROR(INDEX('Task Master'!$D:$D,MATCH($F148,'Task Master'!$C:$C,0)),"")</f>
        <v/>
      </c>
    </row>
    <row r="149" spans="1:32" x14ac:dyDescent="0.25">
      <c r="A149" t="str">
        <f t="shared" si="16"/>
        <v/>
      </c>
      <c r="B149" s="16"/>
      <c r="D149" t="str">
        <f>IF($C149="","",IFERROR(INDEX('Asset Register'!$B:$B,MATCH($C149,'Asset Register'!$A:$A,0)),""))</f>
        <v/>
      </c>
      <c r="H149" t="str">
        <f>IFERROR(INDEX('Task Master'!$E:$E,MATCH($F149&amp;"||"&amp;$G149,'Task Master'!$K:$K,0)),"")</f>
        <v/>
      </c>
      <c r="I149" t="str">
        <f>IFERROR(INDEX('Task Master'!$F:$F,MATCH($F149&amp;"||"&amp;$G149,'Task Master'!$K:$K,0)),"")</f>
        <v/>
      </c>
      <c r="J149" t="str">
        <f>IFERROR(INDEX('Task Master'!$H:$H,MATCH($F149&amp;"||"&amp;$G149,'Task Master'!$K:$K,0)),"")</f>
        <v/>
      </c>
      <c r="N149" s="18" t="str">
        <f t="shared" si="17"/>
        <v/>
      </c>
      <c r="R149" s="18">
        <f t="shared" si="18"/>
        <v>0</v>
      </c>
      <c r="V149" s="18">
        <f t="shared" si="19"/>
        <v>0</v>
      </c>
      <c r="Z149" s="18">
        <f t="shared" si="20"/>
        <v>0</v>
      </c>
      <c r="AA149" s="18"/>
      <c r="AB149" s="18">
        <f t="shared" si="21"/>
        <v>0</v>
      </c>
      <c r="AC149" s="18" t="str">
        <f t="shared" si="22"/>
        <v/>
      </c>
      <c r="AD149" s="18" t="str">
        <f t="shared" si="23"/>
        <v/>
      </c>
      <c r="AF149" t="str">
        <f>IFERROR(INDEX('Task Master'!$D:$D,MATCH($F149,'Task Master'!$C:$C,0)),"")</f>
        <v/>
      </c>
    </row>
    <row r="150" spans="1:32" x14ac:dyDescent="0.25">
      <c r="A150" t="str">
        <f t="shared" si="16"/>
        <v/>
      </c>
      <c r="B150" s="16"/>
      <c r="D150" t="str">
        <f>IF($C150="","",IFERROR(INDEX('Asset Register'!$B:$B,MATCH($C150,'Asset Register'!$A:$A,0)),""))</f>
        <v/>
      </c>
      <c r="H150" t="str">
        <f>IFERROR(INDEX('Task Master'!$E:$E,MATCH($F150&amp;"||"&amp;$G150,'Task Master'!$K:$K,0)),"")</f>
        <v/>
      </c>
      <c r="I150" t="str">
        <f>IFERROR(INDEX('Task Master'!$F:$F,MATCH($F150&amp;"||"&amp;$G150,'Task Master'!$K:$K,0)),"")</f>
        <v/>
      </c>
      <c r="J150" t="str">
        <f>IFERROR(INDEX('Task Master'!$H:$H,MATCH($F150&amp;"||"&amp;$G150,'Task Master'!$K:$K,0)),"")</f>
        <v/>
      </c>
      <c r="N150" s="18" t="str">
        <f t="shared" si="17"/>
        <v/>
      </c>
      <c r="R150" s="18">
        <f t="shared" si="18"/>
        <v>0</v>
      </c>
      <c r="V150" s="18">
        <f t="shared" si="19"/>
        <v>0</v>
      </c>
      <c r="Z150" s="18">
        <f t="shared" si="20"/>
        <v>0</v>
      </c>
      <c r="AA150" s="18"/>
      <c r="AB150" s="18">
        <f t="shared" si="21"/>
        <v>0</v>
      </c>
      <c r="AC150" s="18" t="str">
        <f t="shared" si="22"/>
        <v/>
      </c>
      <c r="AD150" s="18" t="str">
        <f t="shared" si="23"/>
        <v/>
      </c>
      <c r="AF150" t="str">
        <f>IFERROR(INDEX('Task Master'!$D:$D,MATCH($F150,'Task Master'!$C:$C,0)),"")</f>
        <v/>
      </c>
    </row>
    <row r="151" spans="1:32" x14ac:dyDescent="0.25">
      <c r="A151" t="str">
        <f t="shared" si="16"/>
        <v/>
      </c>
      <c r="B151" s="16"/>
      <c r="D151" t="str">
        <f>IF($C151="","",IFERROR(INDEX('Asset Register'!$B:$B,MATCH($C151,'Asset Register'!$A:$A,0)),""))</f>
        <v/>
      </c>
      <c r="H151" t="str">
        <f>IFERROR(INDEX('Task Master'!$E:$E,MATCH($F151&amp;"||"&amp;$G151,'Task Master'!$K:$K,0)),"")</f>
        <v/>
      </c>
      <c r="I151" t="str">
        <f>IFERROR(INDEX('Task Master'!$F:$F,MATCH($F151&amp;"||"&amp;$G151,'Task Master'!$K:$K,0)),"")</f>
        <v/>
      </c>
      <c r="J151" t="str">
        <f>IFERROR(INDEX('Task Master'!$H:$H,MATCH($F151&amp;"||"&amp;$G151,'Task Master'!$K:$K,0)),"")</f>
        <v/>
      </c>
      <c r="N151" s="18" t="str">
        <f t="shared" si="17"/>
        <v/>
      </c>
      <c r="R151" s="18">
        <f t="shared" si="18"/>
        <v>0</v>
      </c>
      <c r="V151" s="18">
        <f t="shared" si="19"/>
        <v>0</v>
      </c>
      <c r="Z151" s="18">
        <f t="shared" si="20"/>
        <v>0</v>
      </c>
      <c r="AA151" s="18"/>
      <c r="AB151" s="18">
        <f t="shared" si="21"/>
        <v>0</v>
      </c>
      <c r="AC151" s="18" t="str">
        <f t="shared" si="22"/>
        <v/>
      </c>
      <c r="AD151" s="18" t="str">
        <f t="shared" si="23"/>
        <v/>
      </c>
      <c r="AF151" t="str">
        <f>IFERROR(INDEX('Task Master'!$D:$D,MATCH($F151,'Task Master'!$C:$C,0)),"")</f>
        <v/>
      </c>
    </row>
    <row r="152" spans="1:32" x14ac:dyDescent="0.25">
      <c r="A152" t="str">
        <f t="shared" si="16"/>
        <v/>
      </c>
      <c r="B152" s="16"/>
      <c r="D152" t="str">
        <f>IF($C152="","",IFERROR(INDEX('Asset Register'!$B:$B,MATCH($C152,'Asset Register'!$A:$A,0)),""))</f>
        <v/>
      </c>
      <c r="H152" t="str">
        <f>IFERROR(INDEX('Task Master'!$E:$E,MATCH($F152&amp;"||"&amp;$G152,'Task Master'!$K:$K,0)),"")</f>
        <v/>
      </c>
      <c r="I152" t="str">
        <f>IFERROR(INDEX('Task Master'!$F:$F,MATCH($F152&amp;"||"&amp;$G152,'Task Master'!$K:$K,0)),"")</f>
        <v/>
      </c>
      <c r="J152" t="str">
        <f>IFERROR(INDEX('Task Master'!$H:$H,MATCH($F152&amp;"||"&amp;$G152,'Task Master'!$K:$K,0)),"")</f>
        <v/>
      </c>
      <c r="N152" s="18" t="str">
        <f t="shared" si="17"/>
        <v/>
      </c>
      <c r="R152" s="18">
        <f t="shared" si="18"/>
        <v>0</v>
      </c>
      <c r="V152" s="18">
        <f t="shared" si="19"/>
        <v>0</v>
      </c>
      <c r="Z152" s="18">
        <f t="shared" si="20"/>
        <v>0</v>
      </c>
      <c r="AA152" s="18"/>
      <c r="AB152" s="18">
        <f t="shared" si="21"/>
        <v>0</v>
      </c>
      <c r="AC152" s="18" t="str">
        <f t="shared" si="22"/>
        <v/>
      </c>
      <c r="AD152" s="18" t="str">
        <f t="shared" si="23"/>
        <v/>
      </c>
      <c r="AF152" t="str">
        <f>IFERROR(INDEX('Task Master'!$D:$D,MATCH($F152,'Task Master'!$C:$C,0)),"")</f>
        <v/>
      </c>
    </row>
    <row r="153" spans="1:32" x14ac:dyDescent="0.25">
      <c r="A153" t="str">
        <f t="shared" si="16"/>
        <v/>
      </c>
      <c r="B153" s="16"/>
      <c r="D153" t="str">
        <f>IF($C153="","",IFERROR(INDEX('Asset Register'!$B:$B,MATCH($C153,'Asset Register'!$A:$A,0)),""))</f>
        <v/>
      </c>
      <c r="H153" t="str">
        <f>IFERROR(INDEX('Task Master'!$E:$E,MATCH($F153&amp;"||"&amp;$G153,'Task Master'!$K:$K,0)),"")</f>
        <v/>
      </c>
      <c r="I153" t="str">
        <f>IFERROR(INDEX('Task Master'!$F:$F,MATCH($F153&amp;"||"&amp;$G153,'Task Master'!$K:$K,0)),"")</f>
        <v/>
      </c>
      <c r="J153" t="str">
        <f>IFERROR(INDEX('Task Master'!$H:$H,MATCH($F153&amp;"||"&amp;$G153,'Task Master'!$K:$K,0)),"")</f>
        <v/>
      </c>
      <c r="N153" s="18" t="str">
        <f t="shared" si="17"/>
        <v/>
      </c>
      <c r="R153" s="18">
        <f t="shared" si="18"/>
        <v>0</v>
      </c>
      <c r="V153" s="18">
        <f t="shared" si="19"/>
        <v>0</v>
      </c>
      <c r="Z153" s="18">
        <f t="shared" si="20"/>
        <v>0</v>
      </c>
      <c r="AA153" s="18"/>
      <c r="AB153" s="18">
        <f t="shared" si="21"/>
        <v>0</v>
      </c>
      <c r="AC153" s="18" t="str">
        <f t="shared" si="22"/>
        <v/>
      </c>
      <c r="AD153" s="18" t="str">
        <f t="shared" si="23"/>
        <v/>
      </c>
      <c r="AF153" t="str">
        <f>IFERROR(INDEX('Task Master'!$D:$D,MATCH($F153,'Task Master'!$C:$C,0)),"")</f>
        <v/>
      </c>
    </row>
    <row r="154" spans="1:32" x14ac:dyDescent="0.25">
      <c r="A154" t="str">
        <f t="shared" si="16"/>
        <v/>
      </c>
      <c r="B154" s="16"/>
      <c r="D154" t="str">
        <f>IF($C154="","",IFERROR(INDEX('Asset Register'!$B:$B,MATCH($C154,'Asset Register'!$A:$A,0)),""))</f>
        <v/>
      </c>
      <c r="H154" t="str">
        <f>IFERROR(INDEX('Task Master'!$E:$E,MATCH($F154&amp;"||"&amp;$G154,'Task Master'!$K:$K,0)),"")</f>
        <v/>
      </c>
      <c r="I154" t="str">
        <f>IFERROR(INDEX('Task Master'!$F:$F,MATCH($F154&amp;"||"&amp;$G154,'Task Master'!$K:$K,0)),"")</f>
        <v/>
      </c>
      <c r="J154" t="str">
        <f>IFERROR(INDEX('Task Master'!$H:$H,MATCH($F154&amp;"||"&amp;$G154,'Task Master'!$K:$K,0)),"")</f>
        <v/>
      </c>
      <c r="N154" s="18" t="str">
        <f t="shared" si="17"/>
        <v/>
      </c>
      <c r="R154" s="18">
        <f t="shared" si="18"/>
        <v>0</v>
      </c>
      <c r="V154" s="18">
        <f t="shared" si="19"/>
        <v>0</v>
      </c>
      <c r="Z154" s="18">
        <f t="shared" si="20"/>
        <v>0</v>
      </c>
      <c r="AA154" s="18"/>
      <c r="AB154" s="18">
        <f t="shared" si="21"/>
        <v>0</v>
      </c>
      <c r="AC154" s="18" t="str">
        <f t="shared" si="22"/>
        <v/>
      </c>
      <c r="AD154" s="18" t="str">
        <f t="shared" si="23"/>
        <v/>
      </c>
      <c r="AF154" t="str">
        <f>IFERROR(INDEX('Task Master'!$D:$D,MATCH($F154,'Task Master'!$C:$C,0)),"")</f>
        <v/>
      </c>
    </row>
    <row r="155" spans="1:32" x14ac:dyDescent="0.25">
      <c r="A155" t="str">
        <f t="shared" si="16"/>
        <v/>
      </c>
      <c r="B155" s="16"/>
      <c r="D155" t="str">
        <f>IF($C155="","",IFERROR(INDEX('Asset Register'!$B:$B,MATCH($C155,'Asset Register'!$A:$A,0)),""))</f>
        <v/>
      </c>
      <c r="H155" t="str">
        <f>IFERROR(INDEX('Task Master'!$E:$E,MATCH($F155&amp;"||"&amp;$G155,'Task Master'!$K:$K,0)),"")</f>
        <v/>
      </c>
      <c r="I155" t="str">
        <f>IFERROR(INDEX('Task Master'!$F:$F,MATCH($F155&amp;"||"&amp;$G155,'Task Master'!$K:$K,0)),"")</f>
        <v/>
      </c>
      <c r="J155" t="str">
        <f>IFERROR(INDEX('Task Master'!$H:$H,MATCH($F155&amp;"||"&amp;$G155,'Task Master'!$K:$K,0)),"")</f>
        <v/>
      </c>
      <c r="N155" s="18" t="str">
        <f t="shared" si="17"/>
        <v/>
      </c>
      <c r="R155" s="18">
        <f t="shared" si="18"/>
        <v>0</v>
      </c>
      <c r="V155" s="18">
        <f t="shared" si="19"/>
        <v>0</v>
      </c>
      <c r="Z155" s="18">
        <f t="shared" si="20"/>
        <v>0</v>
      </c>
      <c r="AA155" s="18"/>
      <c r="AB155" s="18">
        <f t="shared" si="21"/>
        <v>0</v>
      </c>
      <c r="AC155" s="18" t="str">
        <f t="shared" si="22"/>
        <v/>
      </c>
      <c r="AD155" s="18" t="str">
        <f t="shared" si="23"/>
        <v/>
      </c>
      <c r="AF155" t="str">
        <f>IFERROR(INDEX('Task Master'!$D:$D,MATCH($F155,'Task Master'!$C:$C,0)),"")</f>
        <v/>
      </c>
    </row>
    <row r="156" spans="1:32" x14ac:dyDescent="0.25">
      <c r="A156" t="str">
        <f t="shared" si="16"/>
        <v/>
      </c>
      <c r="B156" s="16"/>
      <c r="D156" t="str">
        <f>IF($C156="","",IFERROR(INDEX('Asset Register'!$B:$B,MATCH($C156,'Asset Register'!$A:$A,0)),""))</f>
        <v/>
      </c>
      <c r="H156" t="str">
        <f>IFERROR(INDEX('Task Master'!$E:$E,MATCH($F156&amp;"||"&amp;$G156,'Task Master'!$K:$K,0)),"")</f>
        <v/>
      </c>
      <c r="I156" t="str">
        <f>IFERROR(INDEX('Task Master'!$F:$F,MATCH($F156&amp;"||"&amp;$G156,'Task Master'!$K:$K,0)),"")</f>
        <v/>
      </c>
      <c r="J156" t="str">
        <f>IFERROR(INDEX('Task Master'!$H:$H,MATCH($F156&amp;"||"&amp;$G156,'Task Master'!$K:$K,0)),"")</f>
        <v/>
      </c>
      <c r="N156" s="18" t="str">
        <f t="shared" si="17"/>
        <v/>
      </c>
      <c r="R156" s="18">
        <f t="shared" si="18"/>
        <v>0</v>
      </c>
      <c r="V156" s="18">
        <f t="shared" si="19"/>
        <v>0</v>
      </c>
      <c r="Z156" s="18">
        <f t="shared" si="20"/>
        <v>0</v>
      </c>
      <c r="AA156" s="18"/>
      <c r="AB156" s="18">
        <f t="shared" si="21"/>
        <v>0</v>
      </c>
      <c r="AC156" s="18" t="str">
        <f t="shared" si="22"/>
        <v/>
      </c>
      <c r="AD156" s="18" t="str">
        <f t="shared" si="23"/>
        <v/>
      </c>
      <c r="AF156" t="str">
        <f>IFERROR(INDEX('Task Master'!$D:$D,MATCH($F156,'Task Master'!$C:$C,0)),"")</f>
        <v/>
      </c>
    </row>
    <row r="157" spans="1:32" x14ac:dyDescent="0.25">
      <c r="A157" t="str">
        <f t="shared" si="16"/>
        <v/>
      </c>
      <c r="B157" s="16"/>
      <c r="D157" t="str">
        <f>IF($C157="","",IFERROR(INDEX('Asset Register'!$B:$B,MATCH($C157,'Asset Register'!$A:$A,0)),""))</f>
        <v/>
      </c>
      <c r="H157" t="str">
        <f>IFERROR(INDEX('Task Master'!$E:$E,MATCH($F157&amp;"||"&amp;$G157,'Task Master'!$K:$K,0)),"")</f>
        <v/>
      </c>
      <c r="I157" t="str">
        <f>IFERROR(INDEX('Task Master'!$F:$F,MATCH($F157&amp;"||"&amp;$G157,'Task Master'!$K:$K,0)),"")</f>
        <v/>
      </c>
      <c r="J157" t="str">
        <f>IFERROR(INDEX('Task Master'!$H:$H,MATCH($F157&amp;"||"&amp;$G157,'Task Master'!$K:$K,0)),"")</f>
        <v/>
      </c>
      <c r="N157" s="18" t="str">
        <f t="shared" si="17"/>
        <v/>
      </c>
      <c r="R157" s="18">
        <f t="shared" si="18"/>
        <v>0</v>
      </c>
      <c r="V157" s="18">
        <f t="shared" si="19"/>
        <v>0</v>
      </c>
      <c r="Z157" s="18">
        <f t="shared" si="20"/>
        <v>0</v>
      </c>
      <c r="AA157" s="18"/>
      <c r="AB157" s="18">
        <f t="shared" si="21"/>
        <v>0</v>
      </c>
      <c r="AC157" s="18" t="str">
        <f t="shared" si="22"/>
        <v/>
      </c>
      <c r="AD157" s="18" t="str">
        <f t="shared" si="23"/>
        <v/>
      </c>
      <c r="AF157" t="str">
        <f>IFERROR(INDEX('Task Master'!$D:$D,MATCH($F157,'Task Master'!$C:$C,0)),"")</f>
        <v/>
      </c>
    </row>
    <row r="158" spans="1:32" x14ac:dyDescent="0.25">
      <c r="A158" t="str">
        <f t="shared" si="16"/>
        <v/>
      </c>
      <c r="B158" s="16"/>
      <c r="D158" t="str">
        <f>IF($C158="","",IFERROR(INDEX('Asset Register'!$B:$B,MATCH($C158,'Asset Register'!$A:$A,0)),""))</f>
        <v/>
      </c>
      <c r="H158" t="str">
        <f>IFERROR(INDEX('Task Master'!$E:$E,MATCH($F158&amp;"||"&amp;$G158,'Task Master'!$K:$K,0)),"")</f>
        <v/>
      </c>
      <c r="I158" t="str">
        <f>IFERROR(INDEX('Task Master'!$F:$F,MATCH($F158&amp;"||"&amp;$G158,'Task Master'!$K:$K,0)),"")</f>
        <v/>
      </c>
      <c r="J158" t="str">
        <f>IFERROR(INDEX('Task Master'!$H:$H,MATCH($F158&amp;"||"&amp;$G158,'Task Master'!$K:$K,0)),"")</f>
        <v/>
      </c>
      <c r="N158" s="18" t="str">
        <f t="shared" si="17"/>
        <v/>
      </c>
      <c r="R158" s="18">
        <f t="shared" si="18"/>
        <v>0</v>
      </c>
      <c r="V158" s="18">
        <f t="shared" si="19"/>
        <v>0</v>
      </c>
      <c r="Z158" s="18">
        <f t="shared" si="20"/>
        <v>0</v>
      </c>
      <c r="AA158" s="18"/>
      <c r="AB158" s="18">
        <f t="shared" si="21"/>
        <v>0</v>
      </c>
      <c r="AC158" s="18" t="str">
        <f t="shared" si="22"/>
        <v/>
      </c>
      <c r="AD158" s="18" t="str">
        <f t="shared" si="23"/>
        <v/>
      </c>
      <c r="AF158" t="str">
        <f>IFERROR(INDEX('Task Master'!$D:$D,MATCH($F158,'Task Master'!$C:$C,0)),"")</f>
        <v/>
      </c>
    </row>
    <row r="159" spans="1:32" x14ac:dyDescent="0.25">
      <c r="A159" t="str">
        <f t="shared" si="16"/>
        <v/>
      </c>
      <c r="B159" s="16"/>
      <c r="D159" t="str">
        <f>IF($C159="","",IFERROR(INDEX('Asset Register'!$B:$B,MATCH($C159,'Asset Register'!$A:$A,0)),""))</f>
        <v/>
      </c>
      <c r="H159" t="str">
        <f>IFERROR(INDEX('Task Master'!$E:$E,MATCH($F159&amp;"||"&amp;$G159,'Task Master'!$K:$K,0)),"")</f>
        <v/>
      </c>
      <c r="I159" t="str">
        <f>IFERROR(INDEX('Task Master'!$F:$F,MATCH($F159&amp;"||"&amp;$G159,'Task Master'!$K:$K,0)),"")</f>
        <v/>
      </c>
      <c r="J159" t="str">
        <f>IFERROR(INDEX('Task Master'!$H:$H,MATCH($F159&amp;"||"&amp;$G159,'Task Master'!$K:$K,0)),"")</f>
        <v/>
      </c>
      <c r="N159" s="18" t="str">
        <f t="shared" si="17"/>
        <v/>
      </c>
      <c r="R159" s="18">
        <f t="shared" si="18"/>
        <v>0</v>
      </c>
      <c r="V159" s="18">
        <f t="shared" si="19"/>
        <v>0</v>
      </c>
      <c r="Z159" s="18">
        <f t="shared" si="20"/>
        <v>0</v>
      </c>
      <c r="AA159" s="18"/>
      <c r="AB159" s="18">
        <f t="shared" si="21"/>
        <v>0</v>
      </c>
      <c r="AC159" s="18" t="str">
        <f t="shared" si="22"/>
        <v/>
      </c>
      <c r="AD159" s="18" t="str">
        <f t="shared" si="23"/>
        <v/>
      </c>
      <c r="AF159" t="str">
        <f>IFERROR(INDEX('Task Master'!$D:$D,MATCH($F159,'Task Master'!$C:$C,0)),"")</f>
        <v/>
      </c>
    </row>
    <row r="160" spans="1:32" x14ac:dyDescent="0.25">
      <c r="A160" t="str">
        <f t="shared" si="16"/>
        <v/>
      </c>
      <c r="B160" s="16"/>
      <c r="D160" t="str">
        <f>IF($C160="","",IFERROR(INDEX('Asset Register'!$B:$B,MATCH($C160,'Asset Register'!$A:$A,0)),""))</f>
        <v/>
      </c>
      <c r="H160" t="str">
        <f>IFERROR(INDEX('Task Master'!$E:$E,MATCH($F160&amp;"||"&amp;$G160,'Task Master'!$K:$K,0)),"")</f>
        <v/>
      </c>
      <c r="I160" t="str">
        <f>IFERROR(INDEX('Task Master'!$F:$F,MATCH($F160&amp;"||"&amp;$G160,'Task Master'!$K:$K,0)),"")</f>
        <v/>
      </c>
      <c r="J160" t="str">
        <f>IFERROR(INDEX('Task Master'!$H:$H,MATCH($F160&amp;"||"&amp;$G160,'Task Master'!$K:$K,0)),"")</f>
        <v/>
      </c>
      <c r="N160" s="18" t="str">
        <f t="shared" si="17"/>
        <v/>
      </c>
      <c r="R160" s="18">
        <f t="shared" si="18"/>
        <v>0</v>
      </c>
      <c r="V160" s="18">
        <f t="shared" si="19"/>
        <v>0</v>
      </c>
      <c r="Z160" s="18">
        <f t="shared" si="20"/>
        <v>0</v>
      </c>
      <c r="AA160" s="18"/>
      <c r="AB160" s="18">
        <f t="shared" si="21"/>
        <v>0</v>
      </c>
      <c r="AC160" s="18" t="str">
        <f t="shared" si="22"/>
        <v/>
      </c>
      <c r="AD160" s="18" t="str">
        <f t="shared" si="23"/>
        <v/>
      </c>
      <c r="AF160" t="str">
        <f>IFERROR(INDEX('Task Master'!$D:$D,MATCH($F160,'Task Master'!$C:$C,0)),"")</f>
        <v/>
      </c>
    </row>
    <row r="161" spans="1:32" x14ac:dyDescent="0.25">
      <c r="A161" t="str">
        <f t="shared" si="16"/>
        <v/>
      </c>
      <c r="B161" s="16"/>
      <c r="D161" t="str">
        <f>IF($C161="","",IFERROR(INDEX('Asset Register'!$B:$B,MATCH($C161,'Asset Register'!$A:$A,0)),""))</f>
        <v/>
      </c>
      <c r="H161" t="str">
        <f>IFERROR(INDEX('Task Master'!$E:$E,MATCH($F161&amp;"||"&amp;$G161,'Task Master'!$K:$K,0)),"")</f>
        <v/>
      </c>
      <c r="I161" t="str">
        <f>IFERROR(INDEX('Task Master'!$F:$F,MATCH($F161&amp;"||"&amp;$G161,'Task Master'!$K:$K,0)),"")</f>
        <v/>
      </c>
      <c r="J161" t="str">
        <f>IFERROR(INDEX('Task Master'!$H:$H,MATCH($F161&amp;"||"&amp;$G161,'Task Master'!$K:$K,0)),"")</f>
        <v/>
      </c>
      <c r="N161" s="18" t="str">
        <f t="shared" si="17"/>
        <v/>
      </c>
      <c r="R161" s="18">
        <f t="shared" si="18"/>
        <v>0</v>
      </c>
      <c r="V161" s="18">
        <f t="shared" si="19"/>
        <v>0</v>
      </c>
      <c r="Z161" s="18">
        <f t="shared" si="20"/>
        <v>0</v>
      </c>
      <c r="AA161" s="18"/>
      <c r="AB161" s="18">
        <f t="shared" si="21"/>
        <v>0</v>
      </c>
      <c r="AC161" s="18" t="str">
        <f t="shared" si="22"/>
        <v/>
      </c>
      <c r="AD161" s="18" t="str">
        <f t="shared" si="23"/>
        <v/>
      </c>
      <c r="AF161" t="str">
        <f>IFERROR(INDEX('Task Master'!$D:$D,MATCH($F161,'Task Master'!$C:$C,0)),"")</f>
        <v/>
      </c>
    </row>
    <row r="162" spans="1:32" x14ac:dyDescent="0.25">
      <c r="A162" t="str">
        <f t="shared" si="16"/>
        <v/>
      </c>
      <c r="B162" s="16"/>
      <c r="D162" t="str">
        <f>IF($C162="","",IFERROR(INDEX('Asset Register'!$B:$B,MATCH($C162,'Asset Register'!$A:$A,0)),""))</f>
        <v/>
      </c>
      <c r="H162" t="str">
        <f>IFERROR(INDEX('Task Master'!$E:$E,MATCH($F162&amp;"||"&amp;$G162,'Task Master'!$K:$K,0)),"")</f>
        <v/>
      </c>
      <c r="I162" t="str">
        <f>IFERROR(INDEX('Task Master'!$F:$F,MATCH($F162&amp;"||"&amp;$G162,'Task Master'!$K:$K,0)),"")</f>
        <v/>
      </c>
      <c r="J162" t="str">
        <f>IFERROR(INDEX('Task Master'!$H:$H,MATCH($F162&amp;"||"&amp;$G162,'Task Master'!$K:$K,0)),"")</f>
        <v/>
      </c>
      <c r="N162" s="18" t="str">
        <f t="shared" si="17"/>
        <v/>
      </c>
      <c r="R162" s="18">
        <f t="shared" si="18"/>
        <v>0</v>
      </c>
      <c r="V162" s="18">
        <f t="shared" si="19"/>
        <v>0</v>
      </c>
      <c r="Z162" s="18">
        <f t="shared" si="20"/>
        <v>0</v>
      </c>
      <c r="AA162" s="18"/>
      <c r="AB162" s="18">
        <f t="shared" si="21"/>
        <v>0</v>
      </c>
      <c r="AC162" s="18" t="str">
        <f t="shared" si="22"/>
        <v/>
      </c>
      <c r="AD162" s="18" t="str">
        <f t="shared" si="23"/>
        <v/>
      </c>
      <c r="AF162" t="str">
        <f>IFERROR(INDEX('Task Master'!$D:$D,MATCH($F162,'Task Master'!$C:$C,0)),"")</f>
        <v/>
      </c>
    </row>
    <row r="163" spans="1:32" x14ac:dyDescent="0.25">
      <c r="A163" t="str">
        <f t="shared" si="16"/>
        <v/>
      </c>
      <c r="B163" s="16"/>
      <c r="D163" t="str">
        <f>IF($C163="","",IFERROR(INDEX('Asset Register'!$B:$B,MATCH($C163,'Asset Register'!$A:$A,0)),""))</f>
        <v/>
      </c>
      <c r="H163" t="str">
        <f>IFERROR(INDEX('Task Master'!$E:$E,MATCH($F163&amp;"||"&amp;$G163,'Task Master'!$K:$K,0)),"")</f>
        <v/>
      </c>
      <c r="I163" t="str">
        <f>IFERROR(INDEX('Task Master'!$F:$F,MATCH($F163&amp;"||"&amp;$G163,'Task Master'!$K:$K,0)),"")</f>
        <v/>
      </c>
      <c r="J163" t="str">
        <f>IFERROR(INDEX('Task Master'!$H:$H,MATCH($F163&amp;"||"&amp;$G163,'Task Master'!$K:$K,0)),"")</f>
        <v/>
      </c>
      <c r="N163" s="18" t="str">
        <f t="shared" si="17"/>
        <v/>
      </c>
      <c r="R163" s="18">
        <f t="shared" si="18"/>
        <v>0</v>
      </c>
      <c r="V163" s="18">
        <f t="shared" si="19"/>
        <v>0</v>
      </c>
      <c r="Z163" s="18">
        <f t="shared" si="20"/>
        <v>0</v>
      </c>
      <c r="AA163" s="18"/>
      <c r="AB163" s="18">
        <f t="shared" si="21"/>
        <v>0</v>
      </c>
      <c r="AC163" s="18" t="str">
        <f t="shared" si="22"/>
        <v/>
      </c>
      <c r="AD163" s="18" t="str">
        <f t="shared" si="23"/>
        <v/>
      </c>
      <c r="AF163" t="str">
        <f>IFERROR(INDEX('Task Master'!$D:$D,MATCH($F163,'Task Master'!$C:$C,0)),"")</f>
        <v/>
      </c>
    </row>
    <row r="164" spans="1:32" x14ac:dyDescent="0.25">
      <c r="A164" t="str">
        <f t="shared" si="16"/>
        <v/>
      </c>
      <c r="B164" s="16"/>
      <c r="D164" t="str">
        <f>IF($C164="","",IFERROR(INDEX('Asset Register'!$B:$B,MATCH($C164,'Asset Register'!$A:$A,0)),""))</f>
        <v/>
      </c>
      <c r="H164" t="str">
        <f>IFERROR(INDEX('Task Master'!$E:$E,MATCH($F164&amp;"||"&amp;$G164,'Task Master'!$K:$K,0)),"")</f>
        <v/>
      </c>
      <c r="I164" t="str">
        <f>IFERROR(INDEX('Task Master'!$F:$F,MATCH($F164&amp;"||"&amp;$G164,'Task Master'!$K:$K,0)),"")</f>
        <v/>
      </c>
      <c r="J164" t="str">
        <f>IFERROR(INDEX('Task Master'!$H:$H,MATCH($F164&amp;"||"&amp;$G164,'Task Master'!$K:$K,0)),"")</f>
        <v/>
      </c>
      <c r="N164" s="18" t="str">
        <f t="shared" si="17"/>
        <v/>
      </c>
      <c r="R164" s="18">
        <f t="shared" si="18"/>
        <v>0</v>
      </c>
      <c r="V164" s="18">
        <f t="shared" si="19"/>
        <v>0</v>
      </c>
      <c r="Z164" s="18">
        <f t="shared" si="20"/>
        <v>0</v>
      </c>
      <c r="AA164" s="18"/>
      <c r="AB164" s="18">
        <f t="shared" si="21"/>
        <v>0</v>
      </c>
      <c r="AC164" s="18" t="str">
        <f t="shared" si="22"/>
        <v/>
      </c>
      <c r="AD164" s="18" t="str">
        <f t="shared" si="23"/>
        <v/>
      </c>
      <c r="AF164" t="str">
        <f>IFERROR(INDEX('Task Master'!$D:$D,MATCH($F164,'Task Master'!$C:$C,0)),"")</f>
        <v/>
      </c>
    </row>
    <row r="165" spans="1:32" x14ac:dyDescent="0.25">
      <c r="A165" t="str">
        <f t="shared" si="16"/>
        <v/>
      </c>
      <c r="B165" s="16"/>
      <c r="D165" t="str">
        <f>IF($C165="","",IFERROR(INDEX('Asset Register'!$B:$B,MATCH($C165,'Asset Register'!$A:$A,0)),""))</f>
        <v/>
      </c>
      <c r="H165" t="str">
        <f>IFERROR(INDEX('Task Master'!$E:$E,MATCH($F165&amp;"||"&amp;$G165,'Task Master'!$K:$K,0)),"")</f>
        <v/>
      </c>
      <c r="I165" t="str">
        <f>IFERROR(INDEX('Task Master'!$F:$F,MATCH($F165&amp;"||"&amp;$G165,'Task Master'!$K:$K,0)),"")</f>
        <v/>
      </c>
      <c r="J165" t="str">
        <f>IFERROR(INDEX('Task Master'!$H:$H,MATCH($F165&amp;"||"&amp;$G165,'Task Master'!$K:$K,0)),"")</f>
        <v/>
      </c>
      <c r="N165" s="18" t="str">
        <f t="shared" si="17"/>
        <v/>
      </c>
      <c r="R165" s="18">
        <f t="shared" si="18"/>
        <v>0</v>
      </c>
      <c r="V165" s="18">
        <f t="shared" si="19"/>
        <v>0</v>
      </c>
      <c r="Z165" s="18">
        <f t="shared" si="20"/>
        <v>0</v>
      </c>
      <c r="AA165" s="18"/>
      <c r="AB165" s="18">
        <f t="shared" si="21"/>
        <v>0</v>
      </c>
      <c r="AC165" s="18" t="str">
        <f t="shared" si="22"/>
        <v/>
      </c>
      <c r="AD165" s="18" t="str">
        <f t="shared" si="23"/>
        <v/>
      </c>
      <c r="AF165" t="str">
        <f>IFERROR(INDEX('Task Master'!$D:$D,MATCH($F165,'Task Master'!$C:$C,0)),"")</f>
        <v/>
      </c>
    </row>
    <row r="166" spans="1:32" x14ac:dyDescent="0.25">
      <c r="A166" t="str">
        <f t="shared" si="16"/>
        <v/>
      </c>
      <c r="B166" s="16"/>
      <c r="D166" t="str">
        <f>IF($C166="","",IFERROR(INDEX('Asset Register'!$B:$B,MATCH($C166,'Asset Register'!$A:$A,0)),""))</f>
        <v/>
      </c>
      <c r="H166" t="str">
        <f>IFERROR(INDEX('Task Master'!$E:$E,MATCH($F166&amp;"||"&amp;$G166,'Task Master'!$K:$K,0)),"")</f>
        <v/>
      </c>
      <c r="I166" t="str">
        <f>IFERROR(INDEX('Task Master'!$F:$F,MATCH($F166&amp;"||"&amp;$G166,'Task Master'!$K:$K,0)),"")</f>
        <v/>
      </c>
      <c r="J166" t="str">
        <f>IFERROR(INDEX('Task Master'!$H:$H,MATCH($F166&amp;"||"&amp;$G166,'Task Master'!$K:$K,0)),"")</f>
        <v/>
      </c>
      <c r="N166" s="18" t="str">
        <f t="shared" si="17"/>
        <v/>
      </c>
      <c r="R166" s="18">
        <f t="shared" si="18"/>
        <v>0</v>
      </c>
      <c r="V166" s="18">
        <f t="shared" si="19"/>
        <v>0</v>
      </c>
      <c r="Z166" s="18">
        <f t="shared" si="20"/>
        <v>0</v>
      </c>
      <c r="AA166" s="18"/>
      <c r="AB166" s="18">
        <f t="shared" si="21"/>
        <v>0</v>
      </c>
      <c r="AC166" s="18" t="str">
        <f t="shared" si="22"/>
        <v/>
      </c>
      <c r="AD166" s="18" t="str">
        <f t="shared" si="23"/>
        <v/>
      </c>
      <c r="AF166" t="str">
        <f>IFERROR(INDEX('Task Master'!$D:$D,MATCH($F166,'Task Master'!$C:$C,0)),"")</f>
        <v/>
      </c>
    </row>
    <row r="167" spans="1:32" x14ac:dyDescent="0.25">
      <c r="A167" t="str">
        <f t="shared" si="16"/>
        <v/>
      </c>
      <c r="B167" s="16"/>
      <c r="D167" t="str">
        <f>IF($C167="","",IFERROR(INDEX('Asset Register'!$B:$B,MATCH($C167,'Asset Register'!$A:$A,0)),""))</f>
        <v/>
      </c>
      <c r="H167" t="str">
        <f>IFERROR(INDEX('Task Master'!$E:$E,MATCH($F167&amp;"||"&amp;$G167,'Task Master'!$K:$K,0)),"")</f>
        <v/>
      </c>
      <c r="I167" t="str">
        <f>IFERROR(INDEX('Task Master'!$F:$F,MATCH($F167&amp;"||"&amp;$G167,'Task Master'!$K:$K,0)),"")</f>
        <v/>
      </c>
      <c r="J167" t="str">
        <f>IFERROR(INDEX('Task Master'!$H:$H,MATCH($F167&amp;"||"&amp;$G167,'Task Master'!$K:$K,0)),"")</f>
        <v/>
      </c>
      <c r="N167" s="18" t="str">
        <f t="shared" si="17"/>
        <v/>
      </c>
      <c r="R167" s="18">
        <f t="shared" si="18"/>
        <v>0</v>
      </c>
      <c r="V167" s="18">
        <f t="shared" si="19"/>
        <v>0</v>
      </c>
      <c r="Z167" s="18">
        <f t="shared" si="20"/>
        <v>0</v>
      </c>
      <c r="AA167" s="18"/>
      <c r="AB167" s="18">
        <f t="shared" si="21"/>
        <v>0</v>
      </c>
      <c r="AC167" s="18" t="str">
        <f t="shared" si="22"/>
        <v/>
      </c>
      <c r="AD167" s="18" t="str">
        <f t="shared" si="23"/>
        <v/>
      </c>
      <c r="AF167" t="str">
        <f>IFERROR(INDEX('Task Master'!$D:$D,MATCH($F167,'Task Master'!$C:$C,0)),"")</f>
        <v/>
      </c>
    </row>
    <row r="168" spans="1:32" x14ac:dyDescent="0.25">
      <c r="A168" t="str">
        <f t="shared" si="16"/>
        <v/>
      </c>
      <c r="B168" s="16"/>
      <c r="D168" t="str">
        <f>IF($C168="","",IFERROR(INDEX('Asset Register'!$B:$B,MATCH($C168,'Asset Register'!$A:$A,0)),""))</f>
        <v/>
      </c>
      <c r="H168" t="str">
        <f>IFERROR(INDEX('Task Master'!$E:$E,MATCH($F168&amp;"||"&amp;$G168,'Task Master'!$K:$K,0)),"")</f>
        <v/>
      </c>
      <c r="I168" t="str">
        <f>IFERROR(INDEX('Task Master'!$F:$F,MATCH($F168&amp;"||"&amp;$G168,'Task Master'!$K:$K,0)),"")</f>
        <v/>
      </c>
      <c r="J168" t="str">
        <f>IFERROR(INDEX('Task Master'!$H:$H,MATCH($F168&amp;"||"&amp;$G168,'Task Master'!$K:$K,0)),"")</f>
        <v/>
      </c>
      <c r="N168" s="18" t="str">
        <f t="shared" si="17"/>
        <v/>
      </c>
      <c r="R168" s="18">
        <f t="shared" si="18"/>
        <v>0</v>
      </c>
      <c r="V168" s="18">
        <f t="shared" si="19"/>
        <v>0</v>
      </c>
      <c r="Z168" s="18">
        <f t="shared" si="20"/>
        <v>0</v>
      </c>
      <c r="AA168" s="18"/>
      <c r="AB168" s="18">
        <f t="shared" si="21"/>
        <v>0</v>
      </c>
      <c r="AC168" s="18" t="str">
        <f t="shared" si="22"/>
        <v/>
      </c>
      <c r="AD168" s="18" t="str">
        <f t="shared" si="23"/>
        <v/>
      </c>
      <c r="AF168" t="str">
        <f>IFERROR(INDEX('Task Master'!$D:$D,MATCH($F168,'Task Master'!$C:$C,0)),"")</f>
        <v/>
      </c>
    </row>
    <row r="169" spans="1:32" x14ac:dyDescent="0.25">
      <c r="A169" t="str">
        <f t="shared" si="16"/>
        <v/>
      </c>
      <c r="B169" s="16"/>
      <c r="D169" t="str">
        <f>IF($C169="","",IFERROR(INDEX('Asset Register'!$B:$B,MATCH($C169,'Asset Register'!$A:$A,0)),""))</f>
        <v/>
      </c>
      <c r="H169" t="str">
        <f>IFERROR(INDEX('Task Master'!$E:$E,MATCH($F169&amp;"||"&amp;$G169,'Task Master'!$K:$K,0)),"")</f>
        <v/>
      </c>
      <c r="I169" t="str">
        <f>IFERROR(INDEX('Task Master'!$F:$F,MATCH($F169&amp;"||"&amp;$G169,'Task Master'!$K:$K,0)),"")</f>
        <v/>
      </c>
      <c r="J169" t="str">
        <f>IFERROR(INDEX('Task Master'!$H:$H,MATCH($F169&amp;"||"&amp;$G169,'Task Master'!$K:$K,0)),"")</f>
        <v/>
      </c>
      <c r="N169" s="18" t="str">
        <f t="shared" si="17"/>
        <v/>
      </c>
      <c r="R169" s="18">
        <f t="shared" si="18"/>
        <v>0</v>
      </c>
      <c r="V169" s="18">
        <f t="shared" si="19"/>
        <v>0</v>
      </c>
      <c r="Z169" s="18">
        <f t="shared" si="20"/>
        <v>0</v>
      </c>
      <c r="AA169" s="18"/>
      <c r="AB169" s="18">
        <f t="shared" si="21"/>
        <v>0</v>
      </c>
      <c r="AC169" s="18" t="str">
        <f t="shared" si="22"/>
        <v/>
      </c>
      <c r="AD169" s="18" t="str">
        <f t="shared" si="23"/>
        <v/>
      </c>
      <c r="AF169" t="str">
        <f>IFERROR(INDEX('Task Master'!$D:$D,MATCH($F169,'Task Master'!$C:$C,0)),"")</f>
        <v/>
      </c>
    </row>
    <row r="170" spans="1:32" x14ac:dyDescent="0.25">
      <c r="A170" t="str">
        <f t="shared" si="16"/>
        <v/>
      </c>
      <c r="B170" s="16"/>
      <c r="D170" t="str">
        <f>IF($C170="","",IFERROR(INDEX('Asset Register'!$B:$B,MATCH($C170,'Asset Register'!$A:$A,0)),""))</f>
        <v/>
      </c>
      <c r="H170" t="str">
        <f>IFERROR(INDEX('Task Master'!$E:$E,MATCH($F170&amp;"||"&amp;$G170,'Task Master'!$K:$K,0)),"")</f>
        <v/>
      </c>
      <c r="I170" t="str">
        <f>IFERROR(INDEX('Task Master'!$F:$F,MATCH($F170&amp;"||"&amp;$G170,'Task Master'!$K:$K,0)),"")</f>
        <v/>
      </c>
      <c r="J170" t="str">
        <f>IFERROR(INDEX('Task Master'!$H:$H,MATCH($F170&amp;"||"&amp;$G170,'Task Master'!$K:$K,0)),"")</f>
        <v/>
      </c>
      <c r="N170" s="18" t="str">
        <f t="shared" si="17"/>
        <v/>
      </c>
      <c r="R170" s="18">
        <f t="shared" si="18"/>
        <v>0</v>
      </c>
      <c r="V170" s="18">
        <f t="shared" si="19"/>
        <v>0</v>
      </c>
      <c r="Z170" s="18">
        <f t="shared" si="20"/>
        <v>0</v>
      </c>
      <c r="AA170" s="18"/>
      <c r="AB170" s="18">
        <f t="shared" si="21"/>
        <v>0</v>
      </c>
      <c r="AC170" s="18" t="str">
        <f t="shared" si="22"/>
        <v/>
      </c>
      <c r="AD170" s="18" t="str">
        <f t="shared" si="23"/>
        <v/>
      </c>
      <c r="AF170" t="str">
        <f>IFERROR(INDEX('Task Master'!$D:$D,MATCH($F170,'Task Master'!$C:$C,0)),"")</f>
        <v/>
      </c>
    </row>
    <row r="171" spans="1:32" x14ac:dyDescent="0.25">
      <c r="A171" t="str">
        <f t="shared" si="16"/>
        <v/>
      </c>
      <c r="B171" s="16"/>
      <c r="D171" t="str">
        <f>IF($C171="","",IFERROR(INDEX('Asset Register'!$B:$B,MATCH($C171,'Asset Register'!$A:$A,0)),""))</f>
        <v/>
      </c>
      <c r="H171" t="str">
        <f>IFERROR(INDEX('Task Master'!$E:$E,MATCH($F171&amp;"||"&amp;$G171,'Task Master'!$K:$K,0)),"")</f>
        <v/>
      </c>
      <c r="I171" t="str">
        <f>IFERROR(INDEX('Task Master'!$F:$F,MATCH($F171&amp;"||"&amp;$G171,'Task Master'!$K:$K,0)),"")</f>
        <v/>
      </c>
      <c r="J171" t="str">
        <f>IFERROR(INDEX('Task Master'!$H:$H,MATCH($F171&amp;"||"&amp;$G171,'Task Master'!$K:$K,0)),"")</f>
        <v/>
      </c>
      <c r="N171" s="18" t="str">
        <f t="shared" si="17"/>
        <v/>
      </c>
      <c r="R171" s="18">
        <f t="shared" si="18"/>
        <v>0</v>
      </c>
      <c r="V171" s="18">
        <f t="shared" si="19"/>
        <v>0</v>
      </c>
      <c r="Z171" s="18">
        <f t="shared" si="20"/>
        <v>0</v>
      </c>
      <c r="AA171" s="18"/>
      <c r="AB171" s="18">
        <f t="shared" si="21"/>
        <v>0</v>
      </c>
      <c r="AC171" s="18" t="str">
        <f t="shared" si="22"/>
        <v/>
      </c>
      <c r="AD171" s="18" t="str">
        <f t="shared" si="23"/>
        <v/>
      </c>
      <c r="AF171" t="str">
        <f>IFERROR(INDEX('Task Master'!$D:$D,MATCH($F171,'Task Master'!$C:$C,0)),"")</f>
        <v/>
      </c>
    </row>
    <row r="172" spans="1:32" x14ac:dyDescent="0.25">
      <c r="A172" t="str">
        <f t="shared" si="16"/>
        <v/>
      </c>
      <c r="B172" s="16"/>
      <c r="D172" t="str">
        <f>IF($C172="","",IFERROR(INDEX('Asset Register'!$B:$B,MATCH($C172,'Asset Register'!$A:$A,0)),""))</f>
        <v/>
      </c>
      <c r="H172" t="str">
        <f>IFERROR(INDEX('Task Master'!$E:$E,MATCH($F172&amp;"||"&amp;$G172,'Task Master'!$K:$K,0)),"")</f>
        <v/>
      </c>
      <c r="I172" t="str">
        <f>IFERROR(INDEX('Task Master'!$F:$F,MATCH($F172&amp;"||"&amp;$G172,'Task Master'!$K:$K,0)),"")</f>
        <v/>
      </c>
      <c r="J172" t="str">
        <f>IFERROR(INDEX('Task Master'!$H:$H,MATCH($F172&amp;"||"&amp;$G172,'Task Master'!$K:$K,0)),"")</f>
        <v/>
      </c>
      <c r="N172" s="18" t="str">
        <f t="shared" si="17"/>
        <v/>
      </c>
      <c r="R172" s="18">
        <f t="shared" si="18"/>
        <v>0</v>
      </c>
      <c r="V172" s="18">
        <f t="shared" si="19"/>
        <v>0</v>
      </c>
      <c r="Z172" s="18">
        <f t="shared" si="20"/>
        <v>0</v>
      </c>
      <c r="AA172" s="18"/>
      <c r="AB172" s="18">
        <f t="shared" si="21"/>
        <v>0</v>
      </c>
      <c r="AC172" s="18" t="str">
        <f t="shared" si="22"/>
        <v/>
      </c>
      <c r="AD172" s="18" t="str">
        <f t="shared" si="23"/>
        <v/>
      </c>
      <c r="AF172" t="str">
        <f>IFERROR(INDEX('Task Master'!$D:$D,MATCH($F172,'Task Master'!$C:$C,0)),"")</f>
        <v/>
      </c>
    </row>
    <row r="173" spans="1:32" x14ac:dyDescent="0.25">
      <c r="A173" t="str">
        <f t="shared" si="16"/>
        <v/>
      </c>
      <c r="B173" s="16"/>
      <c r="D173" t="str">
        <f>IF($C173="","",IFERROR(INDEX('Asset Register'!$B:$B,MATCH($C173,'Asset Register'!$A:$A,0)),""))</f>
        <v/>
      </c>
      <c r="H173" t="str">
        <f>IFERROR(INDEX('Task Master'!$E:$E,MATCH($F173&amp;"||"&amp;$G173,'Task Master'!$K:$K,0)),"")</f>
        <v/>
      </c>
      <c r="I173" t="str">
        <f>IFERROR(INDEX('Task Master'!$F:$F,MATCH($F173&amp;"||"&amp;$G173,'Task Master'!$K:$K,0)),"")</f>
        <v/>
      </c>
      <c r="J173" t="str">
        <f>IFERROR(INDEX('Task Master'!$H:$H,MATCH($F173&amp;"||"&amp;$G173,'Task Master'!$K:$K,0)),"")</f>
        <v/>
      </c>
      <c r="N173" s="18" t="str">
        <f t="shared" si="17"/>
        <v/>
      </c>
      <c r="R173" s="18">
        <f t="shared" si="18"/>
        <v>0</v>
      </c>
      <c r="V173" s="18">
        <f t="shared" si="19"/>
        <v>0</v>
      </c>
      <c r="Z173" s="18">
        <f t="shared" si="20"/>
        <v>0</v>
      </c>
      <c r="AA173" s="18"/>
      <c r="AB173" s="18">
        <f t="shared" si="21"/>
        <v>0</v>
      </c>
      <c r="AC173" s="18" t="str">
        <f t="shared" si="22"/>
        <v/>
      </c>
      <c r="AD173" s="18" t="str">
        <f t="shared" si="23"/>
        <v/>
      </c>
      <c r="AF173" t="str">
        <f>IFERROR(INDEX('Task Master'!$D:$D,MATCH($F173,'Task Master'!$C:$C,0)),"")</f>
        <v/>
      </c>
    </row>
    <row r="174" spans="1:32" x14ac:dyDescent="0.25">
      <c r="A174" t="str">
        <f t="shared" si="16"/>
        <v/>
      </c>
      <c r="B174" s="16"/>
      <c r="D174" t="str">
        <f>IF($C174="","",IFERROR(INDEX('Asset Register'!$B:$B,MATCH($C174,'Asset Register'!$A:$A,0)),""))</f>
        <v/>
      </c>
      <c r="H174" t="str">
        <f>IFERROR(INDEX('Task Master'!$E:$E,MATCH($F174&amp;"||"&amp;$G174,'Task Master'!$K:$K,0)),"")</f>
        <v/>
      </c>
      <c r="I174" t="str">
        <f>IFERROR(INDEX('Task Master'!$F:$F,MATCH($F174&amp;"||"&amp;$G174,'Task Master'!$K:$K,0)),"")</f>
        <v/>
      </c>
      <c r="J174" t="str">
        <f>IFERROR(INDEX('Task Master'!$H:$H,MATCH($F174&amp;"||"&amp;$G174,'Task Master'!$K:$K,0)),"")</f>
        <v/>
      </c>
      <c r="N174" s="18" t="str">
        <f t="shared" si="17"/>
        <v/>
      </c>
      <c r="R174" s="18">
        <f t="shared" si="18"/>
        <v>0</v>
      </c>
      <c r="V174" s="18">
        <f t="shared" si="19"/>
        <v>0</v>
      </c>
      <c r="Z174" s="18">
        <f t="shared" si="20"/>
        <v>0</v>
      </c>
      <c r="AA174" s="18"/>
      <c r="AB174" s="18">
        <f t="shared" si="21"/>
        <v>0</v>
      </c>
      <c r="AC174" s="18" t="str">
        <f t="shared" si="22"/>
        <v/>
      </c>
      <c r="AD174" s="18" t="str">
        <f t="shared" si="23"/>
        <v/>
      </c>
      <c r="AF174" t="str">
        <f>IFERROR(INDEX('Task Master'!$D:$D,MATCH($F174,'Task Master'!$C:$C,0)),"")</f>
        <v/>
      </c>
    </row>
    <row r="175" spans="1:32" x14ac:dyDescent="0.25">
      <c r="A175" t="str">
        <f t="shared" si="16"/>
        <v/>
      </c>
      <c r="B175" s="16"/>
      <c r="D175" t="str">
        <f>IF($C175="","",IFERROR(INDEX('Asset Register'!$B:$B,MATCH($C175,'Asset Register'!$A:$A,0)),""))</f>
        <v/>
      </c>
      <c r="H175" t="str">
        <f>IFERROR(INDEX('Task Master'!$E:$E,MATCH($F175&amp;"||"&amp;$G175,'Task Master'!$K:$K,0)),"")</f>
        <v/>
      </c>
      <c r="I175" t="str">
        <f>IFERROR(INDEX('Task Master'!$F:$F,MATCH($F175&amp;"||"&amp;$G175,'Task Master'!$K:$K,0)),"")</f>
        <v/>
      </c>
      <c r="J175" t="str">
        <f>IFERROR(INDEX('Task Master'!$H:$H,MATCH($F175&amp;"||"&amp;$G175,'Task Master'!$K:$K,0)),"")</f>
        <v/>
      </c>
      <c r="N175" s="18" t="str">
        <f t="shared" si="17"/>
        <v/>
      </c>
      <c r="R175" s="18">
        <f t="shared" si="18"/>
        <v>0</v>
      </c>
      <c r="V175" s="18">
        <f t="shared" si="19"/>
        <v>0</v>
      </c>
      <c r="Z175" s="18">
        <f t="shared" si="20"/>
        <v>0</v>
      </c>
      <c r="AA175" s="18"/>
      <c r="AB175" s="18">
        <f t="shared" si="21"/>
        <v>0</v>
      </c>
      <c r="AC175" s="18" t="str">
        <f t="shared" si="22"/>
        <v/>
      </c>
      <c r="AD175" s="18" t="str">
        <f t="shared" si="23"/>
        <v/>
      </c>
      <c r="AF175" t="str">
        <f>IFERROR(INDEX('Task Master'!$D:$D,MATCH($F175,'Task Master'!$C:$C,0)),"")</f>
        <v/>
      </c>
    </row>
    <row r="176" spans="1:32" x14ac:dyDescent="0.25">
      <c r="A176" t="str">
        <f t="shared" si="16"/>
        <v/>
      </c>
      <c r="B176" s="16"/>
      <c r="D176" t="str">
        <f>IF($C176="","",IFERROR(INDEX('Asset Register'!$B:$B,MATCH($C176,'Asset Register'!$A:$A,0)),""))</f>
        <v/>
      </c>
      <c r="H176" t="str">
        <f>IFERROR(INDEX('Task Master'!$E:$E,MATCH($F176&amp;"||"&amp;$G176,'Task Master'!$K:$K,0)),"")</f>
        <v/>
      </c>
      <c r="I176" t="str">
        <f>IFERROR(INDEX('Task Master'!$F:$F,MATCH($F176&amp;"||"&amp;$G176,'Task Master'!$K:$K,0)),"")</f>
        <v/>
      </c>
      <c r="J176" t="str">
        <f>IFERROR(INDEX('Task Master'!$H:$H,MATCH($F176&amp;"||"&amp;$G176,'Task Master'!$K:$K,0)),"")</f>
        <v/>
      </c>
      <c r="N176" s="18" t="str">
        <f t="shared" si="17"/>
        <v/>
      </c>
      <c r="R176" s="18">
        <f t="shared" si="18"/>
        <v>0</v>
      </c>
      <c r="V176" s="18">
        <f t="shared" si="19"/>
        <v>0</v>
      </c>
      <c r="Z176" s="18">
        <f t="shared" si="20"/>
        <v>0</v>
      </c>
      <c r="AA176" s="18"/>
      <c r="AB176" s="18">
        <f t="shared" si="21"/>
        <v>0</v>
      </c>
      <c r="AC176" s="18" t="str">
        <f t="shared" si="22"/>
        <v/>
      </c>
      <c r="AD176" s="18" t="str">
        <f t="shared" si="23"/>
        <v/>
      </c>
      <c r="AF176" t="str">
        <f>IFERROR(INDEX('Task Master'!$D:$D,MATCH($F176,'Task Master'!$C:$C,0)),"")</f>
        <v/>
      </c>
    </row>
    <row r="177" spans="1:32" x14ac:dyDescent="0.25">
      <c r="A177" t="str">
        <f t="shared" si="16"/>
        <v/>
      </c>
      <c r="B177" s="16"/>
      <c r="D177" t="str">
        <f>IF($C177="","",IFERROR(INDEX('Asset Register'!$B:$B,MATCH($C177,'Asset Register'!$A:$A,0)),""))</f>
        <v/>
      </c>
      <c r="H177" t="str">
        <f>IFERROR(INDEX('Task Master'!$E:$E,MATCH($F177&amp;"||"&amp;$G177,'Task Master'!$K:$K,0)),"")</f>
        <v/>
      </c>
      <c r="I177" t="str">
        <f>IFERROR(INDEX('Task Master'!$F:$F,MATCH($F177&amp;"||"&amp;$G177,'Task Master'!$K:$K,0)),"")</f>
        <v/>
      </c>
      <c r="J177" t="str">
        <f>IFERROR(INDEX('Task Master'!$H:$H,MATCH($F177&amp;"||"&amp;$G177,'Task Master'!$K:$K,0)),"")</f>
        <v/>
      </c>
      <c r="N177" s="18" t="str">
        <f t="shared" si="17"/>
        <v/>
      </c>
      <c r="R177" s="18">
        <f t="shared" si="18"/>
        <v>0</v>
      </c>
      <c r="V177" s="18">
        <f t="shared" si="19"/>
        <v>0</v>
      </c>
      <c r="Z177" s="18">
        <f t="shared" si="20"/>
        <v>0</v>
      </c>
      <c r="AA177" s="18"/>
      <c r="AB177" s="18">
        <f t="shared" si="21"/>
        <v>0</v>
      </c>
      <c r="AC177" s="18" t="str">
        <f t="shared" si="22"/>
        <v/>
      </c>
      <c r="AD177" s="18" t="str">
        <f t="shared" si="23"/>
        <v/>
      </c>
      <c r="AF177" t="str">
        <f>IFERROR(INDEX('Task Master'!$D:$D,MATCH($F177,'Task Master'!$C:$C,0)),"")</f>
        <v/>
      </c>
    </row>
    <row r="178" spans="1:32" x14ac:dyDescent="0.25">
      <c r="A178" t="str">
        <f t="shared" si="16"/>
        <v/>
      </c>
      <c r="B178" s="16"/>
      <c r="D178" t="str">
        <f>IF($C178="","",IFERROR(INDEX('Asset Register'!$B:$B,MATCH($C178,'Asset Register'!$A:$A,0)),""))</f>
        <v/>
      </c>
      <c r="H178" t="str">
        <f>IFERROR(INDEX('Task Master'!$E:$E,MATCH($F178&amp;"||"&amp;$G178,'Task Master'!$K:$K,0)),"")</f>
        <v/>
      </c>
      <c r="I178" t="str">
        <f>IFERROR(INDEX('Task Master'!$F:$F,MATCH($F178&amp;"||"&amp;$G178,'Task Master'!$K:$K,0)),"")</f>
        <v/>
      </c>
      <c r="J178" t="str">
        <f>IFERROR(INDEX('Task Master'!$H:$H,MATCH($F178&amp;"||"&amp;$G178,'Task Master'!$K:$K,0)),"")</f>
        <v/>
      </c>
      <c r="N178" s="18" t="str">
        <f t="shared" si="17"/>
        <v/>
      </c>
      <c r="R178" s="18">
        <f t="shared" si="18"/>
        <v>0</v>
      </c>
      <c r="V178" s="18">
        <f t="shared" si="19"/>
        <v>0</v>
      </c>
      <c r="Z178" s="18">
        <f t="shared" si="20"/>
        <v>0</v>
      </c>
      <c r="AA178" s="18"/>
      <c r="AB178" s="18">
        <f t="shared" si="21"/>
        <v>0</v>
      </c>
      <c r="AC178" s="18" t="str">
        <f t="shared" si="22"/>
        <v/>
      </c>
      <c r="AD178" s="18" t="str">
        <f t="shared" si="23"/>
        <v/>
      </c>
      <c r="AF178" t="str">
        <f>IFERROR(INDEX('Task Master'!$D:$D,MATCH($F178,'Task Master'!$C:$C,0)),"")</f>
        <v/>
      </c>
    </row>
    <row r="179" spans="1:32" x14ac:dyDescent="0.25">
      <c r="A179" t="str">
        <f t="shared" si="16"/>
        <v/>
      </c>
      <c r="B179" s="16"/>
      <c r="D179" t="str">
        <f>IF($C179="","",IFERROR(INDEX('Asset Register'!$B:$B,MATCH($C179,'Asset Register'!$A:$A,0)),""))</f>
        <v/>
      </c>
      <c r="H179" t="str">
        <f>IFERROR(INDEX('Task Master'!$E:$E,MATCH($F179&amp;"||"&amp;$G179,'Task Master'!$K:$K,0)),"")</f>
        <v/>
      </c>
      <c r="I179" t="str">
        <f>IFERROR(INDEX('Task Master'!$F:$F,MATCH($F179&amp;"||"&amp;$G179,'Task Master'!$K:$K,0)),"")</f>
        <v/>
      </c>
      <c r="J179" t="str">
        <f>IFERROR(INDEX('Task Master'!$H:$H,MATCH($F179&amp;"||"&amp;$G179,'Task Master'!$K:$K,0)),"")</f>
        <v/>
      </c>
      <c r="N179" s="18" t="str">
        <f t="shared" si="17"/>
        <v/>
      </c>
      <c r="R179" s="18">
        <f t="shared" si="18"/>
        <v>0</v>
      </c>
      <c r="V179" s="18">
        <f t="shared" si="19"/>
        <v>0</v>
      </c>
      <c r="Z179" s="18">
        <f t="shared" si="20"/>
        <v>0</v>
      </c>
      <c r="AA179" s="18"/>
      <c r="AB179" s="18">
        <f t="shared" si="21"/>
        <v>0</v>
      </c>
      <c r="AC179" s="18" t="str">
        <f t="shared" si="22"/>
        <v/>
      </c>
      <c r="AD179" s="18" t="str">
        <f t="shared" si="23"/>
        <v/>
      </c>
      <c r="AF179" t="str">
        <f>IFERROR(INDEX('Task Master'!$D:$D,MATCH($F179,'Task Master'!$C:$C,0)),"")</f>
        <v/>
      </c>
    </row>
    <row r="180" spans="1:32" x14ac:dyDescent="0.25">
      <c r="A180" t="str">
        <f t="shared" si="16"/>
        <v/>
      </c>
      <c r="B180" s="16"/>
      <c r="D180" t="str">
        <f>IF($C180="","",IFERROR(INDEX('Asset Register'!$B:$B,MATCH($C180,'Asset Register'!$A:$A,0)),""))</f>
        <v/>
      </c>
      <c r="H180" t="str">
        <f>IFERROR(INDEX('Task Master'!$E:$E,MATCH($F180&amp;"||"&amp;$G180,'Task Master'!$K:$K,0)),"")</f>
        <v/>
      </c>
      <c r="I180" t="str">
        <f>IFERROR(INDEX('Task Master'!$F:$F,MATCH($F180&amp;"||"&amp;$G180,'Task Master'!$K:$K,0)),"")</f>
        <v/>
      </c>
      <c r="J180" t="str">
        <f>IFERROR(INDEX('Task Master'!$H:$H,MATCH($F180&amp;"||"&amp;$G180,'Task Master'!$K:$K,0)),"")</f>
        <v/>
      </c>
      <c r="N180" s="18" t="str">
        <f t="shared" si="17"/>
        <v/>
      </c>
      <c r="R180" s="18">
        <f t="shared" si="18"/>
        <v>0</v>
      </c>
      <c r="V180" s="18">
        <f t="shared" si="19"/>
        <v>0</v>
      </c>
      <c r="Z180" s="18">
        <f t="shared" si="20"/>
        <v>0</v>
      </c>
      <c r="AA180" s="18"/>
      <c r="AB180" s="18">
        <f t="shared" si="21"/>
        <v>0</v>
      </c>
      <c r="AC180" s="18" t="str">
        <f t="shared" si="22"/>
        <v/>
      </c>
      <c r="AD180" s="18" t="str">
        <f t="shared" si="23"/>
        <v/>
      </c>
      <c r="AF180" t="str">
        <f>IFERROR(INDEX('Task Master'!$D:$D,MATCH($F180,'Task Master'!$C:$C,0)),"")</f>
        <v/>
      </c>
    </row>
    <row r="181" spans="1:32" x14ac:dyDescent="0.25">
      <c r="A181" t="str">
        <f t="shared" si="16"/>
        <v/>
      </c>
      <c r="B181" s="16"/>
      <c r="D181" t="str">
        <f>IF($C181="","",IFERROR(INDEX('Asset Register'!$B:$B,MATCH($C181,'Asset Register'!$A:$A,0)),""))</f>
        <v/>
      </c>
      <c r="H181" t="str">
        <f>IFERROR(INDEX('Task Master'!$E:$E,MATCH($F181&amp;"||"&amp;$G181,'Task Master'!$K:$K,0)),"")</f>
        <v/>
      </c>
      <c r="I181" t="str">
        <f>IFERROR(INDEX('Task Master'!$F:$F,MATCH($F181&amp;"||"&amp;$G181,'Task Master'!$K:$K,0)),"")</f>
        <v/>
      </c>
      <c r="J181" t="str">
        <f>IFERROR(INDEX('Task Master'!$H:$H,MATCH($F181&amp;"||"&amp;$G181,'Task Master'!$K:$K,0)),"")</f>
        <v/>
      </c>
      <c r="N181" s="18" t="str">
        <f t="shared" si="17"/>
        <v/>
      </c>
      <c r="R181" s="18">
        <f t="shared" si="18"/>
        <v>0</v>
      </c>
      <c r="V181" s="18">
        <f t="shared" si="19"/>
        <v>0</v>
      </c>
      <c r="Z181" s="18">
        <f t="shared" si="20"/>
        <v>0</v>
      </c>
      <c r="AA181" s="18"/>
      <c r="AB181" s="18">
        <f t="shared" si="21"/>
        <v>0</v>
      </c>
      <c r="AC181" s="18" t="str">
        <f t="shared" si="22"/>
        <v/>
      </c>
      <c r="AD181" s="18" t="str">
        <f t="shared" si="23"/>
        <v/>
      </c>
      <c r="AF181" t="str">
        <f>IFERROR(INDEX('Task Master'!$D:$D,MATCH($F181,'Task Master'!$C:$C,0)),"")</f>
        <v/>
      </c>
    </row>
    <row r="182" spans="1:32" x14ac:dyDescent="0.25">
      <c r="A182" t="str">
        <f t="shared" si="16"/>
        <v/>
      </c>
      <c r="B182" s="16"/>
      <c r="D182" t="str">
        <f>IF($C182="","",IFERROR(INDEX('Asset Register'!$B:$B,MATCH($C182,'Asset Register'!$A:$A,0)),""))</f>
        <v/>
      </c>
      <c r="H182" t="str">
        <f>IFERROR(INDEX('Task Master'!$E:$E,MATCH($F182&amp;"||"&amp;$G182,'Task Master'!$K:$K,0)),"")</f>
        <v/>
      </c>
      <c r="I182" t="str">
        <f>IFERROR(INDEX('Task Master'!$F:$F,MATCH($F182&amp;"||"&amp;$G182,'Task Master'!$K:$K,0)),"")</f>
        <v/>
      </c>
      <c r="J182" t="str">
        <f>IFERROR(INDEX('Task Master'!$H:$H,MATCH($F182&amp;"||"&amp;$G182,'Task Master'!$K:$K,0)),"")</f>
        <v/>
      </c>
      <c r="N182" s="18" t="str">
        <f t="shared" si="17"/>
        <v/>
      </c>
      <c r="R182" s="18">
        <f t="shared" si="18"/>
        <v>0</v>
      </c>
      <c r="V182" s="18">
        <f t="shared" si="19"/>
        <v>0</v>
      </c>
      <c r="Z182" s="18">
        <f t="shared" si="20"/>
        <v>0</v>
      </c>
      <c r="AA182" s="18"/>
      <c r="AB182" s="18">
        <f t="shared" si="21"/>
        <v>0</v>
      </c>
      <c r="AC182" s="18" t="str">
        <f t="shared" si="22"/>
        <v/>
      </c>
      <c r="AD182" s="18" t="str">
        <f t="shared" si="23"/>
        <v/>
      </c>
      <c r="AF182" t="str">
        <f>IFERROR(INDEX('Task Master'!$D:$D,MATCH($F182,'Task Master'!$C:$C,0)),"")</f>
        <v/>
      </c>
    </row>
    <row r="183" spans="1:32" x14ac:dyDescent="0.25">
      <c r="A183" t="str">
        <f t="shared" si="16"/>
        <v/>
      </c>
      <c r="B183" s="16"/>
      <c r="D183" t="str">
        <f>IF($C183="","",IFERROR(INDEX('Asset Register'!$B:$B,MATCH($C183,'Asset Register'!$A:$A,0)),""))</f>
        <v/>
      </c>
      <c r="H183" t="str">
        <f>IFERROR(INDEX('Task Master'!$E:$E,MATCH($F183&amp;"||"&amp;$G183,'Task Master'!$K:$K,0)),"")</f>
        <v/>
      </c>
      <c r="I183" t="str">
        <f>IFERROR(INDEX('Task Master'!$F:$F,MATCH($F183&amp;"||"&amp;$G183,'Task Master'!$K:$K,0)),"")</f>
        <v/>
      </c>
      <c r="J183" t="str">
        <f>IFERROR(INDEX('Task Master'!$H:$H,MATCH($F183&amp;"||"&amp;$G183,'Task Master'!$K:$K,0)),"")</f>
        <v/>
      </c>
      <c r="N183" s="18" t="str">
        <f t="shared" si="17"/>
        <v/>
      </c>
      <c r="R183" s="18">
        <f t="shared" si="18"/>
        <v>0</v>
      </c>
      <c r="V183" s="18">
        <f t="shared" si="19"/>
        <v>0</v>
      </c>
      <c r="Z183" s="18">
        <f t="shared" si="20"/>
        <v>0</v>
      </c>
      <c r="AA183" s="18"/>
      <c r="AB183" s="18">
        <f t="shared" si="21"/>
        <v>0</v>
      </c>
      <c r="AC183" s="18" t="str">
        <f t="shared" si="22"/>
        <v/>
      </c>
      <c r="AD183" s="18" t="str">
        <f t="shared" si="23"/>
        <v/>
      </c>
      <c r="AF183" t="str">
        <f>IFERROR(INDEX('Task Master'!$D:$D,MATCH($F183,'Task Master'!$C:$C,0)),"")</f>
        <v/>
      </c>
    </row>
    <row r="184" spans="1:32" x14ac:dyDescent="0.25">
      <c r="A184" t="str">
        <f t="shared" si="16"/>
        <v/>
      </c>
      <c r="B184" s="16"/>
      <c r="D184" t="str">
        <f>IF($C184="","",IFERROR(INDEX('Asset Register'!$B:$B,MATCH($C184,'Asset Register'!$A:$A,0)),""))</f>
        <v/>
      </c>
      <c r="H184" t="str">
        <f>IFERROR(INDEX('Task Master'!$E:$E,MATCH($F184&amp;"||"&amp;$G184,'Task Master'!$K:$K,0)),"")</f>
        <v/>
      </c>
      <c r="I184" t="str">
        <f>IFERROR(INDEX('Task Master'!$F:$F,MATCH($F184&amp;"||"&amp;$G184,'Task Master'!$K:$K,0)),"")</f>
        <v/>
      </c>
      <c r="J184" t="str">
        <f>IFERROR(INDEX('Task Master'!$H:$H,MATCH($F184&amp;"||"&amp;$G184,'Task Master'!$K:$K,0)),"")</f>
        <v/>
      </c>
      <c r="N184" s="18" t="str">
        <f t="shared" si="17"/>
        <v/>
      </c>
      <c r="R184" s="18">
        <f t="shared" si="18"/>
        <v>0</v>
      </c>
      <c r="V184" s="18">
        <f t="shared" si="19"/>
        <v>0</v>
      </c>
      <c r="Z184" s="18">
        <f t="shared" si="20"/>
        <v>0</v>
      </c>
      <c r="AA184" s="18"/>
      <c r="AB184" s="18">
        <f t="shared" si="21"/>
        <v>0</v>
      </c>
      <c r="AC184" s="18" t="str">
        <f t="shared" si="22"/>
        <v/>
      </c>
      <c r="AD184" s="18" t="str">
        <f t="shared" si="23"/>
        <v/>
      </c>
      <c r="AF184" t="str">
        <f>IFERROR(INDEX('Task Master'!$D:$D,MATCH($F184,'Task Master'!$C:$C,0)),"")</f>
        <v/>
      </c>
    </row>
    <row r="185" spans="1:32" x14ac:dyDescent="0.25">
      <c r="A185" t="str">
        <f t="shared" si="16"/>
        <v/>
      </c>
      <c r="B185" s="16"/>
      <c r="D185" t="str">
        <f>IF($C185="","",IFERROR(INDEX('Asset Register'!$B:$B,MATCH($C185,'Asset Register'!$A:$A,0)),""))</f>
        <v/>
      </c>
      <c r="H185" t="str">
        <f>IFERROR(INDEX('Task Master'!$E:$E,MATCH($F185&amp;"||"&amp;$G185,'Task Master'!$K:$K,0)),"")</f>
        <v/>
      </c>
      <c r="I185" t="str">
        <f>IFERROR(INDEX('Task Master'!$F:$F,MATCH($F185&amp;"||"&amp;$G185,'Task Master'!$K:$K,0)),"")</f>
        <v/>
      </c>
      <c r="J185" t="str">
        <f>IFERROR(INDEX('Task Master'!$H:$H,MATCH($F185&amp;"||"&amp;$G185,'Task Master'!$K:$K,0)),"")</f>
        <v/>
      </c>
      <c r="N185" s="18" t="str">
        <f t="shared" si="17"/>
        <v/>
      </c>
      <c r="R185" s="18">
        <f t="shared" si="18"/>
        <v>0</v>
      </c>
      <c r="V185" s="18">
        <f t="shared" si="19"/>
        <v>0</v>
      </c>
      <c r="Z185" s="18">
        <f t="shared" si="20"/>
        <v>0</v>
      </c>
      <c r="AA185" s="18"/>
      <c r="AB185" s="18">
        <f t="shared" si="21"/>
        <v>0</v>
      </c>
      <c r="AC185" s="18" t="str">
        <f t="shared" si="22"/>
        <v/>
      </c>
      <c r="AD185" s="18" t="str">
        <f t="shared" si="23"/>
        <v/>
      </c>
      <c r="AF185" t="str">
        <f>IFERROR(INDEX('Task Master'!$D:$D,MATCH($F185,'Task Master'!$C:$C,0)),"")</f>
        <v/>
      </c>
    </row>
    <row r="186" spans="1:32" x14ac:dyDescent="0.25">
      <c r="A186" t="str">
        <f t="shared" si="16"/>
        <v/>
      </c>
      <c r="B186" s="16"/>
      <c r="D186" t="str">
        <f>IF($C186="","",IFERROR(INDEX('Asset Register'!$B:$B,MATCH($C186,'Asset Register'!$A:$A,0)),""))</f>
        <v/>
      </c>
      <c r="H186" t="str">
        <f>IFERROR(INDEX('Task Master'!$E:$E,MATCH($F186&amp;"||"&amp;$G186,'Task Master'!$K:$K,0)),"")</f>
        <v/>
      </c>
      <c r="I186" t="str">
        <f>IFERROR(INDEX('Task Master'!$F:$F,MATCH($F186&amp;"||"&amp;$G186,'Task Master'!$K:$K,0)),"")</f>
        <v/>
      </c>
      <c r="J186" t="str">
        <f>IFERROR(INDEX('Task Master'!$H:$H,MATCH($F186&amp;"||"&amp;$G186,'Task Master'!$K:$K,0)),"")</f>
        <v/>
      </c>
      <c r="N186" s="18" t="str">
        <f t="shared" si="17"/>
        <v/>
      </c>
      <c r="R186" s="18">
        <f t="shared" si="18"/>
        <v>0</v>
      </c>
      <c r="V186" s="18">
        <f t="shared" si="19"/>
        <v>0</v>
      </c>
      <c r="Z186" s="18">
        <f t="shared" si="20"/>
        <v>0</v>
      </c>
      <c r="AA186" s="18"/>
      <c r="AB186" s="18">
        <f t="shared" si="21"/>
        <v>0</v>
      </c>
      <c r="AC186" s="18" t="str">
        <f t="shared" si="22"/>
        <v/>
      </c>
      <c r="AD186" s="18" t="str">
        <f t="shared" si="23"/>
        <v/>
      </c>
      <c r="AF186" t="str">
        <f>IFERROR(INDEX('Task Master'!$D:$D,MATCH($F186,'Task Master'!$C:$C,0)),"")</f>
        <v/>
      </c>
    </row>
    <row r="187" spans="1:32" x14ac:dyDescent="0.25">
      <c r="A187" t="str">
        <f t="shared" si="16"/>
        <v/>
      </c>
      <c r="B187" s="16"/>
      <c r="D187" t="str">
        <f>IF($C187="","",IFERROR(INDEX('Asset Register'!$B:$B,MATCH($C187,'Asset Register'!$A:$A,0)),""))</f>
        <v/>
      </c>
      <c r="H187" t="str">
        <f>IFERROR(INDEX('Task Master'!$E:$E,MATCH($F187&amp;"||"&amp;$G187,'Task Master'!$K:$K,0)),"")</f>
        <v/>
      </c>
      <c r="I187" t="str">
        <f>IFERROR(INDEX('Task Master'!$F:$F,MATCH($F187&amp;"||"&amp;$G187,'Task Master'!$K:$K,0)),"")</f>
        <v/>
      </c>
      <c r="J187" t="str">
        <f>IFERROR(INDEX('Task Master'!$H:$H,MATCH($F187&amp;"||"&amp;$G187,'Task Master'!$K:$K,0)),"")</f>
        <v/>
      </c>
      <c r="N187" s="18" t="str">
        <f t="shared" si="17"/>
        <v/>
      </c>
      <c r="R187" s="18">
        <f t="shared" si="18"/>
        <v>0</v>
      </c>
      <c r="V187" s="18">
        <f t="shared" si="19"/>
        <v>0</v>
      </c>
      <c r="Z187" s="18">
        <f t="shared" si="20"/>
        <v>0</v>
      </c>
      <c r="AA187" s="18"/>
      <c r="AB187" s="18">
        <f t="shared" si="21"/>
        <v>0</v>
      </c>
      <c r="AC187" s="18" t="str">
        <f t="shared" si="22"/>
        <v/>
      </c>
      <c r="AD187" s="18" t="str">
        <f t="shared" si="23"/>
        <v/>
      </c>
      <c r="AF187" t="str">
        <f>IFERROR(INDEX('Task Master'!$D:$D,MATCH($F187,'Task Master'!$C:$C,0)),"")</f>
        <v/>
      </c>
    </row>
    <row r="188" spans="1:32" x14ac:dyDescent="0.25">
      <c r="A188" t="str">
        <f t="shared" si="16"/>
        <v/>
      </c>
      <c r="B188" s="16"/>
      <c r="D188" t="str">
        <f>IF($C188="","",IFERROR(INDEX('Asset Register'!$B:$B,MATCH($C188,'Asset Register'!$A:$A,0)),""))</f>
        <v/>
      </c>
      <c r="H188" t="str">
        <f>IFERROR(INDEX('Task Master'!$E:$E,MATCH($F188&amp;"||"&amp;$G188,'Task Master'!$K:$K,0)),"")</f>
        <v/>
      </c>
      <c r="I188" t="str">
        <f>IFERROR(INDEX('Task Master'!$F:$F,MATCH($F188&amp;"||"&amp;$G188,'Task Master'!$K:$K,0)),"")</f>
        <v/>
      </c>
      <c r="J188" t="str">
        <f>IFERROR(INDEX('Task Master'!$H:$H,MATCH($F188&amp;"||"&amp;$G188,'Task Master'!$K:$K,0)),"")</f>
        <v/>
      </c>
      <c r="N188" s="18" t="str">
        <f t="shared" si="17"/>
        <v/>
      </c>
      <c r="R188" s="18">
        <f t="shared" si="18"/>
        <v>0</v>
      </c>
      <c r="V188" s="18">
        <f t="shared" si="19"/>
        <v>0</v>
      </c>
      <c r="Z188" s="18">
        <f t="shared" si="20"/>
        <v>0</v>
      </c>
      <c r="AA188" s="18"/>
      <c r="AB188" s="18">
        <f t="shared" si="21"/>
        <v>0</v>
      </c>
      <c r="AC188" s="18" t="str">
        <f t="shared" si="22"/>
        <v/>
      </c>
      <c r="AD188" s="18" t="str">
        <f t="shared" si="23"/>
        <v/>
      </c>
      <c r="AF188" t="str">
        <f>IFERROR(INDEX('Task Master'!$D:$D,MATCH($F188,'Task Master'!$C:$C,0)),"")</f>
        <v/>
      </c>
    </row>
    <row r="189" spans="1:32" x14ac:dyDescent="0.25">
      <c r="A189" t="str">
        <f t="shared" si="16"/>
        <v/>
      </c>
      <c r="B189" s="16"/>
      <c r="D189" t="str">
        <f>IF($C189="","",IFERROR(INDEX('Asset Register'!$B:$B,MATCH($C189,'Asset Register'!$A:$A,0)),""))</f>
        <v/>
      </c>
      <c r="H189" t="str">
        <f>IFERROR(INDEX('Task Master'!$E:$E,MATCH($F189&amp;"||"&amp;$G189,'Task Master'!$K:$K,0)),"")</f>
        <v/>
      </c>
      <c r="I189" t="str">
        <f>IFERROR(INDEX('Task Master'!$F:$F,MATCH($F189&amp;"||"&amp;$G189,'Task Master'!$K:$K,0)),"")</f>
        <v/>
      </c>
      <c r="J189" t="str">
        <f>IFERROR(INDEX('Task Master'!$H:$H,MATCH($F189&amp;"||"&amp;$G189,'Task Master'!$K:$K,0)),"")</f>
        <v/>
      </c>
      <c r="N189" s="18" t="str">
        <f t="shared" si="17"/>
        <v/>
      </c>
      <c r="R189" s="18">
        <f t="shared" si="18"/>
        <v>0</v>
      </c>
      <c r="V189" s="18">
        <f t="shared" si="19"/>
        <v>0</v>
      </c>
      <c r="Z189" s="18">
        <f t="shared" si="20"/>
        <v>0</v>
      </c>
      <c r="AA189" s="18"/>
      <c r="AB189" s="18">
        <f t="shared" si="21"/>
        <v>0</v>
      </c>
      <c r="AC189" s="18" t="str">
        <f t="shared" si="22"/>
        <v/>
      </c>
      <c r="AD189" s="18" t="str">
        <f t="shared" si="23"/>
        <v/>
      </c>
      <c r="AF189" t="str">
        <f>IFERROR(INDEX('Task Master'!$D:$D,MATCH($F189,'Task Master'!$C:$C,0)),"")</f>
        <v/>
      </c>
    </row>
    <row r="190" spans="1:32" x14ac:dyDescent="0.25">
      <c r="A190" t="str">
        <f t="shared" si="16"/>
        <v/>
      </c>
      <c r="B190" s="16"/>
      <c r="D190" t="str">
        <f>IF($C190="","",IFERROR(INDEX('Asset Register'!$B:$B,MATCH($C190,'Asset Register'!$A:$A,0)),""))</f>
        <v/>
      </c>
      <c r="H190" t="str">
        <f>IFERROR(INDEX('Task Master'!$E:$E,MATCH($F190&amp;"||"&amp;$G190,'Task Master'!$K:$K,0)),"")</f>
        <v/>
      </c>
      <c r="I190" t="str">
        <f>IFERROR(INDEX('Task Master'!$F:$F,MATCH($F190&amp;"||"&amp;$G190,'Task Master'!$K:$K,0)),"")</f>
        <v/>
      </c>
      <c r="J190" t="str">
        <f>IFERROR(INDEX('Task Master'!$H:$H,MATCH($F190&amp;"||"&amp;$G190,'Task Master'!$K:$K,0)),"")</f>
        <v/>
      </c>
      <c r="N190" s="18" t="str">
        <f t="shared" si="17"/>
        <v/>
      </c>
      <c r="R190" s="18">
        <f t="shared" si="18"/>
        <v>0</v>
      </c>
      <c r="V190" s="18">
        <f t="shared" si="19"/>
        <v>0</v>
      </c>
      <c r="Z190" s="18">
        <f t="shared" si="20"/>
        <v>0</v>
      </c>
      <c r="AA190" s="18"/>
      <c r="AB190" s="18">
        <f t="shared" si="21"/>
        <v>0</v>
      </c>
      <c r="AC190" s="18" t="str">
        <f t="shared" si="22"/>
        <v/>
      </c>
      <c r="AD190" s="18" t="str">
        <f t="shared" si="23"/>
        <v/>
      </c>
      <c r="AF190" t="str">
        <f>IFERROR(INDEX('Task Master'!$D:$D,MATCH($F190,'Task Master'!$C:$C,0)),"")</f>
        <v/>
      </c>
    </row>
    <row r="191" spans="1:32" x14ac:dyDescent="0.25">
      <c r="A191" t="str">
        <f t="shared" si="16"/>
        <v/>
      </c>
      <c r="B191" s="16"/>
      <c r="D191" t="str">
        <f>IF($C191="","",IFERROR(INDEX('Asset Register'!$B:$B,MATCH($C191,'Asset Register'!$A:$A,0)),""))</f>
        <v/>
      </c>
      <c r="H191" t="str">
        <f>IFERROR(INDEX('Task Master'!$E:$E,MATCH($F191&amp;"||"&amp;$G191,'Task Master'!$K:$K,0)),"")</f>
        <v/>
      </c>
      <c r="I191" t="str">
        <f>IFERROR(INDEX('Task Master'!$F:$F,MATCH($F191&amp;"||"&amp;$G191,'Task Master'!$K:$K,0)),"")</f>
        <v/>
      </c>
      <c r="J191" t="str">
        <f>IFERROR(INDEX('Task Master'!$H:$H,MATCH($F191&amp;"||"&amp;$G191,'Task Master'!$K:$K,0)),"")</f>
        <v/>
      </c>
      <c r="N191" s="18" t="str">
        <f t="shared" si="17"/>
        <v/>
      </c>
      <c r="R191" s="18">
        <f t="shared" si="18"/>
        <v>0</v>
      </c>
      <c r="V191" s="18">
        <f t="shared" si="19"/>
        <v>0</v>
      </c>
      <c r="Z191" s="18">
        <f t="shared" si="20"/>
        <v>0</v>
      </c>
      <c r="AA191" s="18"/>
      <c r="AB191" s="18">
        <f t="shared" si="21"/>
        <v>0</v>
      </c>
      <c r="AC191" s="18" t="str">
        <f t="shared" si="22"/>
        <v/>
      </c>
      <c r="AD191" s="18" t="str">
        <f t="shared" si="23"/>
        <v/>
      </c>
      <c r="AF191" t="str">
        <f>IFERROR(INDEX('Task Master'!$D:$D,MATCH($F191,'Task Master'!$C:$C,0)),"")</f>
        <v/>
      </c>
    </row>
    <row r="192" spans="1:32" x14ac:dyDescent="0.25">
      <c r="A192" t="str">
        <f t="shared" si="16"/>
        <v/>
      </c>
      <c r="B192" s="16"/>
      <c r="D192" t="str">
        <f>IF($C192="","",IFERROR(INDEX('Asset Register'!$B:$B,MATCH($C192,'Asset Register'!$A:$A,0)),""))</f>
        <v/>
      </c>
      <c r="H192" t="str">
        <f>IFERROR(INDEX('Task Master'!$E:$E,MATCH($F192&amp;"||"&amp;$G192,'Task Master'!$K:$K,0)),"")</f>
        <v/>
      </c>
      <c r="I192" t="str">
        <f>IFERROR(INDEX('Task Master'!$F:$F,MATCH($F192&amp;"||"&amp;$G192,'Task Master'!$K:$K,0)),"")</f>
        <v/>
      </c>
      <c r="J192" t="str">
        <f>IFERROR(INDEX('Task Master'!$H:$H,MATCH($F192&amp;"||"&amp;$G192,'Task Master'!$K:$K,0)),"")</f>
        <v/>
      </c>
      <c r="N192" s="18" t="str">
        <f t="shared" si="17"/>
        <v/>
      </c>
      <c r="R192" s="18">
        <f t="shared" si="18"/>
        <v>0</v>
      </c>
      <c r="V192" s="18">
        <f t="shared" si="19"/>
        <v>0</v>
      </c>
      <c r="Z192" s="18">
        <f t="shared" si="20"/>
        <v>0</v>
      </c>
      <c r="AA192" s="18"/>
      <c r="AB192" s="18">
        <f t="shared" si="21"/>
        <v>0</v>
      </c>
      <c r="AC192" s="18" t="str">
        <f t="shared" si="22"/>
        <v/>
      </c>
      <c r="AD192" s="18" t="str">
        <f t="shared" si="23"/>
        <v/>
      </c>
      <c r="AF192" t="str">
        <f>IFERROR(INDEX('Task Master'!$D:$D,MATCH($F192,'Task Master'!$C:$C,0)),"")</f>
        <v/>
      </c>
    </row>
    <row r="193" spans="1:32" x14ac:dyDescent="0.25">
      <c r="A193" t="str">
        <f t="shared" si="16"/>
        <v/>
      </c>
      <c r="B193" s="16"/>
      <c r="D193" t="str">
        <f>IF($C193="","",IFERROR(INDEX('Asset Register'!$B:$B,MATCH($C193,'Asset Register'!$A:$A,0)),""))</f>
        <v/>
      </c>
      <c r="H193" t="str">
        <f>IFERROR(INDEX('Task Master'!$E:$E,MATCH($F193&amp;"||"&amp;$G193,'Task Master'!$K:$K,0)),"")</f>
        <v/>
      </c>
      <c r="I193" t="str">
        <f>IFERROR(INDEX('Task Master'!$F:$F,MATCH($F193&amp;"||"&amp;$G193,'Task Master'!$K:$K,0)),"")</f>
        <v/>
      </c>
      <c r="J193" t="str">
        <f>IFERROR(INDEX('Task Master'!$H:$H,MATCH($F193&amp;"||"&amp;$G193,'Task Master'!$K:$K,0)),"")</f>
        <v/>
      </c>
      <c r="N193" s="18" t="str">
        <f t="shared" si="17"/>
        <v/>
      </c>
      <c r="R193" s="18">
        <f t="shared" si="18"/>
        <v>0</v>
      </c>
      <c r="V193" s="18">
        <f t="shared" si="19"/>
        <v>0</v>
      </c>
      <c r="Z193" s="18">
        <f t="shared" si="20"/>
        <v>0</v>
      </c>
      <c r="AA193" s="18"/>
      <c r="AB193" s="18">
        <f t="shared" si="21"/>
        <v>0</v>
      </c>
      <c r="AC193" s="18" t="str">
        <f t="shared" si="22"/>
        <v/>
      </c>
      <c r="AD193" s="18" t="str">
        <f t="shared" si="23"/>
        <v/>
      </c>
      <c r="AF193" t="str">
        <f>IFERROR(INDEX('Task Master'!$D:$D,MATCH($F193,'Task Master'!$C:$C,0)),"")</f>
        <v/>
      </c>
    </row>
    <row r="194" spans="1:32" x14ac:dyDescent="0.25">
      <c r="A194" t="str">
        <f t="shared" ref="A194:A257" si="24">IF(B194="","",ROW()-1)</f>
        <v/>
      </c>
      <c r="B194" s="16"/>
      <c r="D194" t="str">
        <f>IF($C194="","",IFERROR(INDEX('Asset Register'!$B:$B,MATCH($C194,'Asset Register'!$A:$A,0)),""))</f>
        <v/>
      </c>
      <c r="H194" t="str">
        <f>IFERROR(INDEX('Task Master'!$E:$E,MATCH($F194&amp;"||"&amp;$G194,'Task Master'!$K:$K,0)),"")</f>
        <v/>
      </c>
      <c r="I194" t="str">
        <f>IFERROR(INDEX('Task Master'!$F:$F,MATCH($F194&amp;"||"&amp;$G194,'Task Master'!$K:$K,0)),"")</f>
        <v/>
      </c>
      <c r="J194" t="str">
        <f>IFERROR(INDEX('Task Master'!$H:$H,MATCH($F194&amp;"||"&amp;$G194,'Task Master'!$K:$K,0)),"")</f>
        <v/>
      </c>
      <c r="N194" s="18" t="str">
        <f t="shared" ref="N194:N257" si="25">IF(OR($K194="",$L194="",$M194=""),"",$K194*$L194*$M194)</f>
        <v/>
      </c>
      <c r="R194" s="18">
        <f t="shared" ref="R194:R257" si="26">IF(OR($P194="",$Q194=""),0,$P194*$Q194)</f>
        <v>0</v>
      </c>
      <c r="V194" s="18">
        <f t="shared" ref="V194:V257" si="27">IF(OR($T194="",$U194=""),0,$T194*$U194)</f>
        <v>0</v>
      </c>
      <c r="Z194" s="18">
        <f t="shared" ref="Z194:Z257" si="28">IF(OR($X194="",$Y194=""),0,$X194*$Y194)</f>
        <v>0</v>
      </c>
      <c r="AA194" s="18"/>
      <c r="AB194" s="18">
        <f t="shared" ref="AB194:AB257" si="29">$R194+$V194+$Z194</f>
        <v>0</v>
      </c>
      <c r="AC194" s="18" t="str">
        <f t="shared" ref="AC194:AC257" si="30">IF($B194="","",$AB194+$AA194+$N194)</f>
        <v/>
      </c>
      <c r="AD194" s="18" t="str">
        <f t="shared" ref="AD194:AD257" si="31">IF(OR($K194="",$K194=0,$AC194=""),"",$AC194/$K194)</f>
        <v/>
      </c>
      <c r="AF194" t="str">
        <f>IFERROR(INDEX('Task Master'!$D:$D,MATCH($F194,'Task Master'!$C:$C,0)),"")</f>
        <v/>
      </c>
    </row>
    <row r="195" spans="1:32" x14ac:dyDescent="0.25">
      <c r="A195" t="str">
        <f t="shared" si="24"/>
        <v/>
      </c>
      <c r="B195" s="16"/>
      <c r="D195" t="str">
        <f>IF($C195="","",IFERROR(INDEX('Asset Register'!$B:$B,MATCH($C195,'Asset Register'!$A:$A,0)),""))</f>
        <v/>
      </c>
      <c r="H195" t="str">
        <f>IFERROR(INDEX('Task Master'!$E:$E,MATCH($F195&amp;"||"&amp;$G195,'Task Master'!$K:$K,0)),"")</f>
        <v/>
      </c>
      <c r="I195" t="str">
        <f>IFERROR(INDEX('Task Master'!$F:$F,MATCH($F195&amp;"||"&amp;$G195,'Task Master'!$K:$K,0)),"")</f>
        <v/>
      </c>
      <c r="J195" t="str">
        <f>IFERROR(INDEX('Task Master'!$H:$H,MATCH($F195&amp;"||"&amp;$G195,'Task Master'!$K:$K,0)),"")</f>
        <v/>
      </c>
      <c r="N195" s="18" t="str">
        <f t="shared" si="25"/>
        <v/>
      </c>
      <c r="R195" s="18">
        <f t="shared" si="26"/>
        <v>0</v>
      </c>
      <c r="V195" s="18">
        <f t="shared" si="27"/>
        <v>0</v>
      </c>
      <c r="Z195" s="18">
        <f t="shared" si="28"/>
        <v>0</v>
      </c>
      <c r="AA195" s="18"/>
      <c r="AB195" s="18">
        <f t="shared" si="29"/>
        <v>0</v>
      </c>
      <c r="AC195" s="18" t="str">
        <f t="shared" si="30"/>
        <v/>
      </c>
      <c r="AD195" s="18" t="str">
        <f t="shared" si="31"/>
        <v/>
      </c>
      <c r="AF195" t="str">
        <f>IFERROR(INDEX('Task Master'!$D:$D,MATCH($F195,'Task Master'!$C:$C,0)),"")</f>
        <v/>
      </c>
    </row>
    <row r="196" spans="1:32" x14ac:dyDescent="0.25">
      <c r="A196" t="str">
        <f t="shared" si="24"/>
        <v/>
      </c>
      <c r="B196" s="16"/>
      <c r="D196" t="str">
        <f>IF($C196="","",IFERROR(INDEX('Asset Register'!$B:$B,MATCH($C196,'Asset Register'!$A:$A,0)),""))</f>
        <v/>
      </c>
      <c r="H196" t="str">
        <f>IFERROR(INDEX('Task Master'!$E:$E,MATCH($F196&amp;"||"&amp;$G196,'Task Master'!$K:$K,0)),"")</f>
        <v/>
      </c>
      <c r="I196" t="str">
        <f>IFERROR(INDEX('Task Master'!$F:$F,MATCH($F196&amp;"||"&amp;$G196,'Task Master'!$K:$K,0)),"")</f>
        <v/>
      </c>
      <c r="J196" t="str">
        <f>IFERROR(INDEX('Task Master'!$H:$H,MATCH($F196&amp;"||"&amp;$G196,'Task Master'!$K:$K,0)),"")</f>
        <v/>
      </c>
      <c r="N196" s="18" t="str">
        <f t="shared" si="25"/>
        <v/>
      </c>
      <c r="R196" s="18">
        <f t="shared" si="26"/>
        <v>0</v>
      </c>
      <c r="V196" s="18">
        <f t="shared" si="27"/>
        <v>0</v>
      </c>
      <c r="Z196" s="18">
        <f t="shared" si="28"/>
        <v>0</v>
      </c>
      <c r="AA196" s="18"/>
      <c r="AB196" s="18">
        <f t="shared" si="29"/>
        <v>0</v>
      </c>
      <c r="AC196" s="18" t="str">
        <f t="shared" si="30"/>
        <v/>
      </c>
      <c r="AD196" s="18" t="str">
        <f t="shared" si="31"/>
        <v/>
      </c>
      <c r="AF196" t="str">
        <f>IFERROR(INDEX('Task Master'!$D:$D,MATCH($F196,'Task Master'!$C:$C,0)),"")</f>
        <v/>
      </c>
    </row>
    <row r="197" spans="1:32" x14ac:dyDescent="0.25">
      <c r="A197" t="str">
        <f t="shared" si="24"/>
        <v/>
      </c>
      <c r="B197" s="16"/>
      <c r="D197" t="str">
        <f>IF($C197="","",IFERROR(INDEX('Asset Register'!$B:$B,MATCH($C197,'Asset Register'!$A:$A,0)),""))</f>
        <v/>
      </c>
      <c r="H197" t="str">
        <f>IFERROR(INDEX('Task Master'!$E:$E,MATCH($F197&amp;"||"&amp;$G197,'Task Master'!$K:$K,0)),"")</f>
        <v/>
      </c>
      <c r="I197" t="str">
        <f>IFERROR(INDEX('Task Master'!$F:$F,MATCH($F197&amp;"||"&amp;$G197,'Task Master'!$K:$K,0)),"")</f>
        <v/>
      </c>
      <c r="J197" t="str">
        <f>IFERROR(INDEX('Task Master'!$H:$H,MATCH($F197&amp;"||"&amp;$G197,'Task Master'!$K:$K,0)),"")</f>
        <v/>
      </c>
      <c r="N197" s="18" t="str">
        <f t="shared" si="25"/>
        <v/>
      </c>
      <c r="R197" s="18">
        <f t="shared" si="26"/>
        <v>0</v>
      </c>
      <c r="V197" s="18">
        <f t="shared" si="27"/>
        <v>0</v>
      </c>
      <c r="Z197" s="18">
        <f t="shared" si="28"/>
        <v>0</v>
      </c>
      <c r="AA197" s="18"/>
      <c r="AB197" s="18">
        <f t="shared" si="29"/>
        <v>0</v>
      </c>
      <c r="AC197" s="18" t="str">
        <f t="shared" si="30"/>
        <v/>
      </c>
      <c r="AD197" s="18" t="str">
        <f t="shared" si="31"/>
        <v/>
      </c>
      <c r="AF197" t="str">
        <f>IFERROR(INDEX('Task Master'!$D:$D,MATCH($F197,'Task Master'!$C:$C,0)),"")</f>
        <v/>
      </c>
    </row>
    <row r="198" spans="1:32" x14ac:dyDescent="0.25">
      <c r="A198" t="str">
        <f t="shared" si="24"/>
        <v/>
      </c>
      <c r="B198" s="16"/>
      <c r="D198" t="str">
        <f>IF($C198="","",IFERROR(INDEX('Asset Register'!$B:$B,MATCH($C198,'Asset Register'!$A:$A,0)),""))</f>
        <v/>
      </c>
      <c r="H198" t="str">
        <f>IFERROR(INDEX('Task Master'!$E:$E,MATCH($F198&amp;"||"&amp;$G198,'Task Master'!$K:$K,0)),"")</f>
        <v/>
      </c>
      <c r="I198" t="str">
        <f>IFERROR(INDEX('Task Master'!$F:$F,MATCH($F198&amp;"||"&amp;$G198,'Task Master'!$K:$K,0)),"")</f>
        <v/>
      </c>
      <c r="J198" t="str">
        <f>IFERROR(INDEX('Task Master'!$H:$H,MATCH($F198&amp;"||"&amp;$G198,'Task Master'!$K:$K,0)),"")</f>
        <v/>
      </c>
      <c r="N198" s="18" t="str">
        <f t="shared" si="25"/>
        <v/>
      </c>
      <c r="R198" s="18">
        <f t="shared" si="26"/>
        <v>0</v>
      </c>
      <c r="V198" s="18">
        <f t="shared" si="27"/>
        <v>0</v>
      </c>
      <c r="Z198" s="18">
        <f t="shared" si="28"/>
        <v>0</v>
      </c>
      <c r="AA198" s="18"/>
      <c r="AB198" s="18">
        <f t="shared" si="29"/>
        <v>0</v>
      </c>
      <c r="AC198" s="18" t="str">
        <f t="shared" si="30"/>
        <v/>
      </c>
      <c r="AD198" s="18" t="str">
        <f t="shared" si="31"/>
        <v/>
      </c>
      <c r="AF198" t="str">
        <f>IFERROR(INDEX('Task Master'!$D:$D,MATCH($F198,'Task Master'!$C:$C,0)),"")</f>
        <v/>
      </c>
    </row>
    <row r="199" spans="1:32" x14ac:dyDescent="0.25">
      <c r="A199" t="str">
        <f t="shared" si="24"/>
        <v/>
      </c>
      <c r="B199" s="16"/>
      <c r="D199" t="str">
        <f>IF($C199="","",IFERROR(INDEX('Asset Register'!$B:$B,MATCH($C199,'Asset Register'!$A:$A,0)),""))</f>
        <v/>
      </c>
      <c r="H199" t="str">
        <f>IFERROR(INDEX('Task Master'!$E:$E,MATCH($F199&amp;"||"&amp;$G199,'Task Master'!$K:$K,0)),"")</f>
        <v/>
      </c>
      <c r="I199" t="str">
        <f>IFERROR(INDEX('Task Master'!$F:$F,MATCH($F199&amp;"||"&amp;$G199,'Task Master'!$K:$K,0)),"")</f>
        <v/>
      </c>
      <c r="J199" t="str">
        <f>IFERROR(INDEX('Task Master'!$H:$H,MATCH($F199&amp;"||"&amp;$G199,'Task Master'!$K:$K,0)),"")</f>
        <v/>
      </c>
      <c r="N199" s="18" t="str">
        <f t="shared" si="25"/>
        <v/>
      </c>
      <c r="R199" s="18">
        <f t="shared" si="26"/>
        <v>0</v>
      </c>
      <c r="V199" s="18">
        <f t="shared" si="27"/>
        <v>0</v>
      </c>
      <c r="Z199" s="18">
        <f t="shared" si="28"/>
        <v>0</v>
      </c>
      <c r="AA199" s="18"/>
      <c r="AB199" s="18">
        <f t="shared" si="29"/>
        <v>0</v>
      </c>
      <c r="AC199" s="18" t="str">
        <f t="shared" si="30"/>
        <v/>
      </c>
      <c r="AD199" s="18" t="str">
        <f t="shared" si="31"/>
        <v/>
      </c>
      <c r="AF199" t="str">
        <f>IFERROR(INDEX('Task Master'!$D:$D,MATCH($F199,'Task Master'!$C:$C,0)),"")</f>
        <v/>
      </c>
    </row>
    <row r="200" spans="1:32" x14ac:dyDescent="0.25">
      <c r="A200" t="str">
        <f t="shared" si="24"/>
        <v/>
      </c>
      <c r="B200" s="16"/>
      <c r="D200" t="str">
        <f>IF($C200="","",IFERROR(INDEX('Asset Register'!$B:$B,MATCH($C200,'Asset Register'!$A:$A,0)),""))</f>
        <v/>
      </c>
      <c r="H200" t="str">
        <f>IFERROR(INDEX('Task Master'!$E:$E,MATCH($F200&amp;"||"&amp;$G200,'Task Master'!$K:$K,0)),"")</f>
        <v/>
      </c>
      <c r="I200" t="str">
        <f>IFERROR(INDEX('Task Master'!$F:$F,MATCH($F200&amp;"||"&amp;$G200,'Task Master'!$K:$K,0)),"")</f>
        <v/>
      </c>
      <c r="J200" t="str">
        <f>IFERROR(INDEX('Task Master'!$H:$H,MATCH($F200&amp;"||"&amp;$G200,'Task Master'!$K:$K,0)),"")</f>
        <v/>
      </c>
      <c r="N200" s="18" t="str">
        <f t="shared" si="25"/>
        <v/>
      </c>
      <c r="R200" s="18">
        <f t="shared" si="26"/>
        <v>0</v>
      </c>
      <c r="V200" s="18">
        <f t="shared" si="27"/>
        <v>0</v>
      </c>
      <c r="Z200" s="18">
        <f t="shared" si="28"/>
        <v>0</v>
      </c>
      <c r="AA200" s="18"/>
      <c r="AB200" s="18">
        <f t="shared" si="29"/>
        <v>0</v>
      </c>
      <c r="AC200" s="18" t="str">
        <f t="shared" si="30"/>
        <v/>
      </c>
      <c r="AD200" s="18" t="str">
        <f t="shared" si="31"/>
        <v/>
      </c>
      <c r="AF200" t="str">
        <f>IFERROR(INDEX('Task Master'!$D:$D,MATCH($F200,'Task Master'!$C:$C,0)),"")</f>
        <v/>
      </c>
    </row>
    <row r="201" spans="1:32" x14ac:dyDescent="0.25">
      <c r="A201" t="str">
        <f t="shared" si="24"/>
        <v/>
      </c>
      <c r="B201" s="16"/>
      <c r="D201" t="str">
        <f>IF($C201="","",IFERROR(INDEX('Asset Register'!$B:$B,MATCH($C201,'Asset Register'!$A:$A,0)),""))</f>
        <v/>
      </c>
      <c r="H201" t="str">
        <f>IFERROR(INDEX('Task Master'!$E:$E,MATCH($F201&amp;"||"&amp;$G201,'Task Master'!$K:$K,0)),"")</f>
        <v/>
      </c>
      <c r="I201" t="str">
        <f>IFERROR(INDEX('Task Master'!$F:$F,MATCH($F201&amp;"||"&amp;$G201,'Task Master'!$K:$K,0)),"")</f>
        <v/>
      </c>
      <c r="J201" t="str">
        <f>IFERROR(INDEX('Task Master'!$H:$H,MATCH($F201&amp;"||"&amp;$G201,'Task Master'!$K:$K,0)),"")</f>
        <v/>
      </c>
      <c r="N201" s="18" t="str">
        <f t="shared" si="25"/>
        <v/>
      </c>
      <c r="R201" s="18">
        <f t="shared" si="26"/>
        <v>0</v>
      </c>
      <c r="V201" s="18">
        <f t="shared" si="27"/>
        <v>0</v>
      </c>
      <c r="Z201" s="18">
        <f t="shared" si="28"/>
        <v>0</v>
      </c>
      <c r="AA201" s="18"/>
      <c r="AB201" s="18">
        <f t="shared" si="29"/>
        <v>0</v>
      </c>
      <c r="AC201" s="18" t="str">
        <f t="shared" si="30"/>
        <v/>
      </c>
      <c r="AD201" s="18" t="str">
        <f t="shared" si="31"/>
        <v/>
      </c>
      <c r="AF201" t="str">
        <f>IFERROR(INDEX('Task Master'!$D:$D,MATCH($F201,'Task Master'!$C:$C,0)),"")</f>
        <v/>
      </c>
    </row>
    <row r="202" spans="1:32" x14ac:dyDescent="0.25">
      <c r="A202" t="str">
        <f t="shared" si="24"/>
        <v/>
      </c>
      <c r="B202" s="16"/>
      <c r="D202" t="str">
        <f>IF($C202="","",IFERROR(INDEX('Asset Register'!$B:$B,MATCH($C202,'Asset Register'!$A:$A,0)),""))</f>
        <v/>
      </c>
      <c r="H202" t="str">
        <f>IFERROR(INDEX('Task Master'!$E:$E,MATCH($F202&amp;"||"&amp;$G202,'Task Master'!$K:$K,0)),"")</f>
        <v/>
      </c>
      <c r="I202" t="str">
        <f>IFERROR(INDEX('Task Master'!$F:$F,MATCH($F202&amp;"||"&amp;$G202,'Task Master'!$K:$K,0)),"")</f>
        <v/>
      </c>
      <c r="J202" t="str">
        <f>IFERROR(INDEX('Task Master'!$H:$H,MATCH($F202&amp;"||"&amp;$G202,'Task Master'!$K:$K,0)),"")</f>
        <v/>
      </c>
      <c r="N202" s="18" t="str">
        <f t="shared" si="25"/>
        <v/>
      </c>
      <c r="R202" s="18">
        <f t="shared" si="26"/>
        <v>0</v>
      </c>
      <c r="V202" s="18">
        <f t="shared" si="27"/>
        <v>0</v>
      </c>
      <c r="Z202" s="18">
        <f t="shared" si="28"/>
        <v>0</v>
      </c>
      <c r="AA202" s="18"/>
      <c r="AB202" s="18">
        <f t="shared" si="29"/>
        <v>0</v>
      </c>
      <c r="AC202" s="18" t="str">
        <f t="shared" si="30"/>
        <v/>
      </c>
      <c r="AD202" s="18" t="str">
        <f t="shared" si="31"/>
        <v/>
      </c>
      <c r="AF202" t="str">
        <f>IFERROR(INDEX('Task Master'!$D:$D,MATCH($F202,'Task Master'!$C:$C,0)),"")</f>
        <v/>
      </c>
    </row>
    <row r="203" spans="1:32" x14ac:dyDescent="0.25">
      <c r="A203" t="str">
        <f t="shared" si="24"/>
        <v/>
      </c>
      <c r="B203" s="16"/>
      <c r="D203" t="str">
        <f>IF($C203="","",IFERROR(INDEX('Asset Register'!$B:$B,MATCH($C203,'Asset Register'!$A:$A,0)),""))</f>
        <v/>
      </c>
      <c r="H203" t="str">
        <f>IFERROR(INDEX('Task Master'!$E:$E,MATCH($F203&amp;"||"&amp;$G203,'Task Master'!$K:$K,0)),"")</f>
        <v/>
      </c>
      <c r="I203" t="str">
        <f>IFERROR(INDEX('Task Master'!$F:$F,MATCH($F203&amp;"||"&amp;$G203,'Task Master'!$K:$K,0)),"")</f>
        <v/>
      </c>
      <c r="J203" t="str">
        <f>IFERROR(INDEX('Task Master'!$H:$H,MATCH($F203&amp;"||"&amp;$G203,'Task Master'!$K:$K,0)),"")</f>
        <v/>
      </c>
      <c r="N203" s="18" t="str">
        <f t="shared" si="25"/>
        <v/>
      </c>
      <c r="R203" s="18">
        <f t="shared" si="26"/>
        <v>0</v>
      </c>
      <c r="V203" s="18">
        <f t="shared" si="27"/>
        <v>0</v>
      </c>
      <c r="Z203" s="18">
        <f t="shared" si="28"/>
        <v>0</v>
      </c>
      <c r="AA203" s="18"/>
      <c r="AB203" s="18">
        <f t="shared" si="29"/>
        <v>0</v>
      </c>
      <c r="AC203" s="18" t="str">
        <f t="shared" si="30"/>
        <v/>
      </c>
      <c r="AD203" s="18" t="str">
        <f t="shared" si="31"/>
        <v/>
      </c>
      <c r="AF203" t="str">
        <f>IFERROR(INDEX('Task Master'!$D:$D,MATCH($F203,'Task Master'!$C:$C,0)),"")</f>
        <v/>
      </c>
    </row>
    <row r="204" spans="1:32" x14ac:dyDescent="0.25">
      <c r="A204" t="str">
        <f t="shared" si="24"/>
        <v/>
      </c>
      <c r="B204" s="16"/>
      <c r="D204" t="str">
        <f>IF($C204="","",IFERROR(INDEX('Asset Register'!$B:$B,MATCH($C204,'Asset Register'!$A:$A,0)),""))</f>
        <v/>
      </c>
      <c r="H204" t="str">
        <f>IFERROR(INDEX('Task Master'!$E:$E,MATCH($F204&amp;"||"&amp;$G204,'Task Master'!$K:$K,0)),"")</f>
        <v/>
      </c>
      <c r="I204" t="str">
        <f>IFERROR(INDEX('Task Master'!$F:$F,MATCH($F204&amp;"||"&amp;$G204,'Task Master'!$K:$K,0)),"")</f>
        <v/>
      </c>
      <c r="J204" t="str">
        <f>IFERROR(INDEX('Task Master'!$H:$H,MATCH($F204&amp;"||"&amp;$G204,'Task Master'!$K:$K,0)),"")</f>
        <v/>
      </c>
      <c r="N204" s="18" t="str">
        <f t="shared" si="25"/>
        <v/>
      </c>
      <c r="R204" s="18">
        <f t="shared" si="26"/>
        <v>0</v>
      </c>
      <c r="V204" s="18">
        <f t="shared" si="27"/>
        <v>0</v>
      </c>
      <c r="Z204" s="18">
        <f t="shared" si="28"/>
        <v>0</v>
      </c>
      <c r="AA204" s="18"/>
      <c r="AB204" s="18">
        <f t="shared" si="29"/>
        <v>0</v>
      </c>
      <c r="AC204" s="18" t="str">
        <f t="shared" si="30"/>
        <v/>
      </c>
      <c r="AD204" s="18" t="str">
        <f t="shared" si="31"/>
        <v/>
      </c>
      <c r="AF204" t="str">
        <f>IFERROR(INDEX('Task Master'!$D:$D,MATCH($F204,'Task Master'!$C:$C,0)),"")</f>
        <v/>
      </c>
    </row>
    <row r="205" spans="1:32" x14ac:dyDescent="0.25">
      <c r="A205" t="str">
        <f t="shared" si="24"/>
        <v/>
      </c>
      <c r="B205" s="16"/>
      <c r="D205" t="str">
        <f>IF($C205="","",IFERROR(INDEX('Asset Register'!$B:$B,MATCH($C205,'Asset Register'!$A:$A,0)),""))</f>
        <v/>
      </c>
      <c r="H205" t="str">
        <f>IFERROR(INDEX('Task Master'!$E:$E,MATCH($F205&amp;"||"&amp;$G205,'Task Master'!$K:$K,0)),"")</f>
        <v/>
      </c>
      <c r="I205" t="str">
        <f>IFERROR(INDEX('Task Master'!$F:$F,MATCH($F205&amp;"||"&amp;$G205,'Task Master'!$K:$K,0)),"")</f>
        <v/>
      </c>
      <c r="J205" t="str">
        <f>IFERROR(INDEX('Task Master'!$H:$H,MATCH($F205&amp;"||"&amp;$G205,'Task Master'!$K:$K,0)),"")</f>
        <v/>
      </c>
      <c r="N205" s="18" t="str">
        <f t="shared" si="25"/>
        <v/>
      </c>
      <c r="R205" s="18">
        <f t="shared" si="26"/>
        <v>0</v>
      </c>
      <c r="V205" s="18">
        <f t="shared" si="27"/>
        <v>0</v>
      </c>
      <c r="Z205" s="18">
        <f t="shared" si="28"/>
        <v>0</v>
      </c>
      <c r="AA205" s="18"/>
      <c r="AB205" s="18">
        <f t="shared" si="29"/>
        <v>0</v>
      </c>
      <c r="AC205" s="18" t="str">
        <f t="shared" si="30"/>
        <v/>
      </c>
      <c r="AD205" s="18" t="str">
        <f t="shared" si="31"/>
        <v/>
      </c>
      <c r="AF205" t="str">
        <f>IFERROR(INDEX('Task Master'!$D:$D,MATCH($F205,'Task Master'!$C:$C,0)),"")</f>
        <v/>
      </c>
    </row>
    <row r="206" spans="1:32" x14ac:dyDescent="0.25">
      <c r="A206" t="str">
        <f t="shared" si="24"/>
        <v/>
      </c>
      <c r="B206" s="16"/>
      <c r="D206" t="str">
        <f>IF($C206="","",IFERROR(INDEX('Asset Register'!$B:$B,MATCH($C206,'Asset Register'!$A:$A,0)),""))</f>
        <v/>
      </c>
      <c r="H206" t="str">
        <f>IFERROR(INDEX('Task Master'!$E:$E,MATCH($F206&amp;"||"&amp;$G206,'Task Master'!$K:$K,0)),"")</f>
        <v/>
      </c>
      <c r="I206" t="str">
        <f>IFERROR(INDEX('Task Master'!$F:$F,MATCH($F206&amp;"||"&amp;$G206,'Task Master'!$K:$K,0)),"")</f>
        <v/>
      </c>
      <c r="J206" t="str">
        <f>IFERROR(INDEX('Task Master'!$H:$H,MATCH($F206&amp;"||"&amp;$G206,'Task Master'!$K:$K,0)),"")</f>
        <v/>
      </c>
      <c r="N206" s="18" t="str">
        <f t="shared" si="25"/>
        <v/>
      </c>
      <c r="R206" s="18">
        <f t="shared" si="26"/>
        <v>0</v>
      </c>
      <c r="V206" s="18">
        <f t="shared" si="27"/>
        <v>0</v>
      </c>
      <c r="Z206" s="18">
        <f t="shared" si="28"/>
        <v>0</v>
      </c>
      <c r="AA206" s="18"/>
      <c r="AB206" s="18">
        <f t="shared" si="29"/>
        <v>0</v>
      </c>
      <c r="AC206" s="18" t="str">
        <f t="shared" si="30"/>
        <v/>
      </c>
      <c r="AD206" s="18" t="str">
        <f t="shared" si="31"/>
        <v/>
      </c>
      <c r="AF206" t="str">
        <f>IFERROR(INDEX('Task Master'!$D:$D,MATCH($F206,'Task Master'!$C:$C,0)),"")</f>
        <v/>
      </c>
    </row>
    <row r="207" spans="1:32" x14ac:dyDescent="0.25">
      <c r="A207" t="str">
        <f t="shared" si="24"/>
        <v/>
      </c>
      <c r="B207" s="16"/>
      <c r="D207" t="str">
        <f>IF($C207="","",IFERROR(INDEX('Asset Register'!$B:$B,MATCH($C207,'Asset Register'!$A:$A,0)),""))</f>
        <v/>
      </c>
      <c r="H207" t="str">
        <f>IFERROR(INDEX('Task Master'!$E:$E,MATCH($F207&amp;"||"&amp;$G207,'Task Master'!$K:$K,0)),"")</f>
        <v/>
      </c>
      <c r="I207" t="str">
        <f>IFERROR(INDEX('Task Master'!$F:$F,MATCH($F207&amp;"||"&amp;$G207,'Task Master'!$K:$K,0)),"")</f>
        <v/>
      </c>
      <c r="J207" t="str">
        <f>IFERROR(INDEX('Task Master'!$H:$H,MATCH($F207&amp;"||"&amp;$G207,'Task Master'!$K:$K,0)),"")</f>
        <v/>
      </c>
      <c r="N207" s="18" t="str">
        <f t="shared" si="25"/>
        <v/>
      </c>
      <c r="R207" s="18">
        <f t="shared" si="26"/>
        <v>0</v>
      </c>
      <c r="V207" s="18">
        <f t="shared" si="27"/>
        <v>0</v>
      </c>
      <c r="Z207" s="18">
        <f t="shared" si="28"/>
        <v>0</v>
      </c>
      <c r="AA207" s="18"/>
      <c r="AB207" s="18">
        <f t="shared" si="29"/>
        <v>0</v>
      </c>
      <c r="AC207" s="18" t="str">
        <f t="shared" si="30"/>
        <v/>
      </c>
      <c r="AD207" s="18" t="str">
        <f t="shared" si="31"/>
        <v/>
      </c>
      <c r="AF207" t="str">
        <f>IFERROR(INDEX('Task Master'!$D:$D,MATCH($F207,'Task Master'!$C:$C,0)),"")</f>
        <v/>
      </c>
    </row>
    <row r="208" spans="1:32" x14ac:dyDescent="0.25">
      <c r="A208" t="str">
        <f t="shared" si="24"/>
        <v/>
      </c>
      <c r="B208" s="16"/>
      <c r="D208" t="str">
        <f>IF($C208="","",IFERROR(INDEX('Asset Register'!$B:$B,MATCH($C208,'Asset Register'!$A:$A,0)),""))</f>
        <v/>
      </c>
      <c r="H208" t="str">
        <f>IFERROR(INDEX('Task Master'!$E:$E,MATCH($F208&amp;"||"&amp;$G208,'Task Master'!$K:$K,0)),"")</f>
        <v/>
      </c>
      <c r="I208" t="str">
        <f>IFERROR(INDEX('Task Master'!$F:$F,MATCH($F208&amp;"||"&amp;$G208,'Task Master'!$K:$K,0)),"")</f>
        <v/>
      </c>
      <c r="J208" t="str">
        <f>IFERROR(INDEX('Task Master'!$H:$H,MATCH($F208&amp;"||"&amp;$G208,'Task Master'!$K:$K,0)),"")</f>
        <v/>
      </c>
      <c r="N208" s="18" t="str">
        <f t="shared" si="25"/>
        <v/>
      </c>
      <c r="R208" s="18">
        <f t="shared" si="26"/>
        <v>0</v>
      </c>
      <c r="V208" s="18">
        <f t="shared" si="27"/>
        <v>0</v>
      </c>
      <c r="Z208" s="18">
        <f t="shared" si="28"/>
        <v>0</v>
      </c>
      <c r="AA208" s="18"/>
      <c r="AB208" s="18">
        <f t="shared" si="29"/>
        <v>0</v>
      </c>
      <c r="AC208" s="18" t="str">
        <f t="shared" si="30"/>
        <v/>
      </c>
      <c r="AD208" s="18" t="str">
        <f t="shared" si="31"/>
        <v/>
      </c>
      <c r="AF208" t="str">
        <f>IFERROR(INDEX('Task Master'!$D:$D,MATCH($F208,'Task Master'!$C:$C,0)),"")</f>
        <v/>
      </c>
    </row>
    <row r="209" spans="1:32" x14ac:dyDescent="0.25">
      <c r="A209" t="str">
        <f t="shared" si="24"/>
        <v/>
      </c>
      <c r="B209" s="16"/>
      <c r="D209" t="str">
        <f>IF($C209="","",IFERROR(INDEX('Asset Register'!$B:$B,MATCH($C209,'Asset Register'!$A:$A,0)),""))</f>
        <v/>
      </c>
      <c r="H209" t="str">
        <f>IFERROR(INDEX('Task Master'!$E:$E,MATCH($F209&amp;"||"&amp;$G209,'Task Master'!$K:$K,0)),"")</f>
        <v/>
      </c>
      <c r="I209" t="str">
        <f>IFERROR(INDEX('Task Master'!$F:$F,MATCH($F209&amp;"||"&amp;$G209,'Task Master'!$K:$K,0)),"")</f>
        <v/>
      </c>
      <c r="J209" t="str">
        <f>IFERROR(INDEX('Task Master'!$H:$H,MATCH($F209&amp;"||"&amp;$G209,'Task Master'!$K:$K,0)),"")</f>
        <v/>
      </c>
      <c r="N209" s="18" t="str">
        <f t="shared" si="25"/>
        <v/>
      </c>
      <c r="R209" s="18">
        <f t="shared" si="26"/>
        <v>0</v>
      </c>
      <c r="V209" s="18">
        <f t="shared" si="27"/>
        <v>0</v>
      </c>
      <c r="Z209" s="18">
        <f t="shared" si="28"/>
        <v>0</v>
      </c>
      <c r="AA209" s="18"/>
      <c r="AB209" s="18">
        <f t="shared" si="29"/>
        <v>0</v>
      </c>
      <c r="AC209" s="18" t="str">
        <f t="shared" si="30"/>
        <v/>
      </c>
      <c r="AD209" s="18" t="str">
        <f t="shared" si="31"/>
        <v/>
      </c>
      <c r="AF209" t="str">
        <f>IFERROR(INDEX('Task Master'!$D:$D,MATCH($F209,'Task Master'!$C:$C,0)),"")</f>
        <v/>
      </c>
    </row>
    <row r="210" spans="1:32" x14ac:dyDescent="0.25">
      <c r="A210" t="str">
        <f t="shared" si="24"/>
        <v/>
      </c>
      <c r="B210" s="16"/>
      <c r="D210" t="str">
        <f>IF($C210="","",IFERROR(INDEX('Asset Register'!$B:$B,MATCH($C210,'Asset Register'!$A:$A,0)),""))</f>
        <v/>
      </c>
      <c r="H210" t="str">
        <f>IFERROR(INDEX('Task Master'!$E:$E,MATCH($F210&amp;"||"&amp;$G210,'Task Master'!$K:$K,0)),"")</f>
        <v/>
      </c>
      <c r="I210" t="str">
        <f>IFERROR(INDEX('Task Master'!$F:$F,MATCH($F210&amp;"||"&amp;$G210,'Task Master'!$K:$K,0)),"")</f>
        <v/>
      </c>
      <c r="J210" t="str">
        <f>IFERROR(INDEX('Task Master'!$H:$H,MATCH($F210&amp;"||"&amp;$G210,'Task Master'!$K:$K,0)),"")</f>
        <v/>
      </c>
      <c r="N210" s="18" t="str">
        <f t="shared" si="25"/>
        <v/>
      </c>
      <c r="R210" s="18">
        <f t="shared" si="26"/>
        <v>0</v>
      </c>
      <c r="V210" s="18">
        <f t="shared" si="27"/>
        <v>0</v>
      </c>
      <c r="Z210" s="18">
        <f t="shared" si="28"/>
        <v>0</v>
      </c>
      <c r="AA210" s="18"/>
      <c r="AB210" s="18">
        <f t="shared" si="29"/>
        <v>0</v>
      </c>
      <c r="AC210" s="18" t="str">
        <f t="shared" si="30"/>
        <v/>
      </c>
      <c r="AD210" s="18" t="str">
        <f t="shared" si="31"/>
        <v/>
      </c>
      <c r="AF210" t="str">
        <f>IFERROR(INDEX('Task Master'!$D:$D,MATCH($F210,'Task Master'!$C:$C,0)),"")</f>
        <v/>
      </c>
    </row>
    <row r="211" spans="1:32" x14ac:dyDescent="0.25">
      <c r="A211" t="str">
        <f t="shared" si="24"/>
        <v/>
      </c>
      <c r="B211" s="16"/>
      <c r="D211" t="str">
        <f>IF($C211="","",IFERROR(INDEX('Asset Register'!$B:$B,MATCH($C211,'Asset Register'!$A:$A,0)),""))</f>
        <v/>
      </c>
      <c r="H211" t="str">
        <f>IFERROR(INDEX('Task Master'!$E:$E,MATCH($F211&amp;"||"&amp;$G211,'Task Master'!$K:$K,0)),"")</f>
        <v/>
      </c>
      <c r="I211" t="str">
        <f>IFERROR(INDEX('Task Master'!$F:$F,MATCH($F211&amp;"||"&amp;$G211,'Task Master'!$K:$K,0)),"")</f>
        <v/>
      </c>
      <c r="J211" t="str">
        <f>IFERROR(INDEX('Task Master'!$H:$H,MATCH($F211&amp;"||"&amp;$G211,'Task Master'!$K:$K,0)),"")</f>
        <v/>
      </c>
      <c r="N211" s="18" t="str">
        <f t="shared" si="25"/>
        <v/>
      </c>
      <c r="R211" s="18">
        <f t="shared" si="26"/>
        <v>0</v>
      </c>
      <c r="V211" s="18">
        <f t="shared" si="27"/>
        <v>0</v>
      </c>
      <c r="Z211" s="18">
        <f t="shared" si="28"/>
        <v>0</v>
      </c>
      <c r="AA211" s="18"/>
      <c r="AB211" s="18">
        <f t="shared" si="29"/>
        <v>0</v>
      </c>
      <c r="AC211" s="18" t="str">
        <f t="shared" si="30"/>
        <v/>
      </c>
      <c r="AD211" s="18" t="str">
        <f t="shared" si="31"/>
        <v/>
      </c>
      <c r="AF211" t="str">
        <f>IFERROR(INDEX('Task Master'!$D:$D,MATCH($F211,'Task Master'!$C:$C,0)),"")</f>
        <v/>
      </c>
    </row>
    <row r="212" spans="1:32" x14ac:dyDescent="0.25">
      <c r="A212" t="str">
        <f t="shared" si="24"/>
        <v/>
      </c>
      <c r="B212" s="16"/>
      <c r="D212" t="str">
        <f>IF($C212="","",IFERROR(INDEX('Asset Register'!$B:$B,MATCH($C212,'Asset Register'!$A:$A,0)),""))</f>
        <v/>
      </c>
      <c r="H212" t="str">
        <f>IFERROR(INDEX('Task Master'!$E:$E,MATCH($F212&amp;"||"&amp;$G212,'Task Master'!$K:$K,0)),"")</f>
        <v/>
      </c>
      <c r="I212" t="str">
        <f>IFERROR(INDEX('Task Master'!$F:$F,MATCH($F212&amp;"||"&amp;$G212,'Task Master'!$K:$K,0)),"")</f>
        <v/>
      </c>
      <c r="J212" t="str">
        <f>IFERROR(INDEX('Task Master'!$H:$H,MATCH($F212&amp;"||"&amp;$G212,'Task Master'!$K:$K,0)),"")</f>
        <v/>
      </c>
      <c r="N212" s="18" t="str">
        <f t="shared" si="25"/>
        <v/>
      </c>
      <c r="R212" s="18">
        <f t="shared" si="26"/>
        <v>0</v>
      </c>
      <c r="V212" s="18">
        <f t="shared" si="27"/>
        <v>0</v>
      </c>
      <c r="Z212" s="18">
        <f t="shared" si="28"/>
        <v>0</v>
      </c>
      <c r="AA212" s="18"/>
      <c r="AB212" s="18">
        <f t="shared" si="29"/>
        <v>0</v>
      </c>
      <c r="AC212" s="18" t="str">
        <f t="shared" si="30"/>
        <v/>
      </c>
      <c r="AD212" s="18" t="str">
        <f t="shared" si="31"/>
        <v/>
      </c>
      <c r="AF212" t="str">
        <f>IFERROR(INDEX('Task Master'!$D:$D,MATCH($F212,'Task Master'!$C:$C,0)),"")</f>
        <v/>
      </c>
    </row>
    <row r="213" spans="1:32" x14ac:dyDescent="0.25">
      <c r="A213" t="str">
        <f t="shared" si="24"/>
        <v/>
      </c>
      <c r="B213" s="16"/>
      <c r="D213" t="str">
        <f>IF($C213="","",IFERROR(INDEX('Asset Register'!$B:$B,MATCH($C213,'Asset Register'!$A:$A,0)),""))</f>
        <v/>
      </c>
      <c r="H213" t="str">
        <f>IFERROR(INDEX('Task Master'!$E:$E,MATCH($F213&amp;"||"&amp;$G213,'Task Master'!$K:$K,0)),"")</f>
        <v/>
      </c>
      <c r="I213" t="str">
        <f>IFERROR(INDEX('Task Master'!$F:$F,MATCH($F213&amp;"||"&amp;$G213,'Task Master'!$K:$K,0)),"")</f>
        <v/>
      </c>
      <c r="J213" t="str">
        <f>IFERROR(INDEX('Task Master'!$H:$H,MATCH($F213&amp;"||"&amp;$G213,'Task Master'!$K:$K,0)),"")</f>
        <v/>
      </c>
      <c r="N213" s="18" t="str">
        <f t="shared" si="25"/>
        <v/>
      </c>
      <c r="R213" s="18">
        <f t="shared" si="26"/>
        <v>0</v>
      </c>
      <c r="V213" s="18">
        <f t="shared" si="27"/>
        <v>0</v>
      </c>
      <c r="Z213" s="18">
        <f t="shared" si="28"/>
        <v>0</v>
      </c>
      <c r="AA213" s="18"/>
      <c r="AB213" s="18">
        <f t="shared" si="29"/>
        <v>0</v>
      </c>
      <c r="AC213" s="18" t="str">
        <f t="shared" si="30"/>
        <v/>
      </c>
      <c r="AD213" s="18" t="str">
        <f t="shared" si="31"/>
        <v/>
      </c>
      <c r="AF213" t="str">
        <f>IFERROR(INDEX('Task Master'!$D:$D,MATCH($F213,'Task Master'!$C:$C,0)),"")</f>
        <v/>
      </c>
    </row>
    <row r="214" spans="1:32" x14ac:dyDescent="0.25">
      <c r="A214" t="str">
        <f t="shared" si="24"/>
        <v/>
      </c>
      <c r="B214" s="16"/>
      <c r="D214" t="str">
        <f>IF($C214="","",IFERROR(INDEX('Asset Register'!$B:$B,MATCH($C214,'Asset Register'!$A:$A,0)),""))</f>
        <v/>
      </c>
      <c r="H214" t="str">
        <f>IFERROR(INDEX('Task Master'!$E:$E,MATCH($F214&amp;"||"&amp;$G214,'Task Master'!$K:$K,0)),"")</f>
        <v/>
      </c>
      <c r="I214" t="str">
        <f>IFERROR(INDEX('Task Master'!$F:$F,MATCH($F214&amp;"||"&amp;$G214,'Task Master'!$K:$K,0)),"")</f>
        <v/>
      </c>
      <c r="J214" t="str">
        <f>IFERROR(INDEX('Task Master'!$H:$H,MATCH($F214&amp;"||"&amp;$G214,'Task Master'!$K:$K,0)),"")</f>
        <v/>
      </c>
      <c r="N214" s="18" t="str">
        <f t="shared" si="25"/>
        <v/>
      </c>
      <c r="R214" s="18">
        <f t="shared" si="26"/>
        <v>0</v>
      </c>
      <c r="V214" s="18">
        <f t="shared" si="27"/>
        <v>0</v>
      </c>
      <c r="Z214" s="18">
        <f t="shared" si="28"/>
        <v>0</v>
      </c>
      <c r="AA214" s="18"/>
      <c r="AB214" s="18">
        <f t="shared" si="29"/>
        <v>0</v>
      </c>
      <c r="AC214" s="18" t="str">
        <f t="shared" si="30"/>
        <v/>
      </c>
      <c r="AD214" s="18" t="str">
        <f t="shared" si="31"/>
        <v/>
      </c>
      <c r="AF214" t="str">
        <f>IFERROR(INDEX('Task Master'!$D:$D,MATCH($F214,'Task Master'!$C:$C,0)),"")</f>
        <v/>
      </c>
    </row>
    <row r="215" spans="1:32" x14ac:dyDescent="0.25">
      <c r="A215" t="str">
        <f t="shared" si="24"/>
        <v/>
      </c>
      <c r="B215" s="16"/>
      <c r="D215" t="str">
        <f>IF($C215="","",IFERROR(INDEX('Asset Register'!$B:$B,MATCH($C215,'Asset Register'!$A:$A,0)),""))</f>
        <v/>
      </c>
      <c r="H215" t="str">
        <f>IFERROR(INDEX('Task Master'!$E:$E,MATCH($F215&amp;"||"&amp;$G215,'Task Master'!$K:$K,0)),"")</f>
        <v/>
      </c>
      <c r="I215" t="str">
        <f>IFERROR(INDEX('Task Master'!$F:$F,MATCH($F215&amp;"||"&amp;$G215,'Task Master'!$K:$K,0)),"")</f>
        <v/>
      </c>
      <c r="J215" t="str">
        <f>IFERROR(INDEX('Task Master'!$H:$H,MATCH($F215&amp;"||"&amp;$G215,'Task Master'!$K:$K,0)),"")</f>
        <v/>
      </c>
      <c r="N215" s="18" t="str">
        <f t="shared" si="25"/>
        <v/>
      </c>
      <c r="R215" s="18">
        <f t="shared" si="26"/>
        <v>0</v>
      </c>
      <c r="V215" s="18">
        <f t="shared" si="27"/>
        <v>0</v>
      </c>
      <c r="Z215" s="18">
        <f t="shared" si="28"/>
        <v>0</v>
      </c>
      <c r="AA215" s="18"/>
      <c r="AB215" s="18">
        <f t="shared" si="29"/>
        <v>0</v>
      </c>
      <c r="AC215" s="18" t="str">
        <f t="shared" si="30"/>
        <v/>
      </c>
      <c r="AD215" s="18" t="str">
        <f t="shared" si="31"/>
        <v/>
      </c>
      <c r="AF215" t="str">
        <f>IFERROR(INDEX('Task Master'!$D:$D,MATCH($F215,'Task Master'!$C:$C,0)),"")</f>
        <v/>
      </c>
    </row>
    <row r="216" spans="1:32" x14ac:dyDescent="0.25">
      <c r="A216" t="str">
        <f t="shared" si="24"/>
        <v/>
      </c>
      <c r="B216" s="16"/>
      <c r="D216" t="str">
        <f>IF($C216="","",IFERROR(INDEX('Asset Register'!$B:$B,MATCH($C216,'Asset Register'!$A:$A,0)),""))</f>
        <v/>
      </c>
      <c r="H216" t="str">
        <f>IFERROR(INDEX('Task Master'!$E:$E,MATCH($F216&amp;"||"&amp;$G216,'Task Master'!$K:$K,0)),"")</f>
        <v/>
      </c>
      <c r="I216" t="str">
        <f>IFERROR(INDEX('Task Master'!$F:$F,MATCH($F216&amp;"||"&amp;$G216,'Task Master'!$K:$K,0)),"")</f>
        <v/>
      </c>
      <c r="J216" t="str">
        <f>IFERROR(INDEX('Task Master'!$H:$H,MATCH($F216&amp;"||"&amp;$G216,'Task Master'!$K:$K,0)),"")</f>
        <v/>
      </c>
      <c r="N216" s="18" t="str">
        <f t="shared" si="25"/>
        <v/>
      </c>
      <c r="R216" s="18">
        <f t="shared" si="26"/>
        <v>0</v>
      </c>
      <c r="V216" s="18">
        <f t="shared" si="27"/>
        <v>0</v>
      </c>
      <c r="Z216" s="18">
        <f t="shared" si="28"/>
        <v>0</v>
      </c>
      <c r="AA216" s="18"/>
      <c r="AB216" s="18">
        <f t="shared" si="29"/>
        <v>0</v>
      </c>
      <c r="AC216" s="18" t="str">
        <f t="shared" si="30"/>
        <v/>
      </c>
      <c r="AD216" s="18" t="str">
        <f t="shared" si="31"/>
        <v/>
      </c>
      <c r="AF216" t="str">
        <f>IFERROR(INDEX('Task Master'!$D:$D,MATCH($F216,'Task Master'!$C:$C,0)),"")</f>
        <v/>
      </c>
    </row>
    <row r="217" spans="1:32" x14ac:dyDescent="0.25">
      <c r="A217" t="str">
        <f t="shared" si="24"/>
        <v/>
      </c>
      <c r="B217" s="16"/>
      <c r="D217" t="str">
        <f>IF($C217="","",IFERROR(INDEX('Asset Register'!$B:$B,MATCH($C217,'Asset Register'!$A:$A,0)),""))</f>
        <v/>
      </c>
      <c r="H217" t="str">
        <f>IFERROR(INDEX('Task Master'!$E:$E,MATCH($F217&amp;"||"&amp;$G217,'Task Master'!$K:$K,0)),"")</f>
        <v/>
      </c>
      <c r="I217" t="str">
        <f>IFERROR(INDEX('Task Master'!$F:$F,MATCH($F217&amp;"||"&amp;$G217,'Task Master'!$K:$K,0)),"")</f>
        <v/>
      </c>
      <c r="J217" t="str">
        <f>IFERROR(INDEX('Task Master'!$H:$H,MATCH($F217&amp;"||"&amp;$G217,'Task Master'!$K:$K,0)),"")</f>
        <v/>
      </c>
      <c r="N217" s="18" t="str">
        <f t="shared" si="25"/>
        <v/>
      </c>
      <c r="R217" s="18">
        <f t="shared" si="26"/>
        <v>0</v>
      </c>
      <c r="V217" s="18">
        <f t="shared" si="27"/>
        <v>0</v>
      </c>
      <c r="Z217" s="18">
        <f t="shared" si="28"/>
        <v>0</v>
      </c>
      <c r="AA217" s="18"/>
      <c r="AB217" s="18">
        <f t="shared" si="29"/>
        <v>0</v>
      </c>
      <c r="AC217" s="18" t="str">
        <f t="shared" si="30"/>
        <v/>
      </c>
      <c r="AD217" s="18" t="str">
        <f t="shared" si="31"/>
        <v/>
      </c>
      <c r="AF217" t="str">
        <f>IFERROR(INDEX('Task Master'!$D:$D,MATCH($F217,'Task Master'!$C:$C,0)),"")</f>
        <v/>
      </c>
    </row>
    <row r="218" spans="1:32" x14ac:dyDescent="0.25">
      <c r="A218" t="str">
        <f t="shared" si="24"/>
        <v/>
      </c>
      <c r="B218" s="16"/>
      <c r="D218" t="str">
        <f>IF($C218="","",IFERROR(INDEX('Asset Register'!$B:$B,MATCH($C218,'Asset Register'!$A:$A,0)),""))</f>
        <v/>
      </c>
      <c r="H218" t="str">
        <f>IFERROR(INDEX('Task Master'!$E:$E,MATCH($F218&amp;"||"&amp;$G218,'Task Master'!$K:$K,0)),"")</f>
        <v/>
      </c>
      <c r="I218" t="str">
        <f>IFERROR(INDEX('Task Master'!$F:$F,MATCH($F218&amp;"||"&amp;$G218,'Task Master'!$K:$K,0)),"")</f>
        <v/>
      </c>
      <c r="J218" t="str">
        <f>IFERROR(INDEX('Task Master'!$H:$H,MATCH($F218&amp;"||"&amp;$G218,'Task Master'!$K:$K,0)),"")</f>
        <v/>
      </c>
      <c r="N218" s="18" t="str">
        <f t="shared" si="25"/>
        <v/>
      </c>
      <c r="R218" s="18">
        <f t="shared" si="26"/>
        <v>0</v>
      </c>
      <c r="V218" s="18">
        <f t="shared" si="27"/>
        <v>0</v>
      </c>
      <c r="Z218" s="18">
        <f t="shared" si="28"/>
        <v>0</v>
      </c>
      <c r="AA218" s="18"/>
      <c r="AB218" s="18">
        <f t="shared" si="29"/>
        <v>0</v>
      </c>
      <c r="AC218" s="18" t="str">
        <f t="shared" si="30"/>
        <v/>
      </c>
      <c r="AD218" s="18" t="str">
        <f t="shared" si="31"/>
        <v/>
      </c>
      <c r="AF218" t="str">
        <f>IFERROR(INDEX('Task Master'!$D:$D,MATCH($F218,'Task Master'!$C:$C,0)),"")</f>
        <v/>
      </c>
    </row>
    <row r="219" spans="1:32" x14ac:dyDescent="0.25">
      <c r="A219" t="str">
        <f t="shared" si="24"/>
        <v/>
      </c>
      <c r="B219" s="16"/>
      <c r="D219" t="str">
        <f>IF($C219="","",IFERROR(INDEX('Asset Register'!$B:$B,MATCH($C219,'Asset Register'!$A:$A,0)),""))</f>
        <v/>
      </c>
      <c r="H219" t="str">
        <f>IFERROR(INDEX('Task Master'!$E:$E,MATCH($F219&amp;"||"&amp;$G219,'Task Master'!$K:$K,0)),"")</f>
        <v/>
      </c>
      <c r="I219" t="str">
        <f>IFERROR(INDEX('Task Master'!$F:$F,MATCH($F219&amp;"||"&amp;$G219,'Task Master'!$K:$K,0)),"")</f>
        <v/>
      </c>
      <c r="J219" t="str">
        <f>IFERROR(INDEX('Task Master'!$H:$H,MATCH($F219&amp;"||"&amp;$G219,'Task Master'!$K:$K,0)),"")</f>
        <v/>
      </c>
      <c r="N219" s="18" t="str">
        <f t="shared" si="25"/>
        <v/>
      </c>
      <c r="R219" s="18">
        <f t="shared" si="26"/>
        <v>0</v>
      </c>
      <c r="V219" s="18">
        <f t="shared" si="27"/>
        <v>0</v>
      </c>
      <c r="Z219" s="18">
        <f t="shared" si="28"/>
        <v>0</v>
      </c>
      <c r="AA219" s="18"/>
      <c r="AB219" s="18">
        <f t="shared" si="29"/>
        <v>0</v>
      </c>
      <c r="AC219" s="18" t="str">
        <f t="shared" si="30"/>
        <v/>
      </c>
      <c r="AD219" s="18" t="str">
        <f t="shared" si="31"/>
        <v/>
      </c>
      <c r="AF219" t="str">
        <f>IFERROR(INDEX('Task Master'!$D:$D,MATCH($F219,'Task Master'!$C:$C,0)),"")</f>
        <v/>
      </c>
    </row>
    <row r="220" spans="1:32" x14ac:dyDescent="0.25">
      <c r="A220" t="str">
        <f t="shared" si="24"/>
        <v/>
      </c>
      <c r="B220" s="16"/>
      <c r="D220" t="str">
        <f>IF($C220="","",IFERROR(INDEX('Asset Register'!$B:$B,MATCH($C220,'Asset Register'!$A:$A,0)),""))</f>
        <v/>
      </c>
      <c r="H220" t="str">
        <f>IFERROR(INDEX('Task Master'!$E:$E,MATCH($F220&amp;"||"&amp;$G220,'Task Master'!$K:$K,0)),"")</f>
        <v/>
      </c>
      <c r="I220" t="str">
        <f>IFERROR(INDEX('Task Master'!$F:$F,MATCH($F220&amp;"||"&amp;$G220,'Task Master'!$K:$K,0)),"")</f>
        <v/>
      </c>
      <c r="J220" t="str">
        <f>IFERROR(INDEX('Task Master'!$H:$H,MATCH($F220&amp;"||"&amp;$G220,'Task Master'!$K:$K,0)),"")</f>
        <v/>
      </c>
      <c r="N220" s="18" t="str">
        <f t="shared" si="25"/>
        <v/>
      </c>
      <c r="R220" s="18">
        <f t="shared" si="26"/>
        <v>0</v>
      </c>
      <c r="V220" s="18">
        <f t="shared" si="27"/>
        <v>0</v>
      </c>
      <c r="Z220" s="18">
        <f t="shared" si="28"/>
        <v>0</v>
      </c>
      <c r="AA220" s="18"/>
      <c r="AB220" s="18">
        <f t="shared" si="29"/>
        <v>0</v>
      </c>
      <c r="AC220" s="18" t="str">
        <f t="shared" si="30"/>
        <v/>
      </c>
      <c r="AD220" s="18" t="str">
        <f t="shared" si="31"/>
        <v/>
      </c>
      <c r="AF220" t="str">
        <f>IFERROR(INDEX('Task Master'!$D:$D,MATCH($F220,'Task Master'!$C:$C,0)),"")</f>
        <v/>
      </c>
    </row>
    <row r="221" spans="1:32" x14ac:dyDescent="0.25">
      <c r="A221" t="str">
        <f t="shared" si="24"/>
        <v/>
      </c>
      <c r="B221" s="16"/>
      <c r="D221" t="str">
        <f>IF($C221="","",IFERROR(INDEX('Asset Register'!$B:$B,MATCH($C221,'Asset Register'!$A:$A,0)),""))</f>
        <v/>
      </c>
      <c r="H221" t="str">
        <f>IFERROR(INDEX('Task Master'!$E:$E,MATCH($F221&amp;"||"&amp;$G221,'Task Master'!$K:$K,0)),"")</f>
        <v/>
      </c>
      <c r="I221" t="str">
        <f>IFERROR(INDEX('Task Master'!$F:$F,MATCH($F221&amp;"||"&amp;$G221,'Task Master'!$K:$K,0)),"")</f>
        <v/>
      </c>
      <c r="J221" t="str">
        <f>IFERROR(INDEX('Task Master'!$H:$H,MATCH($F221&amp;"||"&amp;$G221,'Task Master'!$K:$K,0)),"")</f>
        <v/>
      </c>
      <c r="N221" s="18" t="str">
        <f t="shared" si="25"/>
        <v/>
      </c>
      <c r="R221" s="18">
        <f t="shared" si="26"/>
        <v>0</v>
      </c>
      <c r="V221" s="18">
        <f t="shared" si="27"/>
        <v>0</v>
      </c>
      <c r="Z221" s="18">
        <f t="shared" si="28"/>
        <v>0</v>
      </c>
      <c r="AA221" s="18"/>
      <c r="AB221" s="18">
        <f t="shared" si="29"/>
        <v>0</v>
      </c>
      <c r="AC221" s="18" t="str">
        <f t="shared" si="30"/>
        <v/>
      </c>
      <c r="AD221" s="18" t="str">
        <f t="shared" si="31"/>
        <v/>
      </c>
      <c r="AF221" t="str">
        <f>IFERROR(INDEX('Task Master'!$D:$D,MATCH($F221,'Task Master'!$C:$C,0)),"")</f>
        <v/>
      </c>
    </row>
    <row r="222" spans="1:32" x14ac:dyDescent="0.25">
      <c r="A222" t="str">
        <f t="shared" si="24"/>
        <v/>
      </c>
      <c r="B222" s="16"/>
      <c r="D222" t="str">
        <f>IF($C222="","",IFERROR(INDEX('Asset Register'!$B:$B,MATCH($C222,'Asset Register'!$A:$A,0)),""))</f>
        <v/>
      </c>
      <c r="H222" t="str">
        <f>IFERROR(INDEX('Task Master'!$E:$E,MATCH($F222&amp;"||"&amp;$G222,'Task Master'!$K:$K,0)),"")</f>
        <v/>
      </c>
      <c r="I222" t="str">
        <f>IFERROR(INDEX('Task Master'!$F:$F,MATCH($F222&amp;"||"&amp;$G222,'Task Master'!$K:$K,0)),"")</f>
        <v/>
      </c>
      <c r="J222" t="str">
        <f>IFERROR(INDEX('Task Master'!$H:$H,MATCH($F222&amp;"||"&amp;$G222,'Task Master'!$K:$K,0)),"")</f>
        <v/>
      </c>
      <c r="N222" s="18" t="str">
        <f t="shared" si="25"/>
        <v/>
      </c>
      <c r="R222" s="18">
        <f t="shared" si="26"/>
        <v>0</v>
      </c>
      <c r="V222" s="18">
        <f t="shared" si="27"/>
        <v>0</v>
      </c>
      <c r="Z222" s="18">
        <f t="shared" si="28"/>
        <v>0</v>
      </c>
      <c r="AA222" s="18"/>
      <c r="AB222" s="18">
        <f t="shared" si="29"/>
        <v>0</v>
      </c>
      <c r="AC222" s="18" t="str">
        <f t="shared" si="30"/>
        <v/>
      </c>
      <c r="AD222" s="18" t="str">
        <f t="shared" si="31"/>
        <v/>
      </c>
      <c r="AF222" t="str">
        <f>IFERROR(INDEX('Task Master'!$D:$D,MATCH($F222,'Task Master'!$C:$C,0)),"")</f>
        <v/>
      </c>
    </row>
    <row r="223" spans="1:32" x14ac:dyDescent="0.25">
      <c r="A223" t="str">
        <f t="shared" si="24"/>
        <v/>
      </c>
      <c r="B223" s="16"/>
      <c r="D223" t="str">
        <f>IF($C223="","",IFERROR(INDEX('Asset Register'!$B:$B,MATCH($C223,'Asset Register'!$A:$A,0)),""))</f>
        <v/>
      </c>
      <c r="H223" t="str">
        <f>IFERROR(INDEX('Task Master'!$E:$E,MATCH($F223&amp;"||"&amp;$G223,'Task Master'!$K:$K,0)),"")</f>
        <v/>
      </c>
      <c r="I223" t="str">
        <f>IFERROR(INDEX('Task Master'!$F:$F,MATCH($F223&amp;"||"&amp;$G223,'Task Master'!$K:$K,0)),"")</f>
        <v/>
      </c>
      <c r="J223" t="str">
        <f>IFERROR(INDEX('Task Master'!$H:$H,MATCH($F223&amp;"||"&amp;$G223,'Task Master'!$K:$K,0)),"")</f>
        <v/>
      </c>
      <c r="N223" s="18" t="str">
        <f t="shared" si="25"/>
        <v/>
      </c>
      <c r="R223" s="18">
        <f t="shared" si="26"/>
        <v>0</v>
      </c>
      <c r="V223" s="18">
        <f t="shared" si="27"/>
        <v>0</v>
      </c>
      <c r="Z223" s="18">
        <f t="shared" si="28"/>
        <v>0</v>
      </c>
      <c r="AA223" s="18"/>
      <c r="AB223" s="18">
        <f t="shared" si="29"/>
        <v>0</v>
      </c>
      <c r="AC223" s="18" t="str">
        <f t="shared" si="30"/>
        <v/>
      </c>
      <c r="AD223" s="18" t="str">
        <f t="shared" si="31"/>
        <v/>
      </c>
      <c r="AF223" t="str">
        <f>IFERROR(INDEX('Task Master'!$D:$D,MATCH($F223,'Task Master'!$C:$C,0)),"")</f>
        <v/>
      </c>
    </row>
    <row r="224" spans="1:32" x14ac:dyDescent="0.25">
      <c r="A224" t="str">
        <f t="shared" si="24"/>
        <v/>
      </c>
      <c r="B224" s="16"/>
      <c r="D224" t="str">
        <f>IF($C224="","",IFERROR(INDEX('Asset Register'!$B:$B,MATCH($C224,'Asset Register'!$A:$A,0)),""))</f>
        <v/>
      </c>
      <c r="H224" t="str">
        <f>IFERROR(INDEX('Task Master'!$E:$E,MATCH($F224&amp;"||"&amp;$G224,'Task Master'!$K:$K,0)),"")</f>
        <v/>
      </c>
      <c r="I224" t="str">
        <f>IFERROR(INDEX('Task Master'!$F:$F,MATCH($F224&amp;"||"&amp;$G224,'Task Master'!$K:$K,0)),"")</f>
        <v/>
      </c>
      <c r="J224" t="str">
        <f>IFERROR(INDEX('Task Master'!$H:$H,MATCH($F224&amp;"||"&amp;$G224,'Task Master'!$K:$K,0)),"")</f>
        <v/>
      </c>
      <c r="N224" s="18" t="str">
        <f t="shared" si="25"/>
        <v/>
      </c>
      <c r="R224" s="18">
        <f t="shared" si="26"/>
        <v>0</v>
      </c>
      <c r="V224" s="18">
        <f t="shared" si="27"/>
        <v>0</v>
      </c>
      <c r="Z224" s="18">
        <f t="shared" si="28"/>
        <v>0</v>
      </c>
      <c r="AA224" s="18"/>
      <c r="AB224" s="18">
        <f t="shared" si="29"/>
        <v>0</v>
      </c>
      <c r="AC224" s="18" t="str">
        <f t="shared" si="30"/>
        <v/>
      </c>
      <c r="AD224" s="18" t="str">
        <f t="shared" si="31"/>
        <v/>
      </c>
      <c r="AF224" t="str">
        <f>IFERROR(INDEX('Task Master'!$D:$D,MATCH($F224,'Task Master'!$C:$C,0)),"")</f>
        <v/>
      </c>
    </row>
    <row r="225" spans="1:32" x14ac:dyDescent="0.25">
      <c r="A225" t="str">
        <f t="shared" si="24"/>
        <v/>
      </c>
      <c r="B225" s="16"/>
      <c r="D225" t="str">
        <f>IF($C225="","",IFERROR(INDEX('Asset Register'!$B:$B,MATCH($C225,'Asset Register'!$A:$A,0)),""))</f>
        <v/>
      </c>
      <c r="H225" t="str">
        <f>IFERROR(INDEX('Task Master'!$E:$E,MATCH($F225&amp;"||"&amp;$G225,'Task Master'!$K:$K,0)),"")</f>
        <v/>
      </c>
      <c r="I225" t="str">
        <f>IFERROR(INDEX('Task Master'!$F:$F,MATCH($F225&amp;"||"&amp;$G225,'Task Master'!$K:$K,0)),"")</f>
        <v/>
      </c>
      <c r="J225" t="str">
        <f>IFERROR(INDEX('Task Master'!$H:$H,MATCH($F225&amp;"||"&amp;$G225,'Task Master'!$K:$K,0)),"")</f>
        <v/>
      </c>
      <c r="N225" s="18" t="str">
        <f t="shared" si="25"/>
        <v/>
      </c>
      <c r="R225" s="18">
        <f t="shared" si="26"/>
        <v>0</v>
      </c>
      <c r="V225" s="18">
        <f t="shared" si="27"/>
        <v>0</v>
      </c>
      <c r="Z225" s="18">
        <f t="shared" si="28"/>
        <v>0</v>
      </c>
      <c r="AA225" s="18"/>
      <c r="AB225" s="18">
        <f t="shared" si="29"/>
        <v>0</v>
      </c>
      <c r="AC225" s="18" t="str">
        <f t="shared" si="30"/>
        <v/>
      </c>
      <c r="AD225" s="18" t="str">
        <f t="shared" si="31"/>
        <v/>
      </c>
      <c r="AF225" t="str">
        <f>IFERROR(INDEX('Task Master'!$D:$D,MATCH($F225,'Task Master'!$C:$C,0)),"")</f>
        <v/>
      </c>
    </row>
    <row r="226" spans="1:32" x14ac:dyDescent="0.25">
      <c r="A226" t="str">
        <f t="shared" si="24"/>
        <v/>
      </c>
      <c r="B226" s="16"/>
      <c r="D226" t="str">
        <f>IF($C226="","",IFERROR(INDEX('Asset Register'!$B:$B,MATCH($C226,'Asset Register'!$A:$A,0)),""))</f>
        <v/>
      </c>
      <c r="H226" t="str">
        <f>IFERROR(INDEX('Task Master'!$E:$E,MATCH($F226&amp;"||"&amp;$G226,'Task Master'!$K:$K,0)),"")</f>
        <v/>
      </c>
      <c r="I226" t="str">
        <f>IFERROR(INDEX('Task Master'!$F:$F,MATCH($F226&amp;"||"&amp;$G226,'Task Master'!$K:$K,0)),"")</f>
        <v/>
      </c>
      <c r="J226" t="str">
        <f>IFERROR(INDEX('Task Master'!$H:$H,MATCH($F226&amp;"||"&amp;$G226,'Task Master'!$K:$K,0)),"")</f>
        <v/>
      </c>
      <c r="N226" s="18" t="str">
        <f t="shared" si="25"/>
        <v/>
      </c>
      <c r="R226" s="18">
        <f t="shared" si="26"/>
        <v>0</v>
      </c>
      <c r="V226" s="18">
        <f t="shared" si="27"/>
        <v>0</v>
      </c>
      <c r="Z226" s="18">
        <f t="shared" si="28"/>
        <v>0</v>
      </c>
      <c r="AA226" s="18"/>
      <c r="AB226" s="18">
        <f t="shared" si="29"/>
        <v>0</v>
      </c>
      <c r="AC226" s="18" t="str">
        <f t="shared" si="30"/>
        <v/>
      </c>
      <c r="AD226" s="18" t="str">
        <f t="shared" si="31"/>
        <v/>
      </c>
      <c r="AF226" t="str">
        <f>IFERROR(INDEX('Task Master'!$D:$D,MATCH($F226,'Task Master'!$C:$C,0)),"")</f>
        <v/>
      </c>
    </row>
    <row r="227" spans="1:32" x14ac:dyDescent="0.25">
      <c r="A227" t="str">
        <f t="shared" si="24"/>
        <v/>
      </c>
      <c r="B227" s="16"/>
      <c r="D227" t="str">
        <f>IF($C227="","",IFERROR(INDEX('Asset Register'!$B:$B,MATCH($C227,'Asset Register'!$A:$A,0)),""))</f>
        <v/>
      </c>
      <c r="H227" t="str">
        <f>IFERROR(INDEX('Task Master'!$E:$E,MATCH($F227&amp;"||"&amp;$G227,'Task Master'!$K:$K,0)),"")</f>
        <v/>
      </c>
      <c r="I227" t="str">
        <f>IFERROR(INDEX('Task Master'!$F:$F,MATCH($F227&amp;"||"&amp;$G227,'Task Master'!$K:$K,0)),"")</f>
        <v/>
      </c>
      <c r="J227" t="str">
        <f>IFERROR(INDEX('Task Master'!$H:$H,MATCH($F227&amp;"||"&amp;$G227,'Task Master'!$K:$K,0)),"")</f>
        <v/>
      </c>
      <c r="N227" s="18" t="str">
        <f t="shared" si="25"/>
        <v/>
      </c>
      <c r="R227" s="18">
        <f t="shared" si="26"/>
        <v>0</v>
      </c>
      <c r="V227" s="18">
        <f t="shared" si="27"/>
        <v>0</v>
      </c>
      <c r="Z227" s="18">
        <f t="shared" si="28"/>
        <v>0</v>
      </c>
      <c r="AA227" s="18"/>
      <c r="AB227" s="18">
        <f t="shared" si="29"/>
        <v>0</v>
      </c>
      <c r="AC227" s="18" t="str">
        <f t="shared" si="30"/>
        <v/>
      </c>
      <c r="AD227" s="18" t="str">
        <f t="shared" si="31"/>
        <v/>
      </c>
      <c r="AF227" t="str">
        <f>IFERROR(INDEX('Task Master'!$D:$D,MATCH($F227,'Task Master'!$C:$C,0)),"")</f>
        <v/>
      </c>
    </row>
    <row r="228" spans="1:32" x14ac:dyDescent="0.25">
      <c r="A228" t="str">
        <f t="shared" si="24"/>
        <v/>
      </c>
      <c r="B228" s="16"/>
      <c r="D228" t="str">
        <f>IF($C228="","",IFERROR(INDEX('Asset Register'!$B:$B,MATCH($C228,'Asset Register'!$A:$A,0)),""))</f>
        <v/>
      </c>
      <c r="H228" t="str">
        <f>IFERROR(INDEX('Task Master'!$E:$E,MATCH($F228&amp;"||"&amp;$G228,'Task Master'!$K:$K,0)),"")</f>
        <v/>
      </c>
      <c r="I228" t="str">
        <f>IFERROR(INDEX('Task Master'!$F:$F,MATCH($F228&amp;"||"&amp;$G228,'Task Master'!$K:$K,0)),"")</f>
        <v/>
      </c>
      <c r="J228" t="str">
        <f>IFERROR(INDEX('Task Master'!$H:$H,MATCH($F228&amp;"||"&amp;$G228,'Task Master'!$K:$K,0)),"")</f>
        <v/>
      </c>
      <c r="N228" s="18" t="str">
        <f t="shared" si="25"/>
        <v/>
      </c>
      <c r="R228" s="18">
        <f t="shared" si="26"/>
        <v>0</v>
      </c>
      <c r="V228" s="18">
        <f t="shared" si="27"/>
        <v>0</v>
      </c>
      <c r="Z228" s="18">
        <f t="shared" si="28"/>
        <v>0</v>
      </c>
      <c r="AA228" s="18"/>
      <c r="AB228" s="18">
        <f t="shared" si="29"/>
        <v>0</v>
      </c>
      <c r="AC228" s="18" t="str">
        <f t="shared" si="30"/>
        <v/>
      </c>
      <c r="AD228" s="18" t="str">
        <f t="shared" si="31"/>
        <v/>
      </c>
      <c r="AF228" t="str">
        <f>IFERROR(INDEX('Task Master'!$D:$D,MATCH($F228,'Task Master'!$C:$C,0)),"")</f>
        <v/>
      </c>
    </row>
    <row r="229" spans="1:32" x14ac:dyDescent="0.25">
      <c r="A229" t="str">
        <f t="shared" si="24"/>
        <v/>
      </c>
      <c r="B229" s="16"/>
      <c r="D229" t="str">
        <f>IF($C229="","",IFERROR(INDEX('Asset Register'!$B:$B,MATCH($C229,'Asset Register'!$A:$A,0)),""))</f>
        <v/>
      </c>
      <c r="H229" t="str">
        <f>IFERROR(INDEX('Task Master'!$E:$E,MATCH($F229&amp;"||"&amp;$G229,'Task Master'!$K:$K,0)),"")</f>
        <v/>
      </c>
      <c r="I229" t="str">
        <f>IFERROR(INDEX('Task Master'!$F:$F,MATCH($F229&amp;"||"&amp;$G229,'Task Master'!$K:$K,0)),"")</f>
        <v/>
      </c>
      <c r="J229" t="str">
        <f>IFERROR(INDEX('Task Master'!$H:$H,MATCH($F229&amp;"||"&amp;$G229,'Task Master'!$K:$K,0)),"")</f>
        <v/>
      </c>
      <c r="N229" s="18" t="str">
        <f t="shared" si="25"/>
        <v/>
      </c>
      <c r="R229" s="18">
        <f t="shared" si="26"/>
        <v>0</v>
      </c>
      <c r="V229" s="18">
        <f t="shared" si="27"/>
        <v>0</v>
      </c>
      <c r="Z229" s="18">
        <f t="shared" si="28"/>
        <v>0</v>
      </c>
      <c r="AA229" s="18"/>
      <c r="AB229" s="18">
        <f t="shared" si="29"/>
        <v>0</v>
      </c>
      <c r="AC229" s="18" t="str">
        <f t="shared" si="30"/>
        <v/>
      </c>
      <c r="AD229" s="18" t="str">
        <f t="shared" si="31"/>
        <v/>
      </c>
      <c r="AF229" t="str">
        <f>IFERROR(INDEX('Task Master'!$D:$D,MATCH($F229,'Task Master'!$C:$C,0)),"")</f>
        <v/>
      </c>
    </row>
    <row r="230" spans="1:32" x14ac:dyDescent="0.25">
      <c r="A230" t="str">
        <f t="shared" si="24"/>
        <v/>
      </c>
      <c r="B230" s="16"/>
      <c r="D230" t="str">
        <f>IF($C230="","",IFERROR(INDEX('Asset Register'!$B:$B,MATCH($C230,'Asset Register'!$A:$A,0)),""))</f>
        <v/>
      </c>
      <c r="H230" t="str">
        <f>IFERROR(INDEX('Task Master'!$E:$E,MATCH($F230&amp;"||"&amp;$G230,'Task Master'!$K:$K,0)),"")</f>
        <v/>
      </c>
      <c r="I230" t="str">
        <f>IFERROR(INDEX('Task Master'!$F:$F,MATCH($F230&amp;"||"&amp;$G230,'Task Master'!$K:$K,0)),"")</f>
        <v/>
      </c>
      <c r="J230" t="str">
        <f>IFERROR(INDEX('Task Master'!$H:$H,MATCH($F230&amp;"||"&amp;$G230,'Task Master'!$K:$K,0)),"")</f>
        <v/>
      </c>
      <c r="N230" s="18" t="str">
        <f t="shared" si="25"/>
        <v/>
      </c>
      <c r="R230" s="18">
        <f t="shared" si="26"/>
        <v>0</v>
      </c>
      <c r="V230" s="18">
        <f t="shared" si="27"/>
        <v>0</v>
      </c>
      <c r="Z230" s="18">
        <f t="shared" si="28"/>
        <v>0</v>
      </c>
      <c r="AA230" s="18"/>
      <c r="AB230" s="18">
        <f t="shared" si="29"/>
        <v>0</v>
      </c>
      <c r="AC230" s="18" t="str">
        <f t="shared" si="30"/>
        <v/>
      </c>
      <c r="AD230" s="18" t="str">
        <f t="shared" si="31"/>
        <v/>
      </c>
      <c r="AF230" t="str">
        <f>IFERROR(INDEX('Task Master'!$D:$D,MATCH($F230,'Task Master'!$C:$C,0)),"")</f>
        <v/>
      </c>
    </row>
    <row r="231" spans="1:32" x14ac:dyDescent="0.25">
      <c r="A231" t="str">
        <f t="shared" si="24"/>
        <v/>
      </c>
      <c r="B231" s="16"/>
      <c r="D231" t="str">
        <f>IF($C231="","",IFERROR(INDEX('Asset Register'!$B:$B,MATCH($C231,'Asset Register'!$A:$A,0)),""))</f>
        <v/>
      </c>
      <c r="H231" t="str">
        <f>IFERROR(INDEX('Task Master'!$E:$E,MATCH($F231&amp;"||"&amp;$G231,'Task Master'!$K:$K,0)),"")</f>
        <v/>
      </c>
      <c r="I231" t="str">
        <f>IFERROR(INDEX('Task Master'!$F:$F,MATCH($F231&amp;"||"&amp;$G231,'Task Master'!$K:$K,0)),"")</f>
        <v/>
      </c>
      <c r="J231" t="str">
        <f>IFERROR(INDEX('Task Master'!$H:$H,MATCH($F231&amp;"||"&amp;$G231,'Task Master'!$K:$K,0)),"")</f>
        <v/>
      </c>
      <c r="N231" s="18" t="str">
        <f t="shared" si="25"/>
        <v/>
      </c>
      <c r="R231" s="18">
        <f t="shared" si="26"/>
        <v>0</v>
      </c>
      <c r="V231" s="18">
        <f t="shared" si="27"/>
        <v>0</v>
      </c>
      <c r="Z231" s="18">
        <f t="shared" si="28"/>
        <v>0</v>
      </c>
      <c r="AA231" s="18"/>
      <c r="AB231" s="18">
        <f t="shared" si="29"/>
        <v>0</v>
      </c>
      <c r="AC231" s="18" t="str">
        <f t="shared" si="30"/>
        <v/>
      </c>
      <c r="AD231" s="18" t="str">
        <f t="shared" si="31"/>
        <v/>
      </c>
      <c r="AF231" t="str">
        <f>IFERROR(INDEX('Task Master'!$D:$D,MATCH($F231,'Task Master'!$C:$C,0)),"")</f>
        <v/>
      </c>
    </row>
    <row r="232" spans="1:32" x14ac:dyDescent="0.25">
      <c r="A232" t="str">
        <f t="shared" si="24"/>
        <v/>
      </c>
      <c r="B232" s="16"/>
      <c r="D232" t="str">
        <f>IF($C232="","",IFERROR(INDEX('Asset Register'!$B:$B,MATCH($C232,'Asset Register'!$A:$A,0)),""))</f>
        <v/>
      </c>
      <c r="H232" t="str">
        <f>IFERROR(INDEX('Task Master'!$E:$E,MATCH($F232&amp;"||"&amp;$G232,'Task Master'!$K:$K,0)),"")</f>
        <v/>
      </c>
      <c r="I232" t="str">
        <f>IFERROR(INDEX('Task Master'!$F:$F,MATCH($F232&amp;"||"&amp;$G232,'Task Master'!$K:$K,0)),"")</f>
        <v/>
      </c>
      <c r="J232" t="str">
        <f>IFERROR(INDEX('Task Master'!$H:$H,MATCH($F232&amp;"||"&amp;$G232,'Task Master'!$K:$K,0)),"")</f>
        <v/>
      </c>
      <c r="N232" s="18" t="str">
        <f t="shared" si="25"/>
        <v/>
      </c>
      <c r="R232" s="18">
        <f t="shared" si="26"/>
        <v>0</v>
      </c>
      <c r="V232" s="18">
        <f t="shared" si="27"/>
        <v>0</v>
      </c>
      <c r="Z232" s="18">
        <f t="shared" si="28"/>
        <v>0</v>
      </c>
      <c r="AA232" s="18"/>
      <c r="AB232" s="18">
        <f t="shared" si="29"/>
        <v>0</v>
      </c>
      <c r="AC232" s="18" t="str">
        <f t="shared" si="30"/>
        <v/>
      </c>
      <c r="AD232" s="18" t="str">
        <f t="shared" si="31"/>
        <v/>
      </c>
      <c r="AF232" t="str">
        <f>IFERROR(INDEX('Task Master'!$D:$D,MATCH($F232,'Task Master'!$C:$C,0)),"")</f>
        <v/>
      </c>
    </row>
    <row r="233" spans="1:32" x14ac:dyDescent="0.25">
      <c r="A233" t="str">
        <f t="shared" si="24"/>
        <v/>
      </c>
      <c r="B233" s="16"/>
      <c r="D233" t="str">
        <f>IF($C233="","",IFERROR(INDEX('Asset Register'!$B:$B,MATCH($C233,'Asset Register'!$A:$A,0)),""))</f>
        <v/>
      </c>
      <c r="H233" t="str">
        <f>IFERROR(INDEX('Task Master'!$E:$E,MATCH($F233&amp;"||"&amp;$G233,'Task Master'!$K:$K,0)),"")</f>
        <v/>
      </c>
      <c r="I233" t="str">
        <f>IFERROR(INDEX('Task Master'!$F:$F,MATCH($F233&amp;"||"&amp;$G233,'Task Master'!$K:$K,0)),"")</f>
        <v/>
      </c>
      <c r="J233" t="str">
        <f>IFERROR(INDEX('Task Master'!$H:$H,MATCH($F233&amp;"||"&amp;$G233,'Task Master'!$K:$K,0)),"")</f>
        <v/>
      </c>
      <c r="N233" s="18" t="str">
        <f t="shared" si="25"/>
        <v/>
      </c>
      <c r="R233" s="18">
        <f t="shared" si="26"/>
        <v>0</v>
      </c>
      <c r="V233" s="18">
        <f t="shared" si="27"/>
        <v>0</v>
      </c>
      <c r="Z233" s="18">
        <f t="shared" si="28"/>
        <v>0</v>
      </c>
      <c r="AA233" s="18"/>
      <c r="AB233" s="18">
        <f t="shared" si="29"/>
        <v>0</v>
      </c>
      <c r="AC233" s="18" t="str">
        <f t="shared" si="30"/>
        <v/>
      </c>
      <c r="AD233" s="18" t="str">
        <f t="shared" si="31"/>
        <v/>
      </c>
      <c r="AF233" t="str">
        <f>IFERROR(INDEX('Task Master'!$D:$D,MATCH($F233,'Task Master'!$C:$C,0)),"")</f>
        <v/>
      </c>
    </row>
    <row r="234" spans="1:32" x14ac:dyDescent="0.25">
      <c r="A234" t="str">
        <f t="shared" si="24"/>
        <v/>
      </c>
      <c r="B234" s="16"/>
      <c r="D234" t="str">
        <f>IF($C234="","",IFERROR(INDEX('Asset Register'!$B:$B,MATCH($C234,'Asset Register'!$A:$A,0)),""))</f>
        <v/>
      </c>
      <c r="H234" t="str">
        <f>IFERROR(INDEX('Task Master'!$E:$E,MATCH($F234&amp;"||"&amp;$G234,'Task Master'!$K:$K,0)),"")</f>
        <v/>
      </c>
      <c r="I234" t="str">
        <f>IFERROR(INDEX('Task Master'!$F:$F,MATCH($F234&amp;"||"&amp;$G234,'Task Master'!$K:$K,0)),"")</f>
        <v/>
      </c>
      <c r="J234" t="str">
        <f>IFERROR(INDEX('Task Master'!$H:$H,MATCH($F234&amp;"||"&amp;$G234,'Task Master'!$K:$K,0)),"")</f>
        <v/>
      </c>
      <c r="N234" s="18" t="str">
        <f t="shared" si="25"/>
        <v/>
      </c>
      <c r="R234" s="18">
        <f t="shared" si="26"/>
        <v>0</v>
      </c>
      <c r="V234" s="18">
        <f t="shared" si="27"/>
        <v>0</v>
      </c>
      <c r="Z234" s="18">
        <f t="shared" si="28"/>
        <v>0</v>
      </c>
      <c r="AA234" s="18"/>
      <c r="AB234" s="18">
        <f t="shared" si="29"/>
        <v>0</v>
      </c>
      <c r="AC234" s="18" t="str">
        <f t="shared" si="30"/>
        <v/>
      </c>
      <c r="AD234" s="18" t="str">
        <f t="shared" si="31"/>
        <v/>
      </c>
      <c r="AF234" t="str">
        <f>IFERROR(INDEX('Task Master'!$D:$D,MATCH($F234,'Task Master'!$C:$C,0)),"")</f>
        <v/>
      </c>
    </row>
    <row r="235" spans="1:32" x14ac:dyDescent="0.25">
      <c r="A235" t="str">
        <f t="shared" si="24"/>
        <v/>
      </c>
      <c r="B235" s="16"/>
      <c r="D235" t="str">
        <f>IF($C235="","",IFERROR(INDEX('Asset Register'!$B:$B,MATCH($C235,'Asset Register'!$A:$A,0)),""))</f>
        <v/>
      </c>
      <c r="H235" t="str">
        <f>IFERROR(INDEX('Task Master'!$E:$E,MATCH($F235&amp;"||"&amp;$G235,'Task Master'!$K:$K,0)),"")</f>
        <v/>
      </c>
      <c r="I235" t="str">
        <f>IFERROR(INDEX('Task Master'!$F:$F,MATCH($F235&amp;"||"&amp;$G235,'Task Master'!$K:$K,0)),"")</f>
        <v/>
      </c>
      <c r="J235" t="str">
        <f>IFERROR(INDEX('Task Master'!$H:$H,MATCH($F235&amp;"||"&amp;$G235,'Task Master'!$K:$K,0)),"")</f>
        <v/>
      </c>
      <c r="N235" s="18" t="str">
        <f t="shared" si="25"/>
        <v/>
      </c>
      <c r="R235" s="18">
        <f t="shared" si="26"/>
        <v>0</v>
      </c>
      <c r="V235" s="18">
        <f t="shared" si="27"/>
        <v>0</v>
      </c>
      <c r="Z235" s="18">
        <f t="shared" si="28"/>
        <v>0</v>
      </c>
      <c r="AA235" s="18"/>
      <c r="AB235" s="18">
        <f t="shared" si="29"/>
        <v>0</v>
      </c>
      <c r="AC235" s="18" t="str">
        <f t="shared" si="30"/>
        <v/>
      </c>
      <c r="AD235" s="18" t="str">
        <f t="shared" si="31"/>
        <v/>
      </c>
      <c r="AF235" t="str">
        <f>IFERROR(INDEX('Task Master'!$D:$D,MATCH($F235,'Task Master'!$C:$C,0)),"")</f>
        <v/>
      </c>
    </row>
    <row r="236" spans="1:32" x14ac:dyDescent="0.25">
      <c r="A236" t="str">
        <f t="shared" si="24"/>
        <v/>
      </c>
      <c r="B236" s="16"/>
      <c r="D236" t="str">
        <f>IF($C236="","",IFERROR(INDEX('Asset Register'!$B:$B,MATCH($C236,'Asset Register'!$A:$A,0)),""))</f>
        <v/>
      </c>
      <c r="H236" t="str">
        <f>IFERROR(INDEX('Task Master'!$E:$E,MATCH($F236&amp;"||"&amp;$G236,'Task Master'!$K:$K,0)),"")</f>
        <v/>
      </c>
      <c r="I236" t="str">
        <f>IFERROR(INDEX('Task Master'!$F:$F,MATCH($F236&amp;"||"&amp;$G236,'Task Master'!$K:$K,0)),"")</f>
        <v/>
      </c>
      <c r="J236" t="str">
        <f>IFERROR(INDEX('Task Master'!$H:$H,MATCH($F236&amp;"||"&amp;$G236,'Task Master'!$K:$K,0)),"")</f>
        <v/>
      </c>
      <c r="N236" s="18" t="str">
        <f t="shared" si="25"/>
        <v/>
      </c>
      <c r="R236" s="18">
        <f t="shared" si="26"/>
        <v>0</v>
      </c>
      <c r="V236" s="18">
        <f t="shared" si="27"/>
        <v>0</v>
      </c>
      <c r="Z236" s="18">
        <f t="shared" si="28"/>
        <v>0</v>
      </c>
      <c r="AA236" s="18"/>
      <c r="AB236" s="18">
        <f t="shared" si="29"/>
        <v>0</v>
      </c>
      <c r="AC236" s="18" t="str">
        <f t="shared" si="30"/>
        <v/>
      </c>
      <c r="AD236" s="18" t="str">
        <f t="shared" si="31"/>
        <v/>
      </c>
      <c r="AF236" t="str">
        <f>IFERROR(INDEX('Task Master'!$D:$D,MATCH($F236,'Task Master'!$C:$C,0)),"")</f>
        <v/>
      </c>
    </row>
    <row r="237" spans="1:32" x14ac:dyDescent="0.25">
      <c r="A237" t="str">
        <f t="shared" si="24"/>
        <v/>
      </c>
      <c r="B237" s="16"/>
      <c r="D237" t="str">
        <f>IF($C237="","",IFERROR(INDEX('Asset Register'!$B:$B,MATCH($C237,'Asset Register'!$A:$A,0)),""))</f>
        <v/>
      </c>
      <c r="H237" t="str">
        <f>IFERROR(INDEX('Task Master'!$E:$E,MATCH($F237&amp;"||"&amp;$G237,'Task Master'!$K:$K,0)),"")</f>
        <v/>
      </c>
      <c r="I237" t="str">
        <f>IFERROR(INDEX('Task Master'!$F:$F,MATCH($F237&amp;"||"&amp;$G237,'Task Master'!$K:$K,0)),"")</f>
        <v/>
      </c>
      <c r="J237" t="str">
        <f>IFERROR(INDEX('Task Master'!$H:$H,MATCH($F237&amp;"||"&amp;$G237,'Task Master'!$K:$K,0)),"")</f>
        <v/>
      </c>
      <c r="N237" s="18" t="str">
        <f t="shared" si="25"/>
        <v/>
      </c>
      <c r="R237" s="18">
        <f t="shared" si="26"/>
        <v>0</v>
      </c>
      <c r="V237" s="18">
        <f t="shared" si="27"/>
        <v>0</v>
      </c>
      <c r="Z237" s="18">
        <f t="shared" si="28"/>
        <v>0</v>
      </c>
      <c r="AA237" s="18"/>
      <c r="AB237" s="18">
        <f t="shared" si="29"/>
        <v>0</v>
      </c>
      <c r="AC237" s="18" t="str">
        <f t="shared" si="30"/>
        <v/>
      </c>
      <c r="AD237" s="18" t="str">
        <f t="shared" si="31"/>
        <v/>
      </c>
      <c r="AF237" t="str">
        <f>IFERROR(INDEX('Task Master'!$D:$D,MATCH($F237,'Task Master'!$C:$C,0)),"")</f>
        <v/>
      </c>
    </row>
    <row r="238" spans="1:32" x14ac:dyDescent="0.25">
      <c r="A238" t="str">
        <f t="shared" si="24"/>
        <v/>
      </c>
      <c r="B238" s="16"/>
      <c r="D238" t="str">
        <f>IF($C238="","",IFERROR(INDEX('Asset Register'!$B:$B,MATCH($C238,'Asset Register'!$A:$A,0)),""))</f>
        <v/>
      </c>
      <c r="H238" t="str">
        <f>IFERROR(INDEX('Task Master'!$E:$E,MATCH($F238&amp;"||"&amp;$G238,'Task Master'!$K:$K,0)),"")</f>
        <v/>
      </c>
      <c r="I238" t="str">
        <f>IFERROR(INDEX('Task Master'!$F:$F,MATCH($F238&amp;"||"&amp;$G238,'Task Master'!$K:$K,0)),"")</f>
        <v/>
      </c>
      <c r="J238" t="str">
        <f>IFERROR(INDEX('Task Master'!$H:$H,MATCH($F238&amp;"||"&amp;$G238,'Task Master'!$K:$K,0)),"")</f>
        <v/>
      </c>
      <c r="N238" s="18" t="str">
        <f t="shared" si="25"/>
        <v/>
      </c>
      <c r="R238" s="18">
        <f t="shared" si="26"/>
        <v>0</v>
      </c>
      <c r="V238" s="18">
        <f t="shared" si="27"/>
        <v>0</v>
      </c>
      <c r="Z238" s="18">
        <f t="shared" si="28"/>
        <v>0</v>
      </c>
      <c r="AA238" s="18"/>
      <c r="AB238" s="18">
        <f t="shared" si="29"/>
        <v>0</v>
      </c>
      <c r="AC238" s="18" t="str">
        <f t="shared" si="30"/>
        <v/>
      </c>
      <c r="AD238" s="18" t="str">
        <f t="shared" si="31"/>
        <v/>
      </c>
      <c r="AF238" t="str">
        <f>IFERROR(INDEX('Task Master'!$D:$D,MATCH($F238,'Task Master'!$C:$C,0)),"")</f>
        <v/>
      </c>
    </row>
    <row r="239" spans="1:32" x14ac:dyDescent="0.25">
      <c r="A239" t="str">
        <f t="shared" si="24"/>
        <v/>
      </c>
      <c r="B239" s="16"/>
      <c r="D239" t="str">
        <f>IF($C239="","",IFERROR(INDEX('Asset Register'!$B:$B,MATCH($C239,'Asset Register'!$A:$A,0)),""))</f>
        <v/>
      </c>
      <c r="H239" t="str">
        <f>IFERROR(INDEX('Task Master'!$E:$E,MATCH($F239&amp;"||"&amp;$G239,'Task Master'!$K:$K,0)),"")</f>
        <v/>
      </c>
      <c r="I239" t="str">
        <f>IFERROR(INDEX('Task Master'!$F:$F,MATCH($F239&amp;"||"&amp;$G239,'Task Master'!$K:$K,0)),"")</f>
        <v/>
      </c>
      <c r="J239" t="str">
        <f>IFERROR(INDEX('Task Master'!$H:$H,MATCH($F239&amp;"||"&amp;$G239,'Task Master'!$K:$K,0)),"")</f>
        <v/>
      </c>
      <c r="N239" s="18" t="str">
        <f t="shared" si="25"/>
        <v/>
      </c>
      <c r="R239" s="18">
        <f t="shared" si="26"/>
        <v>0</v>
      </c>
      <c r="V239" s="18">
        <f t="shared" si="27"/>
        <v>0</v>
      </c>
      <c r="Z239" s="18">
        <f t="shared" si="28"/>
        <v>0</v>
      </c>
      <c r="AA239" s="18"/>
      <c r="AB239" s="18">
        <f t="shared" si="29"/>
        <v>0</v>
      </c>
      <c r="AC239" s="18" t="str">
        <f t="shared" si="30"/>
        <v/>
      </c>
      <c r="AD239" s="18" t="str">
        <f t="shared" si="31"/>
        <v/>
      </c>
      <c r="AF239" t="str">
        <f>IFERROR(INDEX('Task Master'!$D:$D,MATCH($F239,'Task Master'!$C:$C,0)),"")</f>
        <v/>
      </c>
    </row>
    <row r="240" spans="1:32" x14ac:dyDescent="0.25">
      <c r="A240" t="str">
        <f t="shared" si="24"/>
        <v/>
      </c>
      <c r="B240" s="16"/>
      <c r="D240" t="str">
        <f>IF($C240="","",IFERROR(INDEX('Asset Register'!$B:$B,MATCH($C240,'Asset Register'!$A:$A,0)),""))</f>
        <v/>
      </c>
      <c r="H240" t="str">
        <f>IFERROR(INDEX('Task Master'!$E:$E,MATCH($F240&amp;"||"&amp;$G240,'Task Master'!$K:$K,0)),"")</f>
        <v/>
      </c>
      <c r="I240" t="str">
        <f>IFERROR(INDEX('Task Master'!$F:$F,MATCH($F240&amp;"||"&amp;$G240,'Task Master'!$K:$K,0)),"")</f>
        <v/>
      </c>
      <c r="J240" t="str">
        <f>IFERROR(INDEX('Task Master'!$H:$H,MATCH($F240&amp;"||"&amp;$G240,'Task Master'!$K:$K,0)),"")</f>
        <v/>
      </c>
      <c r="N240" s="18" t="str">
        <f t="shared" si="25"/>
        <v/>
      </c>
      <c r="R240" s="18">
        <f t="shared" si="26"/>
        <v>0</v>
      </c>
      <c r="V240" s="18">
        <f t="shared" si="27"/>
        <v>0</v>
      </c>
      <c r="Z240" s="18">
        <f t="shared" si="28"/>
        <v>0</v>
      </c>
      <c r="AA240" s="18"/>
      <c r="AB240" s="18">
        <f t="shared" si="29"/>
        <v>0</v>
      </c>
      <c r="AC240" s="18" t="str">
        <f t="shared" si="30"/>
        <v/>
      </c>
      <c r="AD240" s="18" t="str">
        <f t="shared" si="31"/>
        <v/>
      </c>
      <c r="AF240" t="str">
        <f>IFERROR(INDEX('Task Master'!$D:$D,MATCH($F240,'Task Master'!$C:$C,0)),"")</f>
        <v/>
      </c>
    </row>
    <row r="241" spans="1:32" x14ac:dyDescent="0.25">
      <c r="A241" t="str">
        <f t="shared" si="24"/>
        <v/>
      </c>
      <c r="B241" s="16"/>
      <c r="D241" t="str">
        <f>IF($C241="","",IFERROR(INDEX('Asset Register'!$B:$B,MATCH($C241,'Asset Register'!$A:$A,0)),""))</f>
        <v/>
      </c>
      <c r="H241" t="str">
        <f>IFERROR(INDEX('Task Master'!$E:$E,MATCH($F241&amp;"||"&amp;$G241,'Task Master'!$K:$K,0)),"")</f>
        <v/>
      </c>
      <c r="I241" t="str">
        <f>IFERROR(INDEX('Task Master'!$F:$F,MATCH($F241&amp;"||"&amp;$G241,'Task Master'!$K:$K,0)),"")</f>
        <v/>
      </c>
      <c r="J241" t="str">
        <f>IFERROR(INDEX('Task Master'!$H:$H,MATCH($F241&amp;"||"&amp;$G241,'Task Master'!$K:$K,0)),"")</f>
        <v/>
      </c>
      <c r="N241" s="18" t="str">
        <f t="shared" si="25"/>
        <v/>
      </c>
      <c r="R241" s="18">
        <f t="shared" si="26"/>
        <v>0</v>
      </c>
      <c r="V241" s="18">
        <f t="shared" si="27"/>
        <v>0</v>
      </c>
      <c r="Z241" s="18">
        <f t="shared" si="28"/>
        <v>0</v>
      </c>
      <c r="AA241" s="18"/>
      <c r="AB241" s="18">
        <f t="shared" si="29"/>
        <v>0</v>
      </c>
      <c r="AC241" s="18" t="str">
        <f t="shared" si="30"/>
        <v/>
      </c>
      <c r="AD241" s="18" t="str">
        <f t="shared" si="31"/>
        <v/>
      </c>
      <c r="AF241" t="str">
        <f>IFERROR(INDEX('Task Master'!$D:$D,MATCH($F241,'Task Master'!$C:$C,0)),"")</f>
        <v/>
      </c>
    </row>
    <row r="242" spans="1:32" x14ac:dyDescent="0.25">
      <c r="A242" t="str">
        <f t="shared" si="24"/>
        <v/>
      </c>
      <c r="B242" s="16"/>
      <c r="D242" t="str">
        <f>IF($C242="","",IFERROR(INDEX('Asset Register'!$B:$B,MATCH($C242,'Asset Register'!$A:$A,0)),""))</f>
        <v/>
      </c>
      <c r="H242" t="str">
        <f>IFERROR(INDEX('Task Master'!$E:$E,MATCH($F242&amp;"||"&amp;$G242,'Task Master'!$K:$K,0)),"")</f>
        <v/>
      </c>
      <c r="I242" t="str">
        <f>IFERROR(INDEX('Task Master'!$F:$F,MATCH($F242&amp;"||"&amp;$G242,'Task Master'!$K:$K,0)),"")</f>
        <v/>
      </c>
      <c r="J242" t="str">
        <f>IFERROR(INDEX('Task Master'!$H:$H,MATCH($F242&amp;"||"&amp;$G242,'Task Master'!$K:$K,0)),"")</f>
        <v/>
      </c>
      <c r="N242" s="18" t="str">
        <f t="shared" si="25"/>
        <v/>
      </c>
      <c r="R242" s="18">
        <f t="shared" si="26"/>
        <v>0</v>
      </c>
      <c r="V242" s="18">
        <f t="shared" si="27"/>
        <v>0</v>
      </c>
      <c r="Z242" s="18">
        <f t="shared" si="28"/>
        <v>0</v>
      </c>
      <c r="AA242" s="18"/>
      <c r="AB242" s="18">
        <f t="shared" si="29"/>
        <v>0</v>
      </c>
      <c r="AC242" s="18" t="str">
        <f t="shared" si="30"/>
        <v/>
      </c>
      <c r="AD242" s="18" t="str">
        <f t="shared" si="31"/>
        <v/>
      </c>
      <c r="AF242" t="str">
        <f>IFERROR(INDEX('Task Master'!$D:$D,MATCH($F242,'Task Master'!$C:$C,0)),"")</f>
        <v/>
      </c>
    </row>
    <row r="243" spans="1:32" x14ac:dyDescent="0.25">
      <c r="A243" t="str">
        <f t="shared" si="24"/>
        <v/>
      </c>
      <c r="B243" s="16"/>
      <c r="D243" t="str">
        <f>IF($C243="","",IFERROR(INDEX('Asset Register'!$B:$B,MATCH($C243,'Asset Register'!$A:$A,0)),""))</f>
        <v/>
      </c>
      <c r="H243" t="str">
        <f>IFERROR(INDEX('Task Master'!$E:$E,MATCH($F243&amp;"||"&amp;$G243,'Task Master'!$K:$K,0)),"")</f>
        <v/>
      </c>
      <c r="I243" t="str">
        <f>IFERROR(INDEX('Task Master'!$F:$F,MATCH($F243&amp;"||"&amp;$G243,'Task Master'!$K:$K,0)),"")</f>
        <v/>
      </c>
      <c r="J243" t="str">
        <f>IFERROR(INDEX('Task Master'!$H:$H,MATCH($F243&amp;"||"&amp;$G243,'Task Master'!$K:$K,0)),"")</f>
        <v/>
      </c>
      <c r="N243" s="18" t="str">
        <f t="shared" si="25"/>
        <v/>
      </c>
      <c r="R243" s="18">
        <f t="shared" si="26"/>
        <v>0</v>
      </c>
      <c r="V243" s="18">
        <f t="shared" si="27"/>
        <v>0</v>
      </c>
      <c r="Z243" s="18">
        <f t="shared" si="28"/>
        <v>0</v>
      </c>
      <c r="AA243" s="18"/>
      <c r="AB243" s="18">
        <f t="shared" si="29"/>
        <v>0</v>
      </c>
      <c r="AC243" s="18" t="str">
        <f t="shared" si="30"/>
        <v/>
      </c>
      <c r="AD243" s="18" t="str">
        <f t="shared" si="31"/>
        <v/>
      </c>
      <c r="AF243" t="str">
        <f>IFERROR(INDEX('Task Master'!$D:$D,MATCH($F243,'Task Master'!$C:$C,0)),"")</f>
        <v/>
      </c>
    </row>
    <row r="244" spans="1:32" x14ac:dyDescent="0.25">
      <c r="A244" t="str">
        <f t="shared" si="24"/>
        <v/>
      </c>
      <c r="B244" s="16"/>
      <c r="D244" t="str">
        <f>IF($C244="","",IFERROR(INDEX('Asset Register'!$B:$B,MATCH($C244,'Asset Register'!$A:$A,0)),""))</f>
        <v/>
      </c>
      <c r="H244" t="str">
        <f>IFERROR(INDEX('Task Master'!$E:$E,MATCH($F244&amp;"||"&amp;$G244,'Task Master'!$K:$K,0)),"")</f>
        <v/>
      </c>
      <c r="I244" t="str">
        <f>IFERROR(INDEX('Task Master'!$F:$F,MATCH($F244&amp;"||"&amp;$G244,'Task Master'!$K:$K,0)),"")</f>
        <v/>
      </c>
      <c r="J244" t="str">
        <f>IFERROR(INDEX('Task Master'!$H:$H,MATCH($F244&amp;"||"&amp;$G244,'Task Master'!$K:$K,0)),"")</f>
        <v/>
      </c>
      <c r="N244" s="18" t="str">
        <f t="shared" si="25"/>
        <v/>
      </c>
      <c r="R244" s="18">
        <f t="shared" si="26"/>
        <v>0</v>
      </c>
      <c r="V244" s="18">
        <f t="shared" si="27"/>
        <v>0</v>
      </c>
      <c r="Z244" s="18">
        <f t="shared" si="28"/>
        <v>0</v>
      </c>
      <c r="AA244" s="18"/>
      <c r="AB244" s="18">
        <f t="shared" si="29"/>
        <v>0</v>
      </c>
      <c r="AC244" s="18" t="str">
        <f t="shared" si="30"/>
        <v/>
      </c>
      <c r="AD244" s="18" t="str">
        <f t="shared" si="31"/>
        <v/>
      </c>
      <c r="AF244" t="str">
        <f>IFERROR(INDEX('Task Master'!$D:$D,MATCH($F244,'Task Master'!$C:$C,0)),"")</f>
        <v/>
      </c>
    </row>
    <row r="245" spans="1:32" x14ac:dyDescent="0.25">
      <c r="A245" t="str">
        <f t="shared" si="24"/>
        <v/>
      </c>
      <c r="B245" s="16"/>
      <c r="D245" t="str">
        <f>IF($C245="","",IFERROR(INDEX('Asset Register'!$B:$B,MATCH($C245,'Asset Register'!$A:$A,0)),""))</f>
        <v/>
      </c>
      <c r="H245" t="str">
        <f>IFERROR(INDEX('Task Master'!$E:$E,MATCH($F245&amp;"||"&amp;$G245,'Task Master'!$K:$K,0)),"")</f>
        <v/>
      </c>
      <c r="I245" t="str">
        <f>IFERROR(INDEX('Task Master'!$F:$F,MATCH($F245&amp;"||"&amp;$G245,'Task Master'!$K:$K,0)),"")</f>
        <v/>
      </c>
      <c r="J245" t="str">
        <f>IFERROR(INDEX('Task Master'!$H:$H,MATCH($F245&amp;"||"&amp;$G245,'Task Master'!$K:$K,0)),"")</f>
        <v/>
      </c>
      <c r="N245" s="18" t="str">
        <f t="shared" si="25"/>
        <v/>
      </c>
      <c r="R245" s="18">
        <f t="shared" si="26"/>
        <v>0</v>
      </c>
      <c r="V245" s="18">
        <f t="shared" si="27"/>
        <v>0</v>
      </c>
      <c r="Z245" s="18">
        <f t="shared" si="28"/>
        <v>0</v>
      </c>
      <c r="AA245" s="18"/>
      <c r="AB245" s="18">
        <f t="shared" si="29"/>
        <v>0</v>
      </c>
      <c r="AC245" s="18" t="str">
        <f t="shared" si="30"/>
        <v/>
      </c>
      <c r="AD245" s="18" t="str">
        <f t="shared" si="31"/>
        <v/>
      </c>
      <c r="AF245" t="str">
        <f>IFERROR(INDEX('Task Master'!$D:$D,MATCH($F245,'Task Master'!$C:$C,0)),"")</f>
        <v/>
      </c>
    </row>
    <row r="246" spans="1:32" x14ac:dyDescent="0.25">
      <c r="A246" t="str">
        <f t="shared" si="24"/>
        <v/>
      </c>
      <c r="B246" s="16"/>
      <c r="D246" t="str">
        <f>IF($C246="","",IFERROR(INDEX('Asset Register'!$B:$B,MATCH($C246,'Asset Register'!$A:$A,0)),""))</f>
        <v/>
      </c>
      <c r="H246" t="str">
        <f>IFERROR(INDEX('Task Master'!$E:$E,MATCH($F246&amp;"||"&amp;$G246,'Task Master'!$K:$K,0)),"")</f>
        <v/>
      </c>
      <c r="I246" t="str">
        <f>IFERROR(INDEX('Task Master'!$F:$F,MATCH($F246&amp;"||"&amp;$G246,'Task Master'!$K:$K,0)),"")</f>
        <v/>
      </c>
      <c r="J246" t="str">
        <f>IFERROR(INDEX('Task Master'!$H:$H,MATCH($F246&amp;"||"&amp;$G246,'Task Master'!$K:$K,0)),"")</f>
        <v/>
      </c>
      <c r="N246" s="18" t="str">
        <f t="shared" si="25"/>
        <v/>
      </c>
      <c r="R246" s="18">
        <f t="shared" si="26"/>
        <v>0</v>
      </c>
      <c r="V246" s="18">
        <f t="shared" si="27"/>
        <v>0</v>
      </c>
      <c r="Z246" s="18">
        <f t="shared" si="28"/>
        <v>0</v>
      </c>
      <c r="AA246" s="18"/>
      <c r="AB246" s="18">
        <f t="shared" si="29"/>
        <v>0</v>
      </c>
      <c r="AC246" s="18" t="str">
        <f t="shared" si="30"/>
        <v/>
      </c>
      <c r="AD246" s="18" t="str">
        <f t="shared" si="31"/>
        <v/>
      </c>
      <c r="AF246" t="str">
        <f>IFERROR(INDEX('Task Master'!$D:$D,MATCH($F246,'Task Master'!$C:$C,0)),"")</f>
        <v/>
      </c>
    </row>
    <row r="247" spans="1:32" x14ac:dyDescent="0.25">
      <c r="A247" t="str">
        <f t="shared" si="24"/>
        <v/>
      </c>
      <c r="B247" s="16"/>
      <c r="D247" t="str">
        <f>IF($C247="","",IFERROR(INDEX('Asset Register'!$B:$B,MATCH($C247,'Asset Register'!$A:$A,0)),""))</f>
        <v/>
      </c>
      <c r="H247" t="str">
        <f>IFERROR(INDEX('Task Master'!$E:$E,MATCH($F247&amp;"||"&amp;$G247,'Task Master'!$K:$K,0)),"")</f>
        <v/>
      </c>
      <c r="I247" t="str">
        <f>IFERROR(INDEX('Task Master'!$F:$F,MATCH($F247&amp;"||"&amp;$G247,'Task Master'!$K:$K,0)),"")</f>
        <v/>
      </c>
      <c r="J247" t="str">
        <f>IFERROR(INDEX('Task Master'!$H:$H,MATCH($F247&amp;"||"&amp;$G247,'Task Master'!$K:$K,0)),"")</f>
        <v/>
      </c>
      <c r="N247" s="18" t="str">
        <f t="shared" si="25"/>
        <v/>
      </c>
      <c r="R247" s="18">
        <f t="shared" si="26"/>
        <v>0</v>
      </c>
      <c r="V247" s="18">
        <f t="shared" si="27"/>
        <v>0</v>
      </c>
      <c r="Z247" s="18">
        <f t="shared" si="28"/>
        <v>0</v>
      </c>
      <c r="AA247" s="18"/>
      <c r="AB247" s="18">
        <f t="shared" si="29"/>
        <v>0</v>
      </c>
      <c r="AC247" s="18" t="str">
        <f t="shared" si="30"/>
        <v/>
      </c>
      <c r="AD247" s="18" t="str">
        <f t="shared" si="31"/>
        <v/>
      </c>
      <c r="AF247" t="str">
        <f>IFERROR(INDEX('Task Master'!$D:$D,MATCH($F247,'Task Master'!$C:$C,0)),"")</f>
        <v/>
      </c>
    </row>
    <row r="248" spans="1:32" x14ac:dyDescent="0.25">
      <c r="A248" t="str">
        <f t="shared" si="24"/>
        <v/>
      </c>
      <c r="B248" s="16"/>
      <c r="D248" t="str">
        <f>IF($C248="","",IFERROR(INDEX('Asset Register'!$B:$B,MATCH($C248,'Asset Register'!$A:$A,0)),""))</f>
        <v/>
      </c>
      <c r="H248" t="str">
        <f>IFERROR(INDEX('Task Master'!$E:$E,MATCH($F248&amp;"||"&amp;$G248,'Task Master'!$K:$K,0)),"")</f>
        <v/>
      </c>
      <c r="I248" t="str">
        <f>IFERROR(INDEX('Task Master'!$F:$F,MATCH($F248&amp;"||"&amp;$G248,'Task Master'!$K:$K,0)),"")</f>
        <v/>
      </c>
      <c r="J248" t="str">
        <f>IFERROR(INDEX('Task Master'!$H:$H,MATCH($F248&amp;"||"&amp;$G248,'Task Master'!$K:$K,0)),"")</f>
        <v/>
      </c>
      <c r="N248" s="18" t="str">
        <f t="shared" si="25"/>
        <v/>
      </c>
      <c r="R248" s="18">
        <f t="shared" si="26"/>
        <v>0</v>
      </c>
      <c r="V248" s="18">
        <f t="shared" si="27"/>
        <v>0</v>
      </c>
      <c r="Z248" s="18">
        <f t="shared" si="28"/>
        <v>0</v>
      </c>
      <c r="AA248" s="18"/>
      <c r="AB248" s="18">
        <f t="shared" si="29"/>
        <v>0</v>
      </c>
      <c r="AC248" s="18" t="str">
        <f t="shared" si="30"/>
        <v/>
      </c>
      <c r="AD248" s="18" t="str">
        <f t="shared" si="31"/>
        <v/>
      </c>
      <c r="AF248" t="str">
        <f>IFERROR(INDEX('Task Master'!$D:$D,MATCH($F248,'Task Master'!$C:$C,0)),"")</f>
        <v/>
      </c>
    </row>
    <row r="249" spans="1:32" x14ac:dyDescent="0.25">
      <c r="A249" t="str">
        <f t="shared" si="24"/>
        <v/>
      </c>
      <c r="B249" s="16"/>
      <c r="D249" t="str">
        <f>IF($C249="","",IFERROR(INDEX('Asset Register'!$B:$B,MATCH($C249,'Asset Register'!$A:$A,0)),""))</f>
        <v/>
      </c>
      <c r="H249" t="str">
        <f>IFERROR(INDEX('Task Master'!$E:$E,MATCH($F249&amp;"||"&amp;$G249,'Task Master'!$K:$K,0)),"")</f>
        <v/>
      </c>
      <c r="I249" t="str">
        <f>IFERROR(INDEX('Task Master'!$F:$F,MATCH($F249&amp;"||"&amp;$G249,'Task Master'!$K:$K,0)),"")</f>
        <v/>
      </c>
      <c r="J249" t="str">
        <f>IFERROR(INDEX('Task Master'!$H:$H,MATCH($F249&amp;"||"&amp;$G249,'Task Master'!$K:$K,0)),"")</f>
        <v/>
      </c>
      <c r="N249" s="18" t="str">
        <f t="shared" si="25"/>
        <v/>
      </c>
      <c r="R249" s="18">
        <f t="shared" si="26"/>
        <v>0</v>
      </c>
      <c r="V249" s="18">
        <f t="shared" si="27"/>
        <v>0</v>
      </c>
      <c r="Z249" s="18">
        <f t="shared" si="28"/>
        <v>0</v>
      </c>
      <c r="AA249" s="18"/>
      <c r="AB249" s="18">
        <f t="shared" si="29"/>
        <v>0</v>
      </c>
      <c r="AC249" s="18" t="str">
        <f t="shared" si="30"/>
        <v/>
      </c>
      <c r="AD249" s="18" t="str">
        <f t="shared" si="31"/>
        <v/>
      </c>
      <c r="AF249" t="str">
        <f>IFERROR(INDEX('Task Master'!$D:$D,MATCH($F249,'Task Master'!$C:$C,0)),"")</f>
        <v/>
      </c>
    </row>
    <row r="250" spans="1:32" x14ac:dyDescent="0.25">
      <c r="A250" t="str">
        <f t="shared" si="24"/>
        <v/>
      </c>
      <c r="B250" s="16"/>
      <c r="D250" t="str">
        <f>IF($C250="","",IFERROR(INDEX('Asset Register'!$B:$B,MATCH($C250,'Asset Register'!$A:$A,0)),""))</f>
        <v/>
      </c>
      <c r="H250" t="str">
        <f>IFERROR(INDEX('Task Master'!$E:$E,MATCH($F250&amp;"||"&amp;$G250,'Task Master'!$K:$K,0)),"")</f>
        <v/>
      </c>
      <c r="I250" t="str">
        <f>IFERROR(INDEX('Task Master'!$F:$F,MATCH($F250&amp;"||"&amp;$G250,'Task Master'!$K:$K,0)),"")</f>
        <v/>
      </c>
      <c r="J250" t="str">
        <f>IFERROR(INDEX('Task Master'!$H:$H,MATCH($F250&amp;"||"&amp;$G250,'Task Master'!$K:$K,0)),"")</f>
        <v/>
      </c>
      <c r="N250" s="18" t="str">
        <f t="shared" si="25"/>
        <v/>
      </c>
      <c r="R250" s="18">
        <f t="shared" si="26"/>
        <v>0</v>
      </c>
      <c r="V250" s="18">
        <f t="shared" si="27"/>
        <v>0</v>
      </c>
      <c r="Z250" s="18">
        <f t="shared" si="28"/>
        <v>0</v>
      </c>
      <c r="AA250" s="18"/>
      <c r="AB250" s="18">
        <f t="shared" si="29"/>
        <v>0</v>
      </c>
      <c r="AC250" s="18" t="str">
        <f t="shared" si="30"/>
        <v/>
      </c>
      <c r="AD250" s="18" t="str">
        <f t="shared" si="31"/>
        <v/>
      </c>
      <c r="AF250" t="str">
        <f>IFERROR(INDEX('Task Master'!$D:$D,MATCH($F250,'Task Master'!$C:$C,0)),"")</f>
        <v/>
      </c>
    </row>
    <row r="251" spans="1:32" x14ac:dyDescent="0.25">
      <c r="A251" t="str">
        <f t="shared" si="24"/>
        <v/>
      </c>
      <c r="B251" s="16"/>
      <c r="D251" t="str">
        <f>IF($C251="","",IFERROR(INDEX('Asset Register'!$B:$B,MATCH($C251,'Asset Register'!$A:$A,0)),""))</f>
        <v/>
      </c>
      <c r="H251" t="str">
        <f>IFERROR(INDEX('Task Master'!$E:$E,MATCH($F251&amp;"||"&amp;$G251,'Task Master'!$K:$K,0)),"")</f>
        <v/>
      </c>
      <c r="I251" t="str">
        <f>IFERROR(INDEX('Task Master'!$F:$F,MATCH($F251&amp;"||"&amp;$G251,'Task Master'!$K:$K,0)),"")</f>
        <v/>
      </c>
      <c r="J251" t="str">
        <f>IFERROR(INDEX('Task Master'!$H:$H,MATCH($F251&amp;"||"&amp;$G251,'Task Master'!$K:$K,0)),"")</f>
        <v/>
      </c>
      <c r="N251" s="18" t="str">
        <f t="shared" si="25"/>
        <v/>
      </c>
      <c r="R251" s="18">
        <f t="shared" si="26"/>
        <v>0</v>
      </c>
      <c r="V251" s="18">
        <f t="shared" si="27"/>
        <v>0</v>
      </c>
      <c r="Z251" s="18">
        <f t="shared" si="28"/>
        <v>0</v>
      </c>
      <c r="AA251" s="18"/>
      <c r="AB251" s="18">
        <f t="shared" si="29"/>
        <v>0</v>
      </c>
      <c r="AC251" s="18" t="str">
        <f t="shared" si="30"/>
        <v/>
      </c>
      <c r="AD251" s="18" t="str">
        <f t="shared" si="31"/>
        <v/>
      </c>
      <c r="AF251" t="str">
        <f>IFERROR(INDEX('Task Master'!$D:$D,MATCH($F251,'Task Master'!$C:$C,0)),"")</f>
        <v/>
      </c>
    </row>
    <row r="252" spans="1:32" x14ac:dyDescent="0.25">
      <c r="A252" t="str">
        <f t="shared" si="24"/>
        <v/>
      </c>
      <c r="B252" s="16"/>
      <c r="D252" t="str">
        <f>IF($C252="","",IFERROR(INDEX('Asset Register'!$B:$B,MATCH($C252,'Asset Register'!$A:$A,0)),""))</f>
        <v/>
      </c>
      <c r="H252" t="str">
        <f>IFERROR(INDEX('Task Master'!$E:$E,MATCH($F252&amp;"||"&amp;$G252,'Task Master'!$K:$K,0)),"")</f>
        <v/>
      </c>
      <c r="I252" t="str">
        <f>IFERROR(INDEX('Task Master'!$F:$F,MATCH($F252&amp;"||"&amp;$G252,'Task Master'!$K:$K,0)),"")</f>
        <v/>
      </c>
      <c r="J252" t="str">
        <f>IFERROR(INDEX('Task Master'!$H:$H,MATCH($F252&amp;"||"&amp;$G252,'Task Master'!$K:$K,0)),"")</f>
        <v/>
      </c>
      <c r="N252" s="18" t="str">
        <f t="shared" si="25"/>
        <v/>
      </c>
      <c r="R252" s="18">
        <f t="shared" si="26"/>
        <v>0</v>
      </c>
      <c r="V252" s="18">
        <f t="shared" si="27"/>
        <v>0</v>
      </c>
      <c r="Z252" s="18">
        <f t="shared" si="28"/>
        <v>0</v>
      </c>
      <c r="AA252" s="18"/>
      <c r="AB252" s="18">
        <f t="shared" si="29"/>
        <v>0</v>
      </c>
      <c r="AC252" s="18" t="str">
        <f t="shared" si="30"/>
        <v/>
      </c>
      <c r="AD252" s="18" t="str">
        <f t="shared" si="31"/>
        <v/>
      </c>
      <c r="AF252" t="str">
        <f>IFERROR(INDEX('Task Master'!$D:$D,MATCH($F252,'Task Master'!$C:$C,0)),"")</f>
        <v/>
      </c>
    </row>
    <row r="253" spans="1:32" x14ac:dyDescent="0.25">
      <c r="A253" t="str">
        <f t="shared" si="24"/>
        <v/>
      </c>
      <c r="B253" s="16"/>
      <c r="D253" t="str">
        <f>IF($C253="","",IFERROR(INDEX('Asset Register'!$B:$B,MATCH($C253,'Asset Register'!$A:$A,0)),""))</f>
        <v/>
      </c>
      <c r="H253" t="str">
        <f>IFERROR(INDEX('Task Master'!$E:$E,MATCH($F253&amp;"||"&amp;$G253,'Task Master'!$K:$K,0)),"")</f>
        <v/>
      </c>
      <c r="I253" t="str">
        <f>IFERROR(INDEX('Task Master'!$F:$F,MATCH($F253&amp;"||"&amp;$G253,'Task Master'!$K:$K,0)),"")</f>
        <v/>
      </c>
      <c r="J253" t="str">
        <f>IFERROR(INDEX('Task Master'!$H:$H,MATCH($F253&amp;"||"&amp;$G253,'Task Master'!$K:$K,0)),"")</f>
        <v/>
      </c>
      <c r="N253" s="18" t="str">
        <f t="shared" si="25"/>
        <v/>
      </c>
      <c r="R253" s="18">
        <f t="shared" si="26"/>
        <v>0</v>
      </c>
      <c r="V253" s="18">
        <f t="shared" si="27"/>
        <v>0</v>
      </c>
      <c r="Z253" s="18">
        <f t="shared" si="28"/>
        <v>0</v>
      </c>
      <c r="AA253" s="18"/>
      <c r="AB253" s="18">
        <f t="shared" si="29"/>
        <v>0</v>
      </c>
      <c r="AC253" s="18" t="str">
        <f t="shared" si="30"/>
        <v/>
      </c>
      <c r="AD253" s="18" t="str">
        <f t="shared" si="31"/>
        <v/>
      </c>
      <c r="AF253" t="str">
        <f>IFERROR(INDEX('Task Master'!$D:$D,MATCH($F253,'Task Master'!$C:$C,0)),"")</f>
        <v/>
      </c>
    </row>
    <row r="254" spans="1:32" x14ac:dyDescent="0.25">
      <c r="A254" t="str">
        <f t="shared" si="24"/>
        <v/>
      </c>
      <c r="B254" s="16"/>
      <c r="D254" t="str">
        <f>IF($C254="","",IFERROR(INDEX('Asset Register'!$B:$B,MATCH($C254,'Asset Register'!$A:$A,0)),""))</f>
        <v/>
      </c>
      <c r="H254" t="str">
        <f>IFERROR(INDEX('Task Master'!$E:$E,MATCH($F254&amp;"||"&amp;$G254,'Task Master'!$K:$K,0)),"")</f>
        <v/>
      </c>
      <c r="I254" t="str">
        <f>IFERROR(INDEX('Task Master'!$F:$F,MATCH($F254&amp;"||"&amp;$G254,'Task Master'!$K:$K,0)),"")</f>
        <v/>
      </c>
      <c r="J254" t="str">
        <f>IFERROR(INDEX('Task Master'!$H:$H,MATCH($F254&amp;"||"&amp;$G254,'Task Master'!$K:$K,0)),"")</f>
        <v/>
      </c>
      <c r="N254" s="18" t="str">
        <f t="shared" si="25"/>
        <v/>
      </c>
      <c r="R254" s="18">
        <f t="shared" si="26"/>
        <v>0</v>
      </c>
      <c r="V254" s="18">
        <f t="shared" si="27"/>
        <v>0</v>
      </c>
      <c r="Z254" s="18">
        <f t="shared" si="28"/>
        <v>0</v>
      </c>
      <c r="AA254" s="18"/>
      <c r="AB254" s="18">
        <f t="shared" si="29"/>
        <v>0</v>
      </c>
      <c r="AC254" s="18" t="str">
        <f t="shared" si="30"/>
        <v/>
      </c>
      <c r="AD254" s="18" t="str">
        <f t="shared" si="31"/>
        <v/>
      </c>
      <c r="AF254" t="str">
        <f>IFERROR(INDEX('Task Master'!$D:$D,MATCH($F254,'Task Master'!$C:$C,0)),"")</f>
        <v/>
      </c>
    </row>
    <row r="255" spans="1:32" x14ac:dyDescent="0.25">
      <c r="A255" t="str">
        <f t="shared" si="24"/>
        <v/>
      </c>
      <c r="B255" s="16"/>
      <c r="D255" t="str">
        <f>IF($C255="","",IFERROR(INDEX('Asset Register'!$B:$B,MATCH($C255,'Asset Register'!$A:$A,0)),""))</f>
        <v/>
      </c>
      <c r="H255" t="str">
        <f>IFERROR(INDEX('Task Master'!$E:$E,MATCH($F255&amp;"||"&amp;$G255,'Task Master'!$K:$K,0)),"")</f>
        <v/>
      </c>
      <c r="I255" t="str">
        <f>IFERROR(INDEX('Task Master'!$F:$F,MATCH($F255&amp;"||"&amp;$G255,'Task Master'!$K:$K,0)),"")</f>
        <v/>
      </c>
      <c r="J255" t="str">
        <f>IFERROR(INDEX('Task Master'!$H:$H,MATCH($F255&amp;"||"&amp;$G255,'Task Master'!$K:$K,0)),"")</f>
        <v/>
      </c>
      <c r="N255" s="18" t="str">
        <f t="shared" si="25"/>
        <v/>
      </c>
      <c r="R255" s="18">
        <f t="shared" si="26"/>
        <v>0</v>
      </c>
      <c r="V255" s="18">
        <f t="shared" si="27"/>
        <v>0</v>
      </c>
      <c r="Z255" s="18">
        <f t="shared" si="28"/>
        <v>0</v>
      </c>
      <c r="AA255" s="18"/>
      <c r="AB255" s="18">
        <f t="shared" si="29"/>
        <v>0</v>
      </c>
      <c r="AC255" s="18" t="str">
        <f t="shared" si="30"/>
        <v/>
      </c>
      <c r="AD255" s="18" t="str">
        <f t="shared" si="31"/>
        <v/>
      </c>
      <c r="AF255" t="str">
        <f>IFERROR(INDEX('Task Master'!$D:$D,MATCH($F255,'Task Master'!$C:$C,0)),"")</f>
        <v/>
      </c>
    </row>
    <row r="256" spans="1:32" x14ac:dyDescent="0.25">
      <c r="A256" t="str">
        <f t="shared" si="24"/>
        <v/>
      </c>
      <c r="B256" s="16"/>
      <c r="D256" t="str">
        <f>IF($C256="","",IFERROR(INDEX('Asset Register'!$B:$B,MATCH($C256,'Asset Register'!$A:$A,0)),""))</f>
        <v/>
      </c>
      <c r="H256" t="str">
        <f>IFERROR(INDEX('Task Master'!$E:$E,MATCH($F256&amp;"||"&amp;$G256,'Task Master'!$K:$K,0)),"")</f>
        <v/>
      </c>
      <c r="I256" t="str">
        <f>IFERROR(INDEX('Task Master'!$F:$F,MATCH($F256&amp;"||"&amp;$G256,'Task Master'!$K:$K,0)),"")</f>
        <v/>
      </c>
      <c r="J256" t="str">
        <f>IFERROR(INDEX('Task Master'!$H:$H,MATCH($F256&amp;"||"&amp;$G256,'Task Master'!$K:$K,0)),"")</f>
        <v/>
      </c>
      <c r="N256" s="18" t="str">
        <f t="shared" si="25"/>
        <v/>
      </c>
      <c r="R256" s="18">
        <f t="shared" si="26"/>
        <v>0</v>
      </c>
      <c r="V256" s="18">
        <f t="shared" si="27"/>
        <v>0</v>
      </c>
      <c r="Z256" s="18">
        <f t="shared" si="28"/>
        <v>0</v>
      </c>
      <c r="AA256" s="18"/>
      <c r="AB256" s="18">
        <f t="shared" si="29"/>
        <v>0</v>
      </c>
      <c r="AC256" s="18" t="str">
        <f t="shared" si="30"/>
        <v/>
      </c>
      <c r="AD256" s="18" t="str">
        <f t="shared" si="31"/>
        <v/>
      </c>
      <c r="AF256" t="str">
        <f>IFERROR(INDEX('Task Master'!$D:$D,MATCH($F256,'Task Master'!$C:$C,0)),"")</f>
        <v/>
      </c>
    </row>
    <row r="257" spans="1:32" x14ac:dyDescent="0.25">
      <c r="A257" t="str">
        <f t="shared" si="24"/>
        <v/>
      </c>
      <c r="B257" s="16"/>
      <c r="D257" t="str">
        <f>IF($C257="","",IFERROR(INDEX('Asset Register'!$B:$B,MATCH($C257,'Asset Register'!$A:$A,0)),""))</f>
        <v/>
      </c>
      <c r="H257" t="str">
        <f>IFERROR(INDEX('Task Master'!$E:$E,MATCH($F257&amp;"||"&amp;$G257,'Task Master'!$K:$K,0)),"")</f>
        <v/>
      </c>
      <c r="I257" t="str">
        <f>IFERROR(INDEX('Task Master'!$F:$F,MATCH($F257&amp;"||"&amp;$G257,'Task Master'!$K:$K,0)),"")</f>
        <v/>
      </c>
      <c r="J257" t="str">
        <f>IFERROR(INDEX('Task Master'!$H:$H,MATCH($F257&amp;"||"&amp;$G257,'Task Master'!$K:$K,0)),"")</f>
        <v/>
      </c>
      <c r="N257" s="18" t="str">
        <f t="shared" si="25"/>
        <v/>
      </c>
      <c r="R257" s="18">
        <f t="shared" si="26"/>
        <v>0</v>
      </c>
      <c r="V257" s="18">
        <f t="shared" si="27"/>
        <v>0</v>
      </c>
      <c r="Z257" s="18">
        <f t="shared" si="28"/>
        <v>0</v>
      </c>
      <c r="AA257" s="18"/>
      <c r="AB257" s="18">
        <f t="shared" si="29"/>
        <v>0</v>
      </c>
      <c r="AC257" s="18" t="str">
        <f t="shared" si="30"/>
        <v/>
      </c>
      <c r="AD257" s="18" t="str">
        <f t="shared" si="31"/>
        <v/>
      </c>
      <c r="AF257" t="str">
        <f>IFERROR(INDEX('Task Master'!$D:$D,MATCH($F257,'Task Master'!$C:$C,0)),"")</f>
        <v/>
      </c>
    </row>
    <row r="258" spans="1:32" x14ac:dyDescent="0.25">
      <c r="A258" t="str">
        <f t="shared" ref="A258:A321" si="32">IF(B258="","",ROW()-1)</f>
        <v/>
      </c>
      <c r="B258" s="16"/>
      <c r="D258" t="str">
        <f>IF($C258="","",IFERROR(INDEX('Asset Register'!$B:$B,MATCH($C258,'Asset Register'!$A:$A,0)),""))</f>
        <v/>
      </c>
      <c r="H258" t="str">
        <f>IFERROR(INDEX('Task Master'!$E:$E,MATCH($F258&amp;"||"&amp;$G258,'Task Master'!$K:$K,0)),"")</f>
        <v/>
      </c>
      <c r="I258" t="str">
        <f>IFERROR(INDEX('Task Master'!$F:$F,MATCH($F258&amp;"||"&amp;$G258,'Task Master'!$K:$K,0)),"")</f>
        <v/>
      </c>
      <c r="J258" t="str">
        <f>IFERROR(INDEX('Task Master'!$H:$H,MATCH($F258&amp;"||"&amp;$G258,'Task Master'!$K:$K,0)),"")</f>
        <v/>
      </c>
      <c r="N258" s="18" t="str">
        <f t="shared" ref="N258:N321" si="33">IF(OR($K258="",$L258="",$M258=""),"",$K258*$L258*$M258)</f>
        <v/>
      </c>
      <c r="R258" s="18">
        <f t="shared" ref="R258:R321" si="34">IF(OR($P258="",$Q258=""),0,$P258*$Q258)</f>
        <v>0</v>
      </c>
      <c r="V258" s="18">
        <f t="shared" ref="V258:V321" si="35">IF(OR($T258="",$U258=""),0,$T258*$U258)</f>
        <v>0</v>
      </c>
      <c r="Z258" s="18">
        <f t="shared" ref="Z258:Z321" si="36">IF(OR($X258="",$Y258=""),0,$X258*$Y258)</f>
        <v>0</v>
      </c>
      <c r="AA258" s="18"/>
      <c r="AB258" s="18">
        <f t="shared" ref="AB258:AB321" si="37">$R258+$V258+$Z258</f>
        <v>0</v>
      </c>
      <c r="AC258" s="18" t="str">
        <f t="shared" ref="AC258:AC321" si="38">IF($B258="","",$AB258+$AA258+$N258)</f>
        <v/>
      </c>
      <c r="AD258" s="18" t="str">
        <f t="shared" ref="AD258:AD321" si="39">IF(OR($K258="",$K258=0,$AC258=""),"",$AC258/$K258)</f>
        <v/>
      </c>
      <c r="AF258" t="str">
        <f>IFERROR(INDEX('Task Master'!$D:$D,MATCH($F258,'Task Master'!$C:$C,0)),"")</f>
        <v/>
      </c>
    </row>
    <row r="259" spans="1:32" x14ac:dyDescent="0.25">
      <c r="A259" t="str">
        <f t="shared" si="32"/>
        <v/>
      </c>
      <c r="B259" s="16"/>
      <c r="D259" t="str">
        <f>IF($C259="","",IFERROR(INDEX('Asset Register'!$B:$B,MATCH($C259,'Asset Register'!$A:$A,0)),""))</f>
        <v/>
      </c>
      <c r="H259" t="str">
        <f>IFERROR(INDEX('Task Master'!$E:$E,MATCH($F259&amp;"||"&amp;$G259,'Task Master'!$K:$K,0)),"")</f>
        <v/>
      </c>
      <c r="I259" t="str">
        <f>IFERROR(INDEX('Task Master'!$F:$F,MATCH($F259&amp;"||"&amp;$G259,'Task Master'!$K:$K,0)),"")</f>
        <v/>
      </c>
      <c r="J259" t="str">
        <f>IFERROR(INDEX('Task Master'!$H:$H,MATCH($F259&amp;"||"&amp;$G259,'Task Master'!$K:$K,0)),"")</f>
        <v/>
      </c>
      <c r="N259" s="18" t="str">
        <f t="shared" si="33"/>
        <v/>
      </c>
      <c r="R259" s="18">
        <f t="shared" si="34"/>
        <v>0</v>
      </c>
      <c r="V259" s="18">
        <f t="shared" si="35"/>
        <v>0</v>
      </c>
      <c r="Z259" s="18">
        <f t="shared" si="36"/>
        <v>0</v>
      </c>
      <c r="AA259" s="18"/>
      <c r="AB259" s="18">
        <f t="shared" si="37"/>
        <v>0</v>
      </c>
      <c r="AC259" s="18" t="str">
        <f t="shared" si="38"/>
        <v/>
      </c>
      <c r="AD259" s="18" t="str">
        <f t="shared" si="39"/>
        <v/>
      </c>
      <c r="AF259" t="str">
        <f>IFERROR(INDEX('Task Master'!$D:$D,MATCH($F259,'Task Master'!$C:$C,0)),"")</f>
        <v/>
      </c>
    </row>
    <row r="260" spans="1:32" x14ac:dyDescent="0.25">
      <c r="A260" t="str">
        <f t="shared" si="32"/>
        <v/>
      </c>
      <c r="B260" s="16"/>
      <c r="D260" t="str">
        <f>IF($C260="","",IFERROR(INDEX('Asset Register'!$B:$B,MATCH($C260,'Asset Register'!$A:$A,0)),""))</f>
        <v/>
      </c>
      <c r="H260" t="str">
        <f>IFERROR(INDEX('Task Master'!$E:$E,MATCH($F260&amp;"||"&amp;$G260,'Task Master'!$K:$K,0)),"")</f>
        <v/>
      </c>
      <c r="I260" t="str">
        <f>IFERROR(INDEX('Task Master'!$F:$F,MATCH($F260&amp;"||"&amp;$G260,'Task Master'!$K:$K,0)),"")</f>
        <v/>
      </c>
      <c r="J260" t="str">
        <f>IFERROR(INDEX('Task Master'!$H:$H,MATCH($F260&amp;"||"&amp;$G260,'Task Master'!$K:$K,0)),"")</f>
        <v/>
      </c>
      <c r="N260" s="18" t="str">
        <f t="shared" si="33"/>
        <v/>
      </c>
      <c r="R260" s="18">
        <f t="shared" si="34"/>
        <v>0</v>
      </c>
      <c r="V260" s="18">
        <f t="shared" si="35"/>
        <v>0</v>
      </c>
      <c r="Z260" s="18">
        <f t="shared" si="36"/>
        <v>0</v>
      </c>
      <c r="AA260" s="18"/>
      <c r="AB260" s="18">
        <f t="shared" si="37"/>
        <v>0</v>
      </c>
      <c r="AC260" s="18" t="str">
        <f t="shared" si="38"/>
        <v/>
      </c>
      <c r="AD260" s="18" t="str">
        <f t="shared" si="39"/>
        <v/>
      </c>
      <c r="AF260" t="str">
        <f>IFERROR(INDEX('Task Master'!$D:$D,MATCH($F260,'Task Master'!$C:$C,0)),"")</f>
        <v/>
      </c>
    </row>
    <row r="261" spans="1:32" x14ac:dyDescent="0.25">
      <c r="A261" t="str">
        <f t="shared" si="32"/>
        <v/>
      </c>
      <c r="B261" s="16"/>
      <c r="D261" t="str">
        <f>IF($C261="","",IFERROR(INDEX('Asset Register'!$B:$B,MATCH($C261,'Asset Register'!$A:$A,0)),""))</f>
        <v/>
      </c>
      <c r="H261" t="str">
        <f>IFERROR(INDEX('Task Master'!$E:$E,MATCH($F261&amp;"||"&amp;$G261,'Task Master'!$K:$K,0)),"")</f>
        <v/>
      </c>
      <c r="I261" t="str">
        <f>IFERROR(INDEX('Task Master'!$F:$F,MATCH($F261&amp;"||"&amp;$G261,'Task Master'!$K:$K,0)),"")</f>
        <v/>
      </c>
      <c r="J261" t="str">
        <f>IFERROR(INDEX('Task Master'!$H:$H,MATCH($F261&amp;"||"&amp;$G261,'Task Master'!$K:$K,0)),"")</f>
        <v/>
      </c>
      <c r="N261" s="18" t="str">
        <f t="shared" si="33"/>
        <v/>
      </c>
      <c r="R261" s="18">
        <f t="shared" si="34"/>
        <v>0</v>
      </c>
      <c r="V261" s="18">
        <f t="shared" si="35"/>
        <v>0</v>
      </c>
      <c r="Z261" s="18">
        <f t="shared" si="36"/>
        <v>0</v>
      </c>
      <c r="AA261" s="18"/>
      <c r="AB261" s="18">
        <f t="shared" si="37"/>
        <v>0</v>
      </c>
      <c r="AC261" s="18" t="str">
        <f t="shared" si="38"/>
        <v/>
      </c>
      <c r="AD261" s="18" t="str">
        <f t="shared" si="39"/>
        <v/>
      </c>
      <c r="AF261" t="str">
        <f>IFERROR(INDEX('Task Master'!$D:$D,MATCH($F261,'Task Master'!$C:$C,0)),"")</f>
        <v/>
      </c>
    </row>
    <row r="262" spans="1:32" x14ac:dyDescent="0.25">
      <c r="A262" t="str">
        <f t="shared" si="32"/>
        <v/>
      </c>
      <c r="B262" s="16"/>
      <c r="D262" t="str">
        <f>IF($C262="","",IFERROR(INDEX('Asset Register'!$B:$B,MATCH($C262,'Asset Register'!$A:$A,0)),""))</f>
        <v/>
      </c>
      <c r="H262" t="str">
        <f>IFERROR(INDEX('Task Master'!$E:$E,MATCH($F262&amp;"||"&amp;$G262,'Task Master'!$K:$K,0)),"")</f>
        <v/>
      </c>
      <c r="I262" t="str">
        <f>IFERROR(INDEX('Task Master'!$F:$F,MATCH($F262&amp;"||"&amp;$G262,'Task Master'!$K:$K,0)),"")</f>
        <v/>
      </c>
      <c r="J262" t="str">
        <f>IFERROR(INDEX('Task Master'!$H:$H,MATCH($F262&amp;"||"&amp;$G262,'Task Master'!$K:$K,0)),"")</f>
        <v/>
      </c>
      <c r="N262" s="18" t="str">
        <f t="shared" si="33"/>
        <v/>
      </c>
      <c r="R262" s="18">
        <f t="shared" si="34"/>
        <v>0</v>
      </c>
      <c r="V262" s="18">
        <f t="shared" si="35"/>
        <v>0</v>
      </c>
      <c r="Z262" s="18">
        <f t="shared" si="36"/>
        <v>0</v>
      </c>
      <c r="AA262" s="18"/>
      <c r="AB262" s="18">
        <f t="shared" si="37"/>
        <v>0</v>
      </c>
      <c r="AC262" s="18" t="str">
        <f t="shared" si="38"/>
        <v/>
      </c>
      <c r="AD262" s="18" t="str">
        <f t="shared" si="39"/>
        <v/>
      </c>
      <c r="AF262" t="str">
        <f>IFERROR(INDEX('Task Master'!$D:$D,MATCH($F262,'Task Master'!$C:$C,0)),"")</f>
        <v/>
      </c>
    </row>
    <row r="263" spans="1:32" x14ac:dyDescent="0.25">
      <c r="A263" t="str">
        <f t="shared" si="32"/>
        <v/>
      </c>
      <c r="B263" s="16"/>
      <c r="D263" t="str">
        <f>IF($C263="","",IFERROR(INDEX('Asset Register'!$B:$B,MATCH($C263,'Asset Register'!$A:$A,0)),""))</f>
        <v/>
      </c>
      <c r="H263" t="str">
        <f>IFERROR(INDEX('Task Master'!$E:$E,MATCH($F263&amp;"||"&amp;$G263,'Task Master'!$K:$K,0)),"")</f>
        <v/>
      </c>
      <c r="I263" t="str">
        <f>IFERROR(INDEX('Task Master'!$F:$F,MATCH($F263&amp;"||"&amp;$G263,'Task Master'!$K:$K,0)),"")</f>
        <v/>
      </c>
      <c r="J263" t="str">
        <f>IFERROR(INDEX('Task Master'!$H:$H,MATCH($F263&amp;"||"&amp;$G263,'Task Master'!$K:$K,0)),"")</f>
        <v/>
      </c>
      <c r="N263" s="18" t="str">
        <f t="shared" si="33"/>
        <v/>
      </c>
      <c r="R263" s="18">
        <f t="shared" si="34"/>
        <v>0</v>
      </c>
      <c r="V263" s="18">
        <f t="shared" si="35"/>
        <v>0</v>
      </c>
      <c r="Z263" s="18">
        <f t="shared" si="36"/>
        <v>0</v>
      </c>
      <c r="AA263" s="18"/>
      <c r="AB263" s="18">
        <f t="shared" si="37"/>
        <v>0</v>
      </c>
      <c r="AC263" s="18" t="str">
        <f t="shared" si="38"/>
        <v/>
      </c>
      <c r="AD263" s="18" t="str">
        <f t="shared" si="39"/>
        <v/>
      </c>
      <c r="AF263" t="str">
        <f>IFERROR(INDEX('Task Master'!$D:$D,MATCH($F263,'Task Master'!$C:$C,0)),"")</f>
        <v/>
      </c>
    </row>
    <row r="264" spans="1:32" x14ac:dyDescent="0.25">
      <c r="A264" t="str">
        <f t="shared" si="32"/>
        <v/>
      </c>
      <c r="B264" s="16"/>
      <c r="D264" t="str">
        <f>IF($C264="","",IFERROR(INDEX('Asset Register'!$B:$B,MATCH($C264,'Asset Register'!$A:$A,0)),""))</f>
        <v/>
      </c>
      <c r="H264" t="str">
        <f>IFERROR(INDEX('Task Master'!$E:$E,MATCH($F264&amp;"||"&amp;$G264,'Task Master'!$K:$K,0)),"")</f>
        <v/>
      </c>
      <c r="I264" t="str">
        <f>IFERROR(INDEX('Task Master'!$F:$F,MATCH($F264&amp;"||"&amp;$G264,'Task Master'!$K:$K,0)),"")</f>
        <v/>
      </c>
      <c r="J264" t="str">
        <f>IFERROR(INDEX('Task Master'!$H:$H,MATCH($F264&amp;"||"&amp;$G264,'Task Master'!$K:$K,0)),"")</f>
        <v/>
      </c>
      <c r="N264" s="18" t="str">
        <f t="shared" si="33"/>
        <v/>
      </c>
      <c r="R264" s="18">
        <f t="shared" si="34"/>
        <v>0</v>
      </c>
      <c r="V264" s="18">
        <f t="shared" si="35"/>
        <v>0</v>
      </c>
      <c r="Z264" s="18">
        <f t="shared" si="36"/>
        <v>0</v>
      </c>
      <c r="AA264" s="18"/>
      <c r="AB264" s="18">
        <f t="shared" si="37"/>
        <v>0</v>
      </c>
      <c r="AC264" s="18" t="str">
        <f t="shared" si="38"/>
        <v/>
      </c>
      <c r="AD264" s="18" t="str">
        <f t="shared" si="39"/>
        <v/>
      </c>
      <c r="AF264" t="str">
        <f>IFERROR(INDEX('Task Master'!$D:$D,MATCH($F264,'Task Master'!$C:$C,0)),"")</f>
        <v/>
      </c>
    </row>
    <row r="265" spans="1:32" x14ac:dyDescent="0.25">
      <c r="A265" t="str">
        <f t="shared" si="32"/>
        <v/>
      </c>
      <c r="B265" s="16"/>
      <c r="D265" t="str">
        <f>IF($C265="","",IFERROR(INDEX('Asset Register'!$B:$B,MATCH($C265,'Asset Register'!$A:$A,0)),""))</f>
        <v/>
      </c>
      <c r="H265" t="str">
        <f>IFERROR(INDEX('Task Master'!$E:$E,MATCH($F265&amp;"||"&amp;$G265,'Task Master'!$K:$K,0)),"")</f>
        <v/>
      </c>
      <c r="I265" t="str">
        <f>IFERROR(INDEX('Task Master'!$F:$F,MATCH($F265&amp;"||"&amp;$G265,'Task Master'!$K:$K,0)),"")</f>
        <v/>
      </c>
      <c r="J265" t="str">
        <f>IFERROR(INDEX('Task Master'!$H:$H,MATCH($F265&amp;"||"&amp;$G265,'Task Master'!$K:$K,0)),"")</f>
        <v/>
      </c>
      <c r="N265" s="18" t="str">
        <f t="shared" si="33"/>
        <v/>
      </c>
      <c r="R265" s="18">
        <f t="shared" si="34"/>
        <v>0</v>
      </c>
      <c r="V265" s="18">
        <f t="shared" si="35"/>
        <v>0</v>
      </c>
      <c r="Z265" s="18">
        <f t="shared" si="36"/>
        <v>0</v>
      </c>
      <c r="AA265" s="18"/>
      <c r="AB265" s="18">
        <f t="shared" si="37"/>
        <v>0</v>
      </c>
      <c r="AC265" s="18" t="str">
        <f t="shared" si="38"/>
        <v/>
      </c>
      <c r="AD265" s="18" t="str">
        <f t="shared" si="39"/>
        <v/>
      </c>
      <c r="AF265" t="str">
        <f>IFERROR(INDEX('Task Master'!$D:$D,MATCH($F265,'Task Master'!$C:$C,0)),"")</f>
        <v/>
      </c>
    </row>
    <row r="266" spans="1:32" x14ac:dyDescent="0.25">
      <c r="A266" t="str">
        <f t="shared" si="32"/>
        <v/>
      </c>
      <c r="B266" s="16"/>
      <c r="D266" t="str">
        <f>IF($C266="","",IFERROR(INDEX('Asset Register'!$B:$B,MATCH($C266,'Asset Register'!$A:$A,0)),""))</f>
        <v/>
      </c>
      <c r="H266" t="str">
        <f>IFERROR(INDEX('Task Master'!$E:$E,MATCH($F266&amp;"||"&amp;$G266,'Task Master'!$K:$K,0)),"")</f>
        <v/>
      </c>
      <c r="I266" t="str">
        <f>IFERROR(INDEX('Task Master'!$F:$F,MATCH($F266&amp;"||"&amp;$G266,'Task Master'!$K:$K,0)),"")</f>
        <v/>
      </c>
      <c r="J266" t="str">
        <f>IFERROR(INDEX('Task Master'!$H:$H,MATCH($F266&amp;"||"&amp;$G266,'Task Master'!$K:$K,0)),"")</f>
        <v/>
      </c>
      <c r="N266" s="18" t="str">
        <f t="shared" si="33"/>
        <v/>
      </c>
      <c r="R266" s="18">
        <f t="shared" si="34"/>
        <v>0</v>
      </c>
      <c r="V266" s="18">
        <f t="shared" si="35"/>
        <v>0</v>
      </c>
      <c r="Z266" s="18">
        <f t="shared" si="36"/>
        <v>0</v>
      </c>
      <c r="AA266" s="18"/>
      <c r="AB266" s="18">
        <f t="shared" si="37"/>
        <v>0</v>
      </c>
      <c r="AC266" s="18" t="str">
        <f t="shared" si="38"/>
        <v/>
      </c>
      <c r="AD266" s="18" t="str">
        <f t="shared" si="39"/>
        <v/>
      </c>
      <c r="AF266" t="str">
        <f>IFERROR(INDEX('Task Master'!$D:$D,MATCH($F266,'Task Master'!$C:$C,0)),"")</f>
        <v/>
      </c>
    </row>
    <row r="267" spans="1:32" x14ac:dyDescent="0.25">
      <c r="A267" t="str">
        <f t="shared" si="32"/>
        <v/>
      </c>
      <c r="B267" s="16"/>
      <c r="D267" t="str">
        <f>IF($C267="","",IFERROR(INDEX('Asset Register'!$B:$B,MATCH($C267,'Asset Register'!$A:$A,0)),""))</f>
        <v/>
      </c>
      <c r="H267" t="str">
        <f>IFERROR(INDEX('Task Master'!$E:$E,MATCH($F267&amp;"||"&amp;$G267,'Task Master'!$K:$K,0)),"")</f>
        <v/>
      </c>
      <c r="I267" t="str">
        <f>IFERROR(INDEX('Task Master'!$F:$F,MATCH($F267&amp;"||"&amp;$G267,'Task Master'!$K:$K,0)),"")</f>
        <v/>
      </c>
      <c r="J267" t="str">
        <f>IFERROR(INDEX('Task Master'!$H:$H,MATCH($F267&amp;"||"&amp;$G267,'Task Master'!$K:$K,0)),"")</f>
        <v/>
      </c>
      <c r="N267" s="18" t="str">
        <f t="shared" si="33"/>
        <v/>
      </c>
      <c r="R267" s="18">
        <f t="shared" si="34"/>
        <v>0</v>
      </c>
      <c r="V267" s="18">
        <f t="shared" si="35"/>
        <v>0</v>
      </c>
      <c r="Z267" s="18">
        <f t="shared" si="36"/>
        <v>0</v>
      </c>
      <c r="AA267" s="18"/>
      <c r="AB267" s="18">
        <f t="shared" si="37"/>
        <v>0</v>
      </c>
      <c r="AC267" s="18" t="str">
        <f t="shared" si="38"/>
        <v/>
      </c>
      <c r="AD267" s="18" t="str">
        <f t="shared" si="39"/>
        <v/>
      </c>
      <c r="AF267" t="str">
        <f>IFERROR(INDEX('Task Master'!$D:$D,MATCH($F267,'Task Master'!$C:$C,0)),"")</f>
        <v/>
      </c>
    </row>
    <row r="268" spans="1:32" x14ac:dyDescent="0.25">
      <c r="A268" t="str">
        <f t="shared" si="32"/>
        <v/>
      </c>
      <c r="B268" s="16"/>
      <c r="D268" t="str">
        <f>IF($C268="","",IFERROR(INDEX('Asset Register'!$B:$B,MATCH($C268,'Asset Register'!$A:$A,0)),""))</f>
        <v/>
      </c>
      <c r="H268" t="str">
        <f>IFERROR(INDEX('Task Master'!$E:$E,MATCH($F268&amp;"||"&amp;$G268,'Task Master'!$K:$K,0)),"")</f>
        <v/>
      </c>
      <c r="I268" t="str">
        <f>IFERROR(INDEX('Task Master'!$F:$F,MATCH($F268&amp;"||"&amp;$G268,'Task Master'!$K:$K,0)),"")</f>
        <v/>
      </c>
      <c r="J268" t="str">
        <f>IFERROR(INDEX('Task Master'!$H:$H,MATCH($F268&amp;"||"&amp;$G268,'Task Master'!$K:$K,0)),"")</f>
        <v/>
      </c>
      <c r="N268" s="18" t="str">
        <f t="shared" si="33"/>
        <v/>
      </c>
      <c r="R268" s="18">
        <f t="shared" si="34"/>
        <v>0</v>
      </c>
      <c r="V268" s="18">
        <f t="shared" si="35"/>
        <v>0</v>
      </c>
      <c r="Z268" s="18">
        <f t="shared" si="36"/>
        <v>0</v>
      </c>
      <c r="AA268" s="18"/>
      <c r="AB268" s="18">
        <f t="shared" si="37"/>
        <v>0</v>
      </c>
      <c r="AC268" s="18" t="str">
        <f t="shared" si="38"/>
        <v/>
      </c>
      <c r="AD268" s="18" t="str">
        <f t="shared" si="39"/>
        <v/>
      </c>
      <c r="AF268" t="str">
        <f>IFERROR(INDEX('Task Master'!$D:$D,MATCH($F268,'Task Master'!$C:$C,0)),"")</f>
        <v/>
      </c>
    </row>
    <row r="269" spans="1:32" x14ac:dyDescent="0.25">
      <c r="A269" t="str">
        <f t="shared" si="32"/>
        <v/>
      </c>
      <c r="B269" s="16"/>
      <c r="D269" t="str">
        <f>IF($C269="","",IFERROR(INDEX('Asset Register'!$B:$B,MATCH($C269,'Asset Register'!$A:$A,0)),""))</f>
        <v/>
      </c>
      <c r="H269" t="str">
        <f>IFERROR(INDEX('Task Master'!$E:$E,MATCH($F269&amp;"||"&amp;$G269,'Task Master'!$K:$K,0)),"")</f>
        <v/>
      </c>
      <c r="I269" t="str">
        <f>IFERROR(INDEX('Task Master'!$F:$F,MATCH($F269&amp;"||"&amp;$G269,'Task Master'!$K:$K,0)),"")</f>
        <v/>
      </c>
      <c r="J269" t="str">
        <f>IFERROR(INDEX('Task Master'!$H:$H,MATCH($F269&amp;"||"&amp;$G269,'Task Master'!$K:$K,0)),"")</f>
        <v/>
      </c>
      <c r="N269" s="18" t="str">
        <f t="shared" si="33"/>
        <v/>
      </c>
      <c r="R269" s="18">
        <f t="shared" si="34"/>
        <v>0</v>
      </c>
      <c r="V269" s="18">
        <f t="shared" si="35"/>
        <v>0</v>
      </c>
      <c r="Z269" s="18">
        <f t="shared" si="36"/>
        <v>0</v>
      </c>
      <c r="AA269" s="18"/>
      <c r="AB269" s="18">
        <f t="shared" si="37"/>
        <v>0</v>
      </c>
      <c r="AC269" s="18" t="str">
        <f t="shared" si="38"/>
        <v/>
      </c>
      <c r="AD269" s="18" t="str">
        <f t="shared" si="39"/>
        <v/>
      </c>
      <c r="AF269" t="str">
        <f>IFERROR(INDEX('Task Master'!$D:$D,MATCH($F269,'Task Master'!$C:$C,0)),"")</f>
        <v/>
      </c>
    </row>
    <row r="270" spans="1:32" x14ac:dyDescent="0.25">
      <c r="A270" t="str">
        <f t="shared" si="32"/>
        <v/>
      </c>
      <c r="B270" s="16"/>
      <c r="D270" t="str">
        <f>IF($C270="","",IFERROR(INDEX('Asset Register'!$B:$B,MATCH($C270,'Asset Register'!$A:$A,0)),""))</f>
        <v/>
      </c>
      <c r="H270" t="str">
        <f>IFERROR(INDEX('Task Master'!$E:$E,MATCH($F270&amp;"||"&amp;$G270,'Task Master'!$K:$K,0)),"")</f>
        <v/>
      </c>
      <c r="I270" t="str">
        <f>IFERROR(INDEX('Task Master'!$F:$F,MATCH($F270&amp;"||"&amp;$G270,'Task Master'!$K:$K,0)),"")</f>
        <v/>
      </c>
      <c r="J270" t="str">
        <f>IFERROR(INDEX('Task Master'!$H:$H,MATCH($F270&amp;"||"&amp;$G270,'Task Master'!$K:$K,0)),"")</f>
        <v/>
      </c>
      <c r="N270" s="18" t="str">
        <f t="shared" si="33"/>
        <v/>
      </c>
      <c r="R270" s="18">
        <f t="shared" si="34"/>
        <v>0</v>
      </c>
      <c r="V270" s="18">
        <f t="shared" si="35"/>
        <v>0</v>
      </c>
      <c r="Z270" s="18">
        <f t="shared" si="36"/>
        <v>0</v>
      </c>
      <c r="AA270" s="18"/>
      <c r="AB270" s="18">
        <f t="shared" si="37"/>
        <v>0</v>
      </c>
      <c r="AC270" s="18" t="str">
        <f t="shared" si="38"/>
        <v/>
      </c>
      <c r="AD270" s="18" t="str">
        <f t="shared" si="39"/>
        <v/>
      </c>
      <c r="AF270" t="str">
        <f>IFERROR(INDEX('Task Master'!$D:$D,MATCH($F270,'Task Master'!$C:$C,0)),"")</f>
        <v/>
      </c>
    </row>
    <row r="271" spans="1:32" x14ac:dyDescent="0.25">
      <c r="A271" t="str">
        <f t="shared" si="32"/>
        <v/>
      </c>
      <c r="B271" s="16"/>
      <c r="D271" t="str">
        <f>IF($C271="","",IFERROR(INDEX('Asset Register'!$B:$B,MATCH($C271,'Asset Register'!$A:$A,0)),""))</f>
        <v/>
      </c>
      <c r="H271" t="str">
        <f>IFERROR(INDEX('Task Master'!$E:$E,MATCH($F271&amp;"||"&amp;$G271,'Task Master'!$K:$K,0)),"")</f>
        <v/>
      </c>
      <c r="I271" t="str">
        <f>IFERROR(INDEX('Task Master'!$F:$F,MATCH($F271&amp;"||"&amp;$G271,'Task Master'!$K:$K,0)),"")</f>
        <v/>
      </c>
      <c r="J271" t="str">
        <f>IFERROR(INDEX('Task Master'!$H:$H,MATCH($F271&amp;"||"&amp;$G271,'Task Master'!$K:$K,0)),"")</f>
        <v/>
      </c>
      <c r="N271" s="18" t="str">
        <f t="shared" si="33"/>
        <v/>
      </c>
      <c r="R271" s="18">
        <f t="shared" si="34"/>
        <v>0</v>
      </c>
      <c r="V271" s="18">
        <f t="shared" si="35"/>
        <v>0</v>
      </c>
      <c r="Z271" s="18">
        <f t="shared" si="36"/>
        <v>0</v>
      </c>
      <c r="AA271" s="18"/>
      <c r="AB271" s="18">
        <f t="shared" si="37"/>
        <v>0</v>
      </c>
      <c r="AC271" s="18" t="str">
        <f t="shared" si="38"/>
        <v/>
      </c>
      <c r="AD271" s="18" t="str">
        <f t="shared" si="39"/>
        <v/>
      </c>
      <c r="AF271" t="str">
        <f>IFERROR(INDEX('Task Master'!$D:$D,MATCH($F271,'Task Master'!$C:$C,0)),"")</f>
        <v/>
      </c>
    </row>
    <row r="272" spans="1:32" x14ac:dyDescent="0.25">
      <c r="A272" t="str">
        <f t="shared" si="32"/>
        <v/>
      </c>
      <c r="B272" s="16"/>
      <c r="D272" t="str">
        <f>IF($C272="","",IFERROR(INDEX('Asset Register'!$B:$B,MATCH($C272,'Asset Register'!$A:$A,0)),""))</f>
        <v/>
      </c>
      <c r="H272" t="str">
        <f>IFERROR(INDEX('Task Master'!$E:$E,MATCH($F272&amp;"||"&amp;$G272,'Task Master'!$K:$K,0)),"")</f>
        <v/>
      </c>
      <c r="I272" t="str">
        <f>IFERROR(INDEX('Task Master'!$F:$F,MATCH($F272&amp;"||"&amp;$G272,'Task Master'!$K:$K,0)),"")</f>
        <v/>
      </c>
      <c r="J272" t="str">
        <f>IFERROR(INDEX('Task Master'!$H:$H,MATCH($F272&amp;"||"&amp;$G272,'Task Master'!$K:$K,0)),"")</f>
        <v/>
      </c>
      <c r="N272" s="18" t="str">
        <f t="shared" si="33"/>
        <v/>
      </c>
      <c r="R272" s="18">
        <f t="shared" si="34"/>
        <v>0</v>
      </c>
      <c r="V272" s="18">
        <f t="shared" si="35"/>
        <v>0</v>
      </c>
      <c r="Z272" s="18">
        <f t="shared" si="36"/>
        <v>0</v>
      </c>
      <c r="AA272" s="18"/>
      <c r="AB272" s="18">
        <f t="shared" si="37"/>
        <v>0</v>
      </c>
      <c r="AC272" s="18" t="str">
        <f t="shared" si="38"/>
        <v/>
      </c>
      <c r="AD272" s="18" t="str">
        <f t="shared" si="39"/>
        <v/>
      </c>
      <c r="AF272" t="str">
        <f>IFERROR(INDEX('Task Master'!$D:$D,MATCH($F272,'Task Master'!$C:$C,0)),"")</f>
        <v/>
      </c>
    </row>
    <row r="273" spans="1:32" x14ac:dyDescent="0.25">
      <c r="A273" t="str">
        <f t="shared" si="32"/>
        <v/>
      </c>
      <c r="B273" s="16"/>
      <c r="D273" t="str">
        <f>IF($C273="","",IFERROR(INDEX('Asset Register'!$B:$B,MATCH($C273,'Asset Register'!$A:$A,0)),""))</f>
        <v/>
      </c>
      <c r="H273" t="str">
        <f>IFERROR(INDEX('Task Master'!$E:$E,MATCH($F273&amp;"||"&amp;$G273,'Task Master'!$K:$K,0)),"")</f>
        <v/>
      </c>
      <c r="I273" t="str">
        <f>IFERROR(INDEX('Task Master'!$F:$F,MATCH($F273&amp;"||"&amp;$G273,'Task Master'!$K:$K,0)),"")</f>
        <v/>
      </c>
      <c r="J273" t="str">
        <f>IFERROR(INDEX('Task Master'!$H:$H,MATCH($F273&amp;"||"&amp;$G273,'Task Master'!$K:$K,0)),"")</f>
        <v/>
      </c>
      <c r="N273" s="18" t="str">
        <f t="shared" si="33"/>
        <v/>
      </c>
      <c r="R273" s="18">
        <f t="shared" si="34"/>
        <v>0</v>
      </c>
      <c r="V273" s="18">
        <f t="shared" si="35"/>
        <v>0</v>
      </c>
      <c r="Z273" s="18">
        <f t="shared" si="36"/>
        <v>0</v>
      </c>
      <c r="AA273" s="18"/>
      <c r="AB273" s="18">
        <f t="shared" si="37"/>
        <v>0</v>
      </c>
      <c r="AC273" s="18" t="str">
        <f t="shared" si="38"/>
        <v/>
      </c>
      <c r="AD273" s="18" t="str">
        <f t="shared" si="39"/>
        <v/>
      </c>
      <c r="AF273" t="str">
        <f>IFERROR(INDEX('Task Master'!$D:$D,MATCH($F273,'Task Master'!$C:$C,0)),"")</f>
        <v/>
      </c>
    </row>
    <row r="274" spans="1:32" x14ac:dyDescent="0.25">
      <c r="A274" t="str">
        <f t="shared" si="32"/>
        <v/>
      </c>
      <c r="B274" s="16"/>
      <c r="D274" t="str">
        <f>IF($C274="","",IFERROR(INDEX('Asset Register'!$B:$B,MATCH($C274,'Asset Register'!$A:$A,0)),""))</f>
        <v/>
      </c>
      <c r="H274" t="str">
        <f>IFERROR(INDEX('Task Master'!$E:$E,MATCH($F274&amp;"||"&amp;$G274,'Task Master'!$K:$K,0)),"")</f>
        <v/>
      </c>
      <c r="I274" t="str">
        <f>IFERROR(INDEX('Task Master'!$F:$F,MATCH($F274&amp;"||"&amp;$G274,'Task Master'!$K:$K,0)),"")</f>
        <v/>
      </c>
      <c r="J274" t="str">
        <f>IFERROR(INDEX('Task Master'!$H:$H,MATCH($F274&amp;"||"&amp;$G274,'Task Master'!$K:$K,0)),"")</f>
        <v/>
      </c>
      <c r="N274" s="18" t="str">
        <f t="shared" si="33"/>
        <v/>
      </c>
      <c r="R274" s="18">
        <f t="shared" si="34"/>
        <v>0</v>
      </c>
      <c r="V274" s="18">
        <f t="shared" si="35"/>
        <v>0</v>
      </c>
      <c r="Z274" s="18">
        <f t="shared" si="36"/>
        <v>0</v>
      </c>
      <c r="AA274" s="18"/>
      <c r="AB274" s="18">
        <f t="shared" si="37"/>
        <v>0</v>
      </c>
      <c r="AC274" s="18" t="str">
        <f t="shared" si="38"/>
        <v/>
      </c>
      <c r="AD274" s="18" t="str">
        <f t="shared" si="39"/>
        <v/>
      </c>
      <c r="AF274" t="str">
        <f>IFERROR(INDEX('Task Master'!$D:$D,MATCH($F274,'Task Master'!$C:$C,0)),"")</f>
        <v/>
      </c>
    </row>
    <row r="275" spans="1:32" x14ac:dyDescent="0.25">
      <c r="A275" t="str">
        <f t="shared" si="32"/>
        <v/>
      </c>
      <c r="B275" s="16"/>
      <c r="D275" t="str">
        <f>IF($C275="","",IFERROR(INDEX('Asset Register'!$B:$B,MATCH($C275,'Asset Register'!$A:$A,0)),""))</f>
        <v/>
      </c>
      <c r="H275" t="str">
        <f>IFERROR(INDEX('Task Master'!$E:$E,MATCH($F275&amp;"||"&amp;$G275,'Task Master'!$K:$K,0)),"")</f>
        <v/>
      </c>
      <c r="I275" t="str">
        <f>IFERROR(INDEX('Task Master'!$F:$F,MATCH($F275&amp;"||"&amp;$G275,'Task Master'!$K:$K,0)),"")</f>
        <v/>
      </c>
      <c r="J275" t="str">
        <f>IFERROR(INDEX('Task Master'!$H:$H,MATCH($F275&amp;"||"&amp;$G275,'Task Master'!$K:$K,0)),"")</f>
        <v/>
      </c>
      <c r="N275" s="18" t="str">
        <f t="shared" si="33"/>
        <v/>
      </c>
      <c r="R275" s="18">
        <f t="shared" si="34"/>
        <v>0</v>
      </c>
      <c r="V275" s="18">
        <f t="shared" si="35"/>
        <v>0</v>
      </c>
      <c r="Z275" s="18">
        <f t="shared" si="36"/>
        <v>0</v>
      </c>
      <c r="AA275" s="18"/>
      <c r="AB275" s="18">
        <f t="shared" si="37"/>
        <v>0</v>
      </c>
      <c r="AC275" s="18" t="str">
        <f t="shared" si="38"/>
        <v/>
      </c>
      <c r="AD275" s="18" t="str">
        <f t="shared" si="39"/>
        <v/>
      </c>
      <c r="AF275" t="str">
        <f>IFERROR(INDEX('Task Master'!$D:$D,MATCH($F275,'Task Master'!$C:$C,0)),"")</f>
        <v/>
      </c>
    </row>
    <row r="276" spans="1:32" x14ac:dyDescent="0.25">
      <c r="A276" t="str">
        <f t="shared" si="32"/>
        <v/>
      </c>
      <c r="B276" s="16"/>
      <c r="D276" t="str">
        <f>IF($C276="","",IFERROR(INDEX('Asset Register'!$B:$B,MATCH($C276,'Asset Register'!$A:$A,0)),""))</f>
        <v/>
      </c>
      <c r="H276" t="str">
        <f>IFERROR(INDEX('Task Master'!$E:$E,MATCH($F276&amp;"||"&amp;$G276,'Task Master'!$K:$K,0)),"")</f>
        <v/>
      </c>
      <c r="I276" t="str">
        <f>IFERROR(INDEX('Task Master'!$F:$F,MATCH($F276&amp;"||"&amp;$G276,'Task Master'!$K:$K,0)),"")</f>
        <v/>
      </c>
      <c r="J276" t="str">
        <f>IFERROR(INDEX('Task Master'!$H:$H,MATCH($F276&amp;"||"&amp;$G276,'Task Master'!$K:$K,0)),"")</f>
        <v/>
      </c>
      <c r="N276" s="18" t="str">
        <f t="shared" si="33"/>
        <v/>
      </c>
      <c r="R276" s="18">
        <f t="shared" si="34"/>
        <v>0</v>
      </c>
      <c r="V276" s="18">
        <f t="shared" si="35"/>
        <v>0</v>
      </c>
      <c r="Z276" s="18">
        <f t="shared" si="36"/>
        <v>0</v>
      </c>
      <c r="AA276" s="18"/>
      <c r="AB276" s="18">
        <f t="shared" si="37"/>
        <v>0</v>
      </c>
      <c r="AC276" s="18" t="str">
        <f t="shared" si="38"/>
        <v/>
      </c>
      <c r="AD276" s="18" t="str">
        <f t="shared" si="39"/>
        <v/>
      </c>
      <c r="AF276" t="str">
        <f>IFERROR(INDEX('Task Master'!$D:$D,MATCH($F276,'Task Master'!$C:$C,0)),"")</f>
        <v/>
      </c>
    </row>
    <row r="277" spans="1:32" x14ac:dyDescent="0.25">
      <c r="A277" t="str">
        <f t="shared" si="32"/>
        <v/>
      </c>
      <c r="B277" s="16"/>
      <c r="D277" t="str">
        <f>IF($C277="","",IFERROR(INDEX('Asset Register'!$B:$B,MATCH($C277,'Asset Register'!$A:$A,0)),""))</f>
        <v/>
      </c>
      <c r="H277" t="str">
        <f>IFERROR(INDEX('Task Master'!$E:$E,MATCH($F277&amp;"||"&amp;$G277,'Task Master'!$K:$K,0)),"")</f>
        <v/>
      </c>
      <c r="I277" t="str">
        <f>IFERROR(INDEX('Task Master'!$F:$F,MATCH($F277&amp;"||"&amp;$G277,'Task Master'!$K:$K,0)),"")</f>
        <v/>
      </c>
      <c r="J277" t="str">
        <f>IFERROR(INDEX('Task Master'!$H:$H,MATCH($F277&amp;"||"&amp;$G277,'Task Master'!$K:$K,0)),"")</f>
        <v/>
      </c>
      <c r="N277" s="18" t="str">
        <f t="shared" si="33"/>
        <v/>
      </c>
      <c r="R277" s="18">
        <f t="shared" si="34"/>
        <v>0</v>
      </c>
      <c r="V277" s="18">
        <f t="shared" si="35"/>
        <v>0</v>
      </c>
      <c r="Z277" s="18">
        <f t="shared" si="36"/>
        <v>0</v>
      </c>
      <c r="AA277" s="18"/>
      <c r="AB277" s="18">
        <f t="shared" si="37"/>
        <v>0</v>
      </c>
      <c r="AC277" s="18" t="str">
        <f t="shared" si="38"/>
        <v/>
      </c>
      <c r="AD277" s="18" t="str">
        <f t="shared" si="39"/>
        <v/>
      </c>
      <c r="AF277" t="str">
        <f>IFERROR(INDEX('Task Master'!$D:$D,MATCH($F277,'Task Master'!$C:$C,0)),"")</f>
        <v/>
      </c>
    </row>
    <row r="278" spans="1:32" x14ac:dyDescent="0.25">
      <c r="A278" t="str">
        <f t="shared" si="32"/>
        <v/>
      </c>
      <c r="B278" s="16"/>
      <c r="D278" t="str">
        <f>IF($C278="","",IFERROR(INDEX('Asset Register'!$B:$B,MATCH($C278,'Asset Register'!$A:$A,0)),""))</f>
        <v/>
      </c>
      <c r="H278" t="str">
        <f>IFERROR(INDEX('Task Master'!$E:$E,MATCH($F278&amp;"||"&amp;$G278,'Task Master'!$K:$K,0)),"")</f>
        <v/>
      </c>
      <c r="I278" t="str">
        <f>IFERROR(INDEX('Task Master'!$F:$F,MATCH($F278&amp;"||"&amp;$G278,'Task Master'!$K:$K,0)),"")</f>
        <v/>
      </c>
      <c r="J278" t="str">
        <f>IFERROR(INDEX('Task Master'!$H:$H,MATCH($F278&amp;"||"&amp;$G278,'Task Master'!$K:$K,0)),"")</f>
        <v/>
      </c>
      <c r="N278" s="18" t="str">
        <f t="shared" si="33"/>
        <v/>
      </c>
      <c r="R278" s="18">
        <f t="shared" si="34"/>
        <v>0</v>
      </c>
      <c r="V278" s="18">
        <f t="shared" si="35"/>
        <v>0</v>
      </c>
      <c r="Z278" s="18">
        <f t="shared" si="36"/>
        <v>0</v>
      </c>
      <c r="AA278" s="18"/>
      <c r="AB278" s="18">
        <f t="shared" si="37"/>
        <v>0</v>
      </c>
      <c r="AC278" s="18" t="str">
        <f t="shared" si="38"/>
        <v/>
      </c>
      <c r="AD278" s="18" t="str">
        <f t="shared" si="39"/>
        <v/>
      </c>
      <c r="AF278" t="str">
        <f>IFERROR(INDEX('Task Master'!$D:$D,MATCH($F278,'Task Master'!$C:$C,0)),"")</f>
        <v/>
      </c>
    </row>
    <row r="279" spans="1:32" x14ac:dyDescent="0.25">
      <c r="A279" t="str">
        <f t="shared" si="32"/>
        <v/>
      </c>
      <c r="B279" s="16"/>
      <c r="D279" t="str">
        <f>IF($C279="","",IFERROR(INDEX('Asset Register'!$B:$B,MATCH($C279,'Asset Register'!$A:$A,0)),""))</f>
        <v/>
      </c>
      <c r="H279" t="str">
        <f>IFERROR(INDEX('Task Master'!$E:$E,MATCH($F279&amp;"||"&amp;$G279,'Task Master'!$K:$K,0)),"")</f>
        <v/>
      </c>
      <c r="I279" t="str">
        <f>IFERROR(INDEX('Task Master'!$F:$F,MATCH($F279&amp;"||"&amp;$G279,'Task Master'!$K:$K,0)),"")</f>
        <v/>
      </c>
      <c r="J279" t="str">
        <f>IFERROR(INDEX('Task Master'!$H:$H,MATCH($F279&amp;"||"&amp;$G279,'Task Master'!$K:$K,0)),"")</f>
        <v/>
      </c>
      <c r="N279" s="18" t="str">
        <f t="shared" si="33"/>
        <v/>
      </c>
      <c r="R279" s="18">
        <f t="shared" si="34"/>
        <v>0</v>
      </c>
      <c r="V279" s="18">
        <f t="shared" si="35"/>
        <v>0</v>
      </c>
      <c r="Z279" s="18">
        <f t="shared" si="36"/>
        <v>0</v>
      </c>
      <c r="AA279" s="18"/>
      <c r="AB279" s="18">
        <f t="shared" si="37"/>
        <v>0</v>
      </c>
      <c r="AC279" s="18" t="str">
        <f t="shared" si="38"/>
        <v/>
      </c>
      <c r="AD279" s="18" t="str">
        <f t="shared" si="39"/>
        <v/>
      </c>
      <c r="AF279" t="str">
        <f>IFERROR(INDEX('Task Master'!$D:$D,MATCH($F279,'Task Master'!$C:$C,0)),"")</f>
        <v/>
      </c>
    </row>
    <row r="280" spans="1:32" x14ac:dyDescent="0.25">
      <c r="A280" t="str">
        <f t="shared" si="32"/>
        <v/>
      </c>
      <c r="B280" s="16"/>
      <c r="D280" t="str">
        <f>IF($C280="","",IFERROR(INDEX('Asset Register'!$B:$B,MATCH($C280,'Asset Register'!$A:$A,0)),""))</f>
        <v/>
      </c>
      <c r="H280" t="str">
        <f>IFERROR(INDEX('Task Master'!$E:$E,MATCH($F280&amp;"||"&amp;$G280,'Task Master'!$K:$K,0)),"")</f>
        <v/>
      </c>
      <c r="I280" t="str">
        <f>IFERROR(INDEX('Task Master'!$F:$F,MATCH($F280&amp;"||"&amp;$G280,'Task Master'!$K:$K,0)),"")</f>
        <v/>
      </c>
      <c r="J280" t="str">
        <f>IFERROR(INDEX('Task Master'!$H:$H,MATCH($F280&amp;"||"&amp;$G280,'Task Master'!$K:$K,0)),"")</f>
        <v/>
      </c>
      <c r="N280" s="18" t="str">
        <f t="shared" si="33"/>
        <v/>
      </c>
      <c r="R280" s="18">
        <f t="shared" si="34"/>
        <v>0</v>
      </c>
      <c r="V280" s="18">
        <f t="shared" si="35"/>
        <v>0</v>
      </c>
      <c r="Z280" s="18">
        <f t="shared" si="36"/>
        <v>0</v>
      </c>
      <c r="AA280" s="18"/>
      <c r="AB280" s="18">
        <f t="shared" si="37"/>
        <v>0</v>
      </c>
      <c r="AC280" s="18" t="str">
        <f t="shared" si="38"/>
        <v/>
      </c>
      <c r="AD280" s="18" t="str">
        <f t="shared" si="39"/>
        <v/>
      </c>
      <c r="AF280" t="str">
        <f>IFERROR(INDEX('Task Master'!$D:$D,MATCH($F280,'Task Master'!$C:$C,0)),"")</f>
        <v/>
      </c>
    </row>
    <row r="281" spans="1:32" x14ac:dyDescent="0.25">
      <c r="A281" t="str">
        <f t="shared" si="32"/>
        <v/>
      </c>
      <c r="B281" s="16"/>
      <c r="D281" t="str">
        <f>IF($C281="","",IFERROR(INDEX('Asset Register'!$B:$B,MATCH($C281,'Asset Register'!$A:$A,0)),""))</f>
        <v/>
      </c>
      <c r="H281" t="str">
        <f>IFERROR(INDEX('Task Master'!$E:$E,MATCH($F281&amp;"||"&amp;$G281,'Task Master'!$K:$K,0)),"")</f>
        <v/>
      </c>
      <c r="I281" t="str">
        <f>IFERROR(INDEX('Task Master'!$F:$F,MATCH($F281&amp;"||"&amp;$G281,'Task Master'!$K:$K,0)),"")</f>
        <v/>
      </c>
      <c r="J281" t="str">
        <f>IFERROR(INDEX('Task Master'!$H:$H,MATCH($F281&amp;"||"&amp;$G281,'Task Master'!$K:$K,0)),"")</f>
        <v/>
      </c>
      <c r="N281" s="18" t="str">
        <f t="shared" si="33"/>
        <v/>
      </c>
      <c r="R281" s="18">
        <f t="shared" si="34"/>
        <v>0</v>
      </c>
      <c r="V281" s="18">
        <f t="shared" si="35"/>
        <v>0</v>
      </c>
      <c r="Z281" s="18">
        <f t="shared" si="36"/>
        <v>0</v>
      </c>
      <c r="AA281" s="18"/>
      <c r="AB281" s="18">
        <f t="shared" si="37"/>
        <v>0</v>
      </c>
      <c r="AC281" s="18" t="str">
        <f t="shared" si="38"/>
        <v/>
      </c>
      <c r="AD281" s="18" t="str">
        <f t="shared" si="39"/>
        <v/>
      </c>
      <c r="AF281" t="str">
        <f>IFERROR(INDEX('Task Master'!$D:$D,MATCH($F281,'Task Master'!$C:$C,0)),"")</f>
        <v/>
      </c>
    </row>
    <row r="282" spans="1:32" x14ac:dyDescent="0.25">
      <c r="A282" t="str">
        <f t="shared" si="32"/>
        <v/>
      </c>
      <c r="B282" s="16"/>
      <c r="D282" t="str">
        <f>IF($C282="","",IFERROR(INDEX('Asset Register'!$B:$B,MATCH($C282,'Asset Register'!$A:$A,0)),""))</f>
        <v/>
      </c>
      <c r="H282" t="str">
        <f>IFERROR(INDEX('Task Master'!$E:$E,MATCH($F282&amp;"||"&amp;$G282,'Task Master'!$K:$K,0)),"")</f>
        <v/>
      </c>
      <c r="I282" t="str">
        <f>IFERROR(INDEX('Task Master'!$F:$F,MATCH($F282&amp;"||"&amp;$G282,'Task Master'!$K:$K,0)),"")</f>
        <v/>
      </c>
      <c r="J282" t="str">
        <f>IFERROR(INDEX('Task Master'!$H:$H,MATCH($F282&amp;"||"&amp;$G282,'Task Master'!$K:$K,0)),"")</f>
        <v/>
      </c>
      <c r="N282" s="18" t="str">
        <f t="shared" si="33"/>
        <v/>
      </c>
      <c r="R282" s="18">
        <f t="shared" si="34"/>
        <v>0</v>
      </c>
      <c r="V282" s="18">
        <f t="shared" si="35"/>
        <v>0</v>
      </c>
      <c r="Z282" s="18">
        <f t="shared" si="36"/>
        <v>0</v>
      </c>
      <c r="AA282" s="18"/>
      <c r="AB282" s="18">
        <f t="shared" si="37"/>
        <v>0</v>
      </c>
      <c r="AC282" s="18" t="str">
        <f t="shared" si="38"/>
        <v/>
      </c>
      <c r="AD282" s="18" t="str">
        <f t="shared" si="39"/>
        <v/>
      </c>
      <c r="AF282" t="str">
        <f>IFERROR(INDEX('Task Master'!$D:$D,MATCH($F282,'Task Master'!$C:$C,0)),"")</f>
        <v/>
      </c>
    </row>
    <row r="283" spans="1:32" x14ac:dyDescent="0.25">
      <c r="A283" t="str">
        <f t="shared" si="32"/>
        <v/>
      </c>
      <c r="B283" s="16"/>
      <c r="D283" t="str">
        <f>IF($C283="","",IFERROR(INDEX('Asset Register'!$B:$B,MATCH($C283,'Asset Register'!$A:$A,0)),""))</f>
        <v/>
      </c>
      <c r="H283" t="str">
        <f>IFERROR(INDEX('Task Master'!$E:$E,MATCH($F283&amp;"||"&amp;$G283,'Task Master'!$K:$K,0)),"")</f>
        <v/>
      </c>
      <c r="I283" t="str">
        <f>IFERROR(INDEX('Task Master'!$F:$F,MATCH($F283&amp;"||"&amp;$G283,'Task Master'!$K:$K,0)),"")</f>
        <v/>
      </c>
      <c r="J283" t="str">
        <f>IFERROR(INDEX('Task Master'!$H:$H,MATCH($F283&amp;"||"&amp;$G283,'Task Master'!$K:$K,0)),"")</f>
        <v/>
      </c>
      <c r="N283" s="18" t="str">
        <f t="shared" si="33"/>
        <v/>
      </c>
      <c r="R283" s="18">
        <f t="shared" si="34"/>
        <v>0</v>
      </c>
      <c r="V283" s="18">
        <f t="shared" si="35"/>
        <v>0</v>
      </c>
      <c r="Z283" s="18">
        <f t="shared" si="36"/>
        <v>0</v>
      </c>
      <c r="AA283" s="18"/>
      <c r="AB283" s="18">
        <f t="shared" si="37"/>
        <v>0</v>
      </c>
      <c r="AC283" s="18" t="str">
        <f t="shared" si="38"/>
        <v/>
      </c>
      <c r="AD283" s="18" t="str">
        <f t="shared" si="39"/>
        <v/>
      </c>
      <c r="AF283" t="str">
        <f>IFERROR(INDEX('Task Master'!$D:$D,MATCH($F283,'Task Master'!$C:$C,0)),"")</f>
        <v/>
      </c>
    </row>
    <row r="284" spans="1:32" x14ac:dyDescent="0.25">
      <c r="A284" t="str">
        <f t="shared" si="32"/>
        <v/>
      </c>
      <c r="B284" s="16"/>
      <c r="D284" t="str">
        <f>IF($C284="","",IFERROR(INDEX('Asset Register'!$B:$B,MATCH($C284,'Asset Register'!$A:$A,0)),""))</f>
        <v/>
      </c>
      <c r="H284" t="str">
        <f>IFERROR(INDEX('Task Master'!$E:$E,MATCH($F284&amp;"||"&amp;$G284,'Task Master'!$K:$K,0)),"")</f>
        <v/>
      </c>
      <c r="I284" t="str">
        <f>IFERROR(INDEX('Task Master'!$F:$F,MATCH($F284&amp;"||"&amp;$G284,'Task Master'!$K:$K,0)),"")</f>
        <v/>
      </c>
      <c r="J284" t="str">
        <f>IFERROR(INDEX('Task Master'!$H:$H,MATCH($F284&amp;"||"&amp;$G284,'Task Master'!$K:$K,0)),"")</f>
        <v/>
      </c>
      <c r="N284" s="18" t="str">
        <f t="shared" si="33"/>
        <v/>
      </c>
      <c r="R284" s="18">
        <f t="shared" si="34"/>
        <v>0</v>
      </c>
      <c r="V284" s="18">
        <f t="shared" si="35"/>
        <v>0</v>
      </c>
      <c r="Z284" s="18">
        <f t="shared" si="36"/>
        <v>0</v>
      </c>
      <c r="AA284" s="18"/>
      <c r="AB284" s="18">
        <f t="shared" si="37"/>
        <v>0</v>
      </c>
      <c r="AC284" s="18" t="str">
        <f t="shared" si="38"/>
        <v/>
      </c>
      <c r="AD284" s="18" t="str">
        <f t="shared" si="39"/>
        <v/>
      </c>
      <c r="AF284" t="str">
        <f>IFERROR(INDEX('Task Master'!$D:$D,MATCH($F284,'Task Master'!$C:$C,0)),"")</f>
        <v/>
      </c>
    </row>
    <row r="285" spans="1:32" x14ac:dyDescent="0.25">
      <c r="A285" t="str">
        <f t="shared" si="32"/>
        <v/>
      </c>
      <c r="B285" s="16"/>
      <c r="D285" t="str">
        <f>IF($C285="","",IFERROR(INDEX('Asset Register'!$B:$B,MATCH($C285,'Asset Register'!$A:$A,0)),""))</f>
        <v/>
      </c>
      <c r="H285" t="str">
        <f>IFERROR(INDEX('Task Master'!$E:$E,MATCH($F285&amp;"||"&amp;$G285,'Task Master'!$K:$K,0)),"")</f>
        <v/>
      </c>
      <c r="I285" t="str">
        <f>IFERROR(INDEX('Task Master'!$F:$F,MATCH($F285&amp;"||"&amp;$G285,'Task Master'!$K:$K,0)),"")</f>
        <v/>
      </c>
      <c r="J285" t="str">
        <f>IFERROR(INDEX('Task Master'!$H:$H,MATCH($F285&amp;"||"&amp;$G285,'Task Master'!$K:$K,0)),"")</f>
        <v/>
      </c>
      <c r="N285" s="18" t="str">
        <f t="shared" si="33"/>
        <v/>
      </c>
      <c r="R285" s="18">
        <f t="shared" si="34"/>
        <v>0</v>
      </c>
      <c r="V285" s="18">
        <f t="shared" si="35"/>
        <v>0</v>
      </c>
      <c r="Z285" s="18">
        <f t="shared" si="36"/>
        <v>0</v>
      </c>
      <c r="AA285" s="18"/>
      <c r="AB285" s="18">
        <f t="shared" si="37"/>
        <v>0</v>
      </c>
      <c r="AC285" s="18" t="str">
        <f t="shared" si="38"/>
        <v/>
      </c>
      <c r="AD285" s="18" t="str">
        <f t="shared" si="39"/>
        <v/>
      </c>
      <c r="AF285" t="str">
        <f>IFERROR(INDEX('Task Master'!$D:$D,MATCH($F285,'Task Master'!$C:$C,0)),"")</f>
        <v/>
      </c>
    </row>
    <row r="286" spans="1:32" x14ac:dyDescent="0.25">
      <c r="A286" t="str">
        <f t="shared" si="32"/>
        <v/>
      </c>
      <c r="B286" s="16"/>
      <c r="D286" t="str">
        <f>IF($C286="","",IFERROR(INDEX('Asset Register'!$B:$B,MATCH($C286,'Asset Register'!$A:$A,0)),""))</f>
        <v/>
      </c>
      <c r="H286" t="str">
        <f>IFERROR(INDEX('Task Master'!$E:$E,MATCH($F286&amp;"||"&amp;$G286,'Task Master'!$K:$K,0)),"")</f>
        <v/>
      </c>
      <c r="I286" t="str">
        <f>IFERROR(INDEX('Task Master'!$F:$F,MATCH($F286&amp;"||"&amp;$G286,'Task Master'!$K:$K,0)),"")</f>
        <v/>
      </c>
      <c r="J286" t="str">
        <f>IFERROR(INDEX('Task Master'!$H:$H,MATCH($F286&amp;"||"&amp;$G286,'Task Master'!$K:$K,0)),"")</f>
        <v/>
      </c>
      <c r="N286" s="18" t="str">
        <f t="shared" si="33"/>
        <v/>
      </c>
      <c r="R286" s="18">
        <f t="shared" si="34"/>
        <v>0</v>
      </c>
      <c r="V286" s="18">
        <f t="shared" si="35"/>
        <v>0</v>
      </c>
      <c r="Z286" s="18">
        <f t="shared" si="36"/>
        <v>0</v>
      </c>
      <c r="AA286" s="18"/>
      <c r="AB286" s="18">
        <f t="shared" si="37"/>
        <v>0</v>
      </c>
      <c r="AC286" s="18" t="str">
        <f t="shared" si="38"/>
        <v/>
      </c>
      <c r="AD286" s="18" t="str">
        <f t="shared" si="39"/>
        <v/>
      </c>
      <c r="AF286" t="str">
        <f>IFERROR(INDEX('Task Master'!$D:$D,MATCH($F286,'Task Master'!$C:$C,0)),"")</f>
        <v/>
      </c>
    </row>
    <row r="287" spans="1:32" x14ac:dyDescent="0.25">
      <c r="A287" t="str">
        <f t="shared" si="32"/>
        <v/>
      </c>
      <c r="B287" s="16"/>
      <c r="D287" t="str">
        <f>IF($C287="","",IFERROR(INDEX('Asset Register'!$B:$B,MATCH($C287,'Asset Register'!$A:$A,0)),""))</f>
        <v/>
      </c>
      <c r="H287" t="str">
        <f>IFERROR(INDEX('Task Master'!$E:$E,MATCH($F287&amp;"||"&amp;$G287,'Task Master'!$K:$K,0)),"")</f>
        <v/>
      </c>
      <c r="I287" t="str">
        <f>IFERROR(INDEX('Task Master'!$F:$F,MATCH($F287&amp;"||"&amp;$G287,'Task Master'!$K:$K,0)),"")</f>
        <v/>
      </c>
      <c r="J287" t="str">
        <f>IFERROR(INDEX('Task Master'!$H:$H,MATCH($F287&amp;"||"&amp;$G287,'Task Master'!$K:$K,0)),"")</f>
        <v/>
      </c>
      <c r="N287" s="18" t="str">
        <f t="shared" si="33"/>
        <v/>
      </c>
      <c r="R287" s="18">
        <f t="shared" si="34"/>
        <v>0</v>
      </c>
      <c r="V287" s="18">
        <f t="shared" si="35"/>
        <v>0</v>
      </c>
      <c r="Z287" s="18">
        <f t="shared" si="36"/>
        <v>0</v>
      </c>
      <c r="AA287" s="18"/>
      <c r="AB287" s="18">
        <f t="shared" si="37"/>
        <v>0</v>
      </c>
      <c r="AC287" s="18" t="str">
        <f t="shared" si="38"/>
        <v/>
      </c>
      <c r="AD287" s="18" t="str">
        <f t="shared" si="39"/>
        <v/>
      </c>
      <c r="AF287" t="str">
        <f>IFERROR(INDEX('Task Master'!$D:$D,MATCH($F287,'Task Master'!$C:$C,0)),"")</f>
        <v/>
      </c>
    </row>
    <row r="288" spans="1:32" x14ac:dyDescent="0.25">
      <c r="A288" t="str">
        <f t="shared" si="32"/>
        <v/>
      </c>
      <c r="B288" s="16"/>
      <c r="D288" t="str">
        <f>IF($C288="","",IFERROR(INDEX('Asset Register'!$B:$B,MATCH($C288,'Asset Register'!$A:$A,0)),""))</f>
        <v/>
      </c>
      <c r="H288" t="str">
        <f>IFERROR(INDEX('Task Master'!$E:$E,MATCH($F288&amp;"||"&amp;$G288,'Task Master'!$K:$K,0)),"")</f>
        <v/>
      </c>
      <c r="I288" t="str">
        <f>IFERROR(INDEX('Task Master'!$F:$F,MATCH($F288&amp;"||"&amp;$G288,'Task Master'!$K:$K,0)),"")</f>
        <v/>
      </c>
      <c r="J288" t="str">
        <f>IFERROR(INDEX('Task Master'!$H:$H,MATCH($F288&amp;"||"&amp;$G288,'Task Master'!$K:$K,0)),"")</f>
        <v/>
      </c>
      <c r="N288" s="18" t="str">
        <f t="shared" si="33"/>
        <v/>
      </c>
      <c r="R288" s="18">
        <f t="shared" si="34"/>
        <v>0</v>
      </c>
      <c r="V288" s="18">
        <f t="shared" si="35"/>
        <v>0</v>
      </c>
      <c r="Z288" s="18">
        <f t="shared" si="36"/>
        <v>0</v>
      </c>
      <c r="AA288" s="18"/>
      <c r="AB288" s="18">
        <f t="shared" si="37"/>
        <v>0</v>
      </c>
      <c r="AC288" s="18" t="str">
        <f t="shared" si="38"/>
        <v/>
      </c>
      <c r="AD288" s="18" t="str">
        <f t="shared" si="39"/>
        <v/>
      </c>
      <c r="AF288" t="str">
        <f>IFERROR(INDEX('Task Master'!$D:$D,MATCH($F288,'Task Master'!$C:$C,0)),"")</f>
        <v/>
      </c>
    </row>
    <row r="289" spans="1:32" x14ac:dyDescent="0.25">
      <c r="A289" t="str">
        <f t="shared" si="32"/>
        <v/>
      </c>
      <c r="B289" s="16"/>
      <c r="D289" t="str">
        <f>IF($C289="","",IFERROR(INDEX('Asset Register'!$B:$B,MATCH($C289,'Asset Register'!$A:$A,0)),""))</f>
        <v/>
      </c>
      <c r="H289" t="str">
        <f>IFERROR(INDEX('Task Master'!$E:$E,MATCH($F289&amp;"||"&amp;$G289,'Task Master'!$K:$K,0)),"")</f>
        <v/>
      </c>
      <c r="I289" t="str">
        <f>IFERROR(INDEX('Task Master'!$F:$F,MATCH($F289&amp;"||"&amp;$G289,'Task Master'!$K:$K,0)),"")</f>
        <v/>
      </c>
      <c r="J289" t="str">
        <f>IFERROR(INDEX('Task Master'!$H:$H,MATCH($F289&amp;"||"&amp;$G289,'Task Master'!$K:$K,0)),"")</f>
        <v/>
      </c>
      <c r="N289" s="18" t="str">
        <f t="shared" si="33"/>
        <v/>
      </c>
      <c r="R289" s="18">
        <f t="shared" si="34"/>
        <v>0</v>
      </c>
      <c r="V289" s="18">
        <f t="shared" si="35"/>
        <v>0</v>
      </c>
      <c r="Z289" s="18">
        <f t="shared" si="36"/>
        <v>0</v>
      </c>
      <c r="AA289" s="18"/>
      <c r="AB289" s="18">
        <f t="shared" si="37"/>
        <v>0</v>
      </c>
      <c r="AC289" s="18" t="str">
        <f t="shared" si="38"/>
        <v/>
      </c>
      <c r="AD289" s="18" t="str">
        <f t="shared" si="39"/>
        <v/>
      </c>
      <c r="AF289" t="str">
        <f>IFERROR(INDEX('Task Master'!$D:$D,MATCH($F289,'Task Master'!$C:$C,0)),"")</f>
        <v/>
      </c>
    </row>
    <row r="290" spans="1:32" x14ac:dyDescent="0.25">
      <c r="A290" t="str">
        <f t="shared" si="32"/>
        <v/>
      </c>
      <c r="B290" s="16"/>
      <c r="D290" t="str">
        <f>IF($C290="","",IFERROR(INDEX('Asset Register'!$B:$B,MATCH($C290,'Asset Register'!$A:$A,0)),""))</f>
        <v/>
      </c>
      <c r="H290" t="str">
        <f>IFERROR(INDEX('Task Master'!$E:$E,MATCH($F290&amp;"||"&amp;$G290,'Task Master'!$K:$K,0)),"")</f>
        <v/>
      </c>
      <c r="I290" t="str">
        <f>IFERROR(INDEX('Task Master'!$F:$F,MATCH($F290&amp;"||"&amp;$G290,'Task Master'!$K:$K,0)),"")</f>
        <v/>
      </c>
      <c r="J290" t="str">
        <f>IFERROR(INDEX('Task Master'!$H:$H,MATCH($F290&amp;"||"&amp;$G290,'Task Master'!$K:$K,0)),"")</f>
        <v/>
      </c>
      <c r="N290" s="18" t="str">
        <f t="shared" si="33"/>
        <v/>
      </c>
      <c r="R290" s="18">
        <f t="shared" si="34"/>
        <v>0</v>
      </c>
      <c r="V290" s="18">
        <f t="shared" si="35"/>
        <v>0</v>
      </c>
      <c r="Z290" s="18">
        <f t="shared" si="36"/>
        <v>0</v>
      </c>
      <c r="AA290" s="18"/>
      <c r="AB290" s="18">
        <f t="shared" si="37"/>
        <v>0</v>
      </c>
      <c r="AC290" s="18" t="str">
        <f t="shared" si="38"/>
        <v/>
      </c>
      <c r="AD290" s="18" t="str">
        <f t="shared" si="39"/>
        <v/>
      </c>
      <c r="AF290" t="str">
        <f>IFERROR(INDEX('Task Master'!$D:$D,MATCH($F290,'Task Master'!$C:$C,0)),"")</f>
        <v/>
      </c>
    </row>
    <row r="291" spans="1:32" x14ac:dyDescent="0.25">
      <c r="A291" t="str">
        <f t="shared" si="32"/>
        <v/>
      </c>
      <c r="B291" s="16"/>
      <c r="D291" t="str">
        <f>IF($C291="","",IFERROR(INDEX('Asset Register'!$B:$B,MATCH($C291,'Asset Register'!$A:$A,0)),""))</f>
        <v/>
      </c>
      <c r="H291" t="str">
        <f>IFERROR(INDEX('Task Master'!$E:$E,MATCH($F291&amp;"||"&amp;$G291,'Task Master'!$K:$K,0)),"")</f>
        <v/>
      </c>
      <c r="I291" t="str">
        <f>IFERROR(INDEX('Task Master'!$F:$F,MATCH($F291&amp;"||"&amp;$G291,'Task Master'!$K:$K,0)),"")</f>
        <v/>
      </c>
      <c r="J291" t="str">
        <f>IFERROR(INDEX('Task Master'!$H:$H,MATCH($F291&amp;"||"&amp;$G291,'Task Master'!$K:$K,0)),"")</f>
        <v/>
      </c>
      <c r="N291" s="18" t="str">
        <f t="shared" si="33"/>
        <v/>
      </c>
      <c r="R291" s="18">
        <f t="shared" si="34"/>
        <v>0</v>
      </c>
      <c r="V291" s="18">
        <f t="shared" si="35"/>
        <v>0</v>
      </c>
      <c r="Z291" s="18">
        <f t="shared" si="36"/>
        <v>0</v>
      </c>
      <c r="AA291" s="18"/>
      <c r="AB291" s="18">
        <f t="shared" si="37"/>
        <v>0</v>
      </c>
      <c r="AC291" s="18" t="str">
        <f t="shared" si="38"/>
        <v/>
      </c>
      <c r="AD291" s="18" t="str">
        <f t="shared" si="39"/>
        <v/>
      </c>
      <c r="AF291" t="str">
        <f>IFERROR(INDEX('Task Master'!$D:$D,MATCH($F291,'Task Master'!$C:$C,0)),"")</f>
        <v/>
      </c>
    </row>
    <row r="292" spans="1:32" x14ac:dyDescent="0.25">
      <c r="A292" t="str">
        <f t="shared" si="32"/>
        <v/>
      </c>
      <c r="B292" s="16"/>
      <c r="D292" t="str">
        <f>IF($C292="","",IFERROR(INDEX('Asset Register'!$B:$B,MATCH($C292,'Asset Register'!$A:$A,0)),""))</f>
        <v/>
      </c>
      <c r="H292" t="str">
        <f>IFERROR(INDEX('Task Master'!$E:$E,MATCH($F292&amp;"||"&amp;$G292,'Task Master'!$K:$K,0)),"")</f>
        <v/>
      </c>
      <c r="I292" t="str">
        <f>IFERROR(INDEX('Task Master'!$F:$F,MATCH($F292&amp;"||"&amp;$G292,'Task Master'!$K:$K,0)),"")</f>
        <v/>
      </c>
      <c r="J292" t="str">
        <f>IFERROR(INDEX('Task Master'!$H:$H,MATCH($F292&amp;"||"&amp;$G292,'Task Master'!$K:$K,0)),"")</f>
        <v/>
      </c>
      <c r="N292" s="18" t="str">
        <f t="shared" si="33"/>
        <v/>
      </c>
      <c r="R292" s="18">
        <f t="shared" si="34"/>
        <v>0</v>
      </c>
      <c r="V292" s="18">
        <f t="shared" si="35"/>
        <v>0</v>
      </c>
      <c r="Z292" s="18">
        <f t="shared" si="36"/>
        <v>0</v>
      </c>
      <c r="AA292" s="18"/>
      <c r="AB292" s="18">
        <f t="shared" si="37"/>
        <v>0</v>
      </c>
      <c r="AC292" s="18" t="str">
        <f t="shared" si="38"/>
        <v/>
      </c>
      <c r="AD292" s="18" t="str">
        <f t="shared" si="39"/>
        <v/>
      </c>
      <c r="AF292" t="str">
        <f>IFERROR(INDEX('Task Master'!$D:$D,MATCH($F292,'Task Master'!$C:$C,0)),"")</f>
        <v/>
      </c>
    </row>
    <row r="293" spans="1:32" x14ac:dyDescent="0.25">
      <c r="A293" t="str">
        <f t="shared" si="32"/>
        <v/>
      </c>
      <c r="B293" s="16"/>
      <c r="D293" t="str">
        <f>IF($C293="","",IFERROR(INDEX('Asset Register'!$B:$B,MATCH($C293,'Asset Register'!$A:$A,0)),""))</f>
        <v/>
      </c>
      <c r="H293" t="str">
        <f>IFERROR(INDEX('Task Master'!$E:$E,MATCH($F293&amp;"||"&amp;$G293,'Task Master'!$K:$K,0)),"")</f>
        <v/>
      </c>
      <c r="I293" t="str">
        <f>IFERROR(INDEX('Task Master'!$F:$F,MATCH($F293&amp;"||"&amp;$G293,'Task Master'!$K:$K,0)),"")</f>
        <v/>
      </c>
      <c r="J293" t="str">
        <f>IFERROR(INDEX('Task Master'!$H:$H,MATCH($F293&amp;"||"&amp;$G293,'Task Master'!$K:$K,0)),"")</f>
        <v/>
      </c>
      <c r="N293" s="18" t="str">
        <f t="shared" si="33"/>
        <v/>
      </c>
      <c r="R293" s="18">
        <f t="shared" si="34"/>
        <v>0</v>
      </c>
      <c r="V293" s="18">
        <f t="shared" si="35"/>
        <v>0</v>
      </c>
      <c r="Z293" s="18">
        <f t="shared" si="36"/>
        <v>0</v>
      </c>
      <c r="AA293" s="18"/>
      <c r="AB293" s="18">
        <f t="shared" si="37"/>
        <v>0</v>
      </c>
      <c r="AC293" s="18" t="str">
        <f t="shared" si="38"/>
        <v/>
      </c>
      <c r="AD293" s="18" t="str">
        <f t="shared" si="39"/>
        <v/>
      </c>
      <c r="AF293" t="str">
        <f>IFERROR(INDEX('Task Master'!$D:$D,MATCH($F293,'Task Master'!$C:$C,0)),"")</f>
        <v/>
      </c>
    </row>
    <row r="294" spans="1:32" x14ac:dyDescent="0.25">
      <c r="A294" t="str">
        <f t="shared" si="32"/>
        <v/>
      </c>
      <c r="B294" s="16"/>
      <c r="D294" t="str">
        <f>IF($C294="","",IFERROR(INDEX('Asset Register'!$B:$B,MATCH($C294,'Asset Register'!$A:$A,0)),""))</f>
        <v/>
      </c>
      <c r="H294" t="str">
        <f>IFERROR(INDEX('Task Master'!$E:$E,MATCH($F294&amp;"||"&amp;$G294,'Task Master'!$K:$K,0)),"")</f>
        <v/>
      </c>
      <c r="I294" t="str">
        <f>IFERROR(INDEX('Task Master'!$F:$F,MATCH($F294&amp;"||"&amp;$G294,'Task Master'!$K:$K,0)),"")</f>
        <v/>
      </c>
      <c r="J294" t="str">
        <f>IFERROR(INDEX('Task Master'!$H:$H,MATCH($F294&amp;"||"&amp;$G294,'Task Master'!$K:$K,0)),"")</f>
        <v/>
      </c>
      <c r="N294" s="18" t="str">
        <f t="shared" si="33"/>
        <v/>
      </c>
      <c r="R294" s="18">
        <f t="shared" si="34"/>
        <v>0</v>
      </c>
      <c r="V294" s="18">
        <f t="shared" si="35"/>
        <v>0</v>
      </c>
      <c r="Z294" s="18">
        <f t="shared" si="36"/>
        <v>0</v>
      </c>
      <c r="AA294" s="18"/>
      <c r="AB294" s="18">
        <f t="shared" si="37"/>
        <v>0</v>
      </c>
      <c r="AC294" s="18" t="str">
        <f t="shared" si="38"/>
        <v/>
      </c>
      <c r="AD294" s="18" t="str">
        <f t="shared" si="39"/>
        <v/>
      </c>
      <c r="AF294" t="str">
        <f>IFERROR(INDEX('Task Master'!$D:$D,MATCH($F294,'Task Master'!$C:$C,0)),"")</f>
        <v/>
      </c>
    </row>
    <row r="295" spans="1:32" x14ac:dyDescent="0.25">
      <c r="A295" t="str">
        <f t="shared" si="32"/>
        <v/>
      </c>
      <c r="B295" s="16"/>
      <c r="D295" t="str">
        <f>IF($C295="","",IFERROR(INDEX('Asset Register'!$B:$B,MATCH($C295,'Asset Register'!$A:$A,0)),""))</f>
        <v/>
      </c>
      <c r="H295" t="str">
        <f>IFERROR(INDEX('Task Master'!$E:$E,MATCH($F295&amp;"||"&amp;$G295,'Task Master'!$K:$K,0)),"")</f>
        <v/>
      </c>
      <c r="I295" t="str">
        <f>IFERROR(INDEX('Task Master'!$F:$F,MATCH($F295&amp;"||"&amp;$G295,'Task Master'!$K:$K,0)),"")</f>
        <v/>
      </c>
      <c r="J295" t="str">
        <f>IFERROR(INDEX('Task Master'!$H:$H,MATCH($F295&amp;"||"&amp;$G295,'Task Master'!$K:$K,0)),"")</f>
        <v/>
      </c>
      <c r="N295" s="18" t="str">
        <f t="shared" si="33"/>
        <v/>
      </c>
      <c r="R295" s="18">
        <f t="shared" si="34"/>
        <v>0</v>
      </c>
      <c r="V295" s="18">
        <f t="shared" si="35"/>
        <v>0</v>
      </c>
      <c r="Z295" s="18">
        <f t="shared" si="36"/>
        <v>0</v>
      </c>
      <c r="AA295" s="18"/>
      <c r="AB295" s="18">
        <f t="shared" si="37"/>
        <v>0</v>
      </c>
      <c r="AC295" s="18" t="str">
        <f t="shared" si="38"/>
        <v/>
      </c>
      <c r="AD295" s="18" t="str">
        <f t="shared" si="39"/>
        <v/>
      </c>
      <c r="AF295" t="str">
        <f>IFERROR(INDEX('Task Master'!$D:$D,MATCH($F295,'Task Master'!$C:$C,0)),"")</f>
        <v/>
      </c>
    </row>
    <row r="296" spans="1:32" x14ac:dyDescent="0.25">
      <c r="A296" t="str">
        <f t="shared" si="32"/>
        <v/>
      </c>
      <c r="B296" s="16"/>
      <c r="D296" t="str">
        <f>IF($C296="","",IFERROR(INDEX('Asset Register'!$B:$B,MATCH($C296,'Asset Register'!$A:$A,0)),""))</f>
        <v/>
      </c>
      <c r="H296" t="str">
        <f>IFERROR(INDEX('Task Master'!$E:$E,MATCH($F296&amp;"||"&amp;$G296,'Task Master'!$K:$K,0)),"")</f>
        <v/>
      </c>
      <c r="I296" t="str">
        <f>IFERROR(INDEX('Task Master'!$F:$F,MATCH($F296&amp;"||"&amp;$G296,'Task Master'!$K:$K,0)),"")</f>
        <v/>
      </c>
      <c r="J296" t="str">
        <f>IFERROR(INDEX('Task Master'!$H:$H,MATCH($F296&amp;"||"&amp;$G296,'Task Master'!$K:$K,0)),"")</f>
        <v/>
      </c>
      <c r="N296" s="18" t="str">
        <f t="shared" si="33"/>
        <v/>
      </c>
      <c r="R296" s="18">
        <f t="shared" si="34"/>
        <v>0</v>
      </c>
      <c r="V296" s="18">
        <f t="shared" si="35"/>
        <v>0</v>
      </c>
      <c r="Z296" s="18">
        <f t="shared" si="36"/>
        <v>0</v>
      </c>
      <c r="AA296" s="18"/>
      <c r="AB296" s="18">
        <f t="shared" si="37"/>
        <v>0</v>
      </c>
      <c r="AC296" s="18" t="str">
        <f t="shared" si="38"/>
        <v/>
      </c>
      <c r="AD296" s="18" t="str">
        <f t="shared" si="39"/>
        <v/>
      </c>
      <c r="AF296" t="str">
        <f>IFERROR(INDEX('Task Master'!$D:$D,MATCH($F296,'Task Master'!$C:$C,0)),"")</f>
        <v/>
      </c>
    </row>
    <row r="297" spans="1:32" x14ac:dyDescent="0.25">
      <c r="A297" t="str">
        <f t="shared" si="32"/>
        <v/>
      </c>
      <c r="B297" s="16"/>
      <c r="D297" t="str">
        <f>IF($C297="","",IFERROR(INDEX('Asset Register'!$B:$B,MATCH($C297,'Asset Register'!$A:$A,0)),""))</f>
        <v/>
      </c>
      <c r="H297" t="str">
        <f>IFERROR(INDEX('Task Master'!$E:$E,MATCH($F297&amp;"||"&amp;$G297,'Task Master'!$K:$K,0)),"")</f>
        <v/>
      </c>
      <c r="I297" t="str">
        <f>IFERROR(INDEX('Task Master'!$F:$F,MATCH($F297&amp;"||"&amp;$G297,'Task Master'!$K:$K,0)),"")</f>
        <v/>
      </c>
      <c r="J297" t="str">
        <f>IFERROR(INDEX('Task Master'!$H:$H,MATCH($F297&amp;"||"&amp;$G297,'Task Master'!$K:$K,0)),"")</f>
        <v/>
      </c>
      <c r="N297" s="18" t="str">
        <f t="shared" si="33"/>
        <v/>
      </c>
      <c r="R297" s="18">
        <f t="shared" si="34"/>
        <v>0</v>
      </c>
      <c r="V297" s="18">
        <f t="shared" si="35"/>
        <v>0</v>
      </c>
      <c r="Z297" s="18">
        <f t="shared" si="36"/>
        <v>0</v>
      </c>
      <c r="AA297" s="18"/>
      <c r="AB297" s="18">
        <f t="shared" si="37"/>
        <v>0</v>
      </c>
      <c r="AC297" s="18" t="str">
        <f t="shared" si="38"/>
        <v/>
      </c>
      <c r="AD297" s="18" t="str">
        <f t="shared" si="39"/>
        <v/>
      </c>
      <c r="AF297" t="str">
        <f>IFERROR(INDEX('Task Master'!$D:$D,MATCH($F297,'Task Master'!$C:$C,0)),"")</f>
        <v/>
      </c>
    </row>
    <row r="298" spans="1:32" x14ac:dyDescent="0.25">
      <c r="A298" t="str">
        <f t="shared" si="32"/>
        <v/>
      </c>
      <c r="B298" s="16"/>
      <c r="D298" t="str">
        <f>IF($C298="","",IFERROR(INDEX('Asset Register'!$B:$B,MATCH($C298,'Asset Register'!$A:$A,0)),""))</f>
        <v/>
      </c>
      <c r="H298" t="str">
        <f>IFERROR(INDEX('Task Master'!$E:$E,MATCH($F298&amp;"||"&amp;$G298,'Task Master'!$K:$K,0)),"")</f>
        <v/>
      </c>
      <c r="I298" t="str">
        <f>IFERROR(INDEX('Task Master'!$F:$F,MATCH($F298&amp;"||"&amp;$G298,'Task Master'!$K:$K,0)),"")</f>
        <v/>
      </c>
      <c r="J298" t="str">
        <f>IFERROR(INDEX('Task Master'!$H:$H,MATCH($F298&amp;"||"&amp;$G298,'Task Master'!$K:$K,0)),"")</f>
        <v/>
      </c>
      <c r="N298" s="18" t="str">
        <f t="shared" si="33"/>
        <v/>
      </c>
      <c r="R298" s="18">
        <f t="shared" si="34"/>
        <v>0</v>
      </c>
      <c r="V298" s="18">
        <f t="shared" si="35"/>
        <v>0</v>
      </c>
      <c r="Z298" s="18">
        <f t="shared" si="36"/>
        <v>0</v>
      </c>
      <c r="AA298" s="18"/>
      <c r="AB298" s="18">
        <f t="shared" si="37"/>
        <v>0</v>
      </c>
      <c r="AC298" s="18" t="str">
        <f t="shared" si="38"/>
        <v/>
      </c>
      <c r="AD298" s="18" t="str">
        <f t="shared" si="39"/>
        <v/>
      </c>
      <c r="AF298" t="str">
        <f>IFERROR(INDEX('Task Master'!$D:$D,MATCH($F298,'Task Master'!$C:$C,0)),"")</f>
        <v/>
      </c>
    </row>
    <row r="299" spans="1:32" x14ac:dyDescent="0.25">
      <c r="A299" t="str">
        <f t="shared" si="32"/>
        <v/>
      </c>
      <c r="B299" s="16"/>
      <c r="D299" t="str">
        <f>IF($C299="","",IFERROR(INDEX('Asset Register'!$B:$B,MATCH($C299,'Asset Register'!$A:$A,0)),""))</f>
        <v/>
      </c>
      <c r="H299" t="str">
        <f>IFERROR(INDEX('Task Master'!$E:$E,MATCH($F299&amp;"||"&amp;$G299,'Task Master'!$K:$K,0)),"")</f>
        <v/>
      </c>
      <c r="I299" t="str">
        <f>IFERROR(INDEX('Task Master'!$F:$F,MATCH($F299&amp;"||"&amp;$G299,'Task Master'!$K:$K,0)),"")</f>
        <v/>
      </c>
      <c r="J299" t="str">
        <f>IFERROR(INDEX('Task Master'!$H:$H,MATCH($F299&amp;"||"&amp;$G299,'Task Master'!$K:$K,0)),"")</f>
        <v/>
      </c>
      <c r="N299" s="18" t="str">
        <f t="shared" si="33"/>
        <v/>
      </c>
      <c r="R299" s="18">
        <f t="shared" si="34"/>
        <v>0</v>
      </c>
      <c r="V299" s="18">
        <f t="shared" si="35"/>
        <v>0</v>
      </c>
      <c r="Z299" s="18">
        <f t="shared" si="36"/>
        <v>0</v>
      </c>
      <c r="AA299" s="18"/>
      <c r="AB299" s="18">
        <f t="shared" si="37"/>
        <v>0</v>
      </c>
      <c r="AC299" s="18" t="str">
        <f t="shared" si="38"/>
        <v/>
      </c>
      <c r="AD299" s="18" t="str">
        <f t="shared" si="39"/>
        <v/>
      </c>
      <c r="AF299" t="str">
        <f>IFERROR(INDEX('Task Master'!$D:$D,MATCH($F299,'Task Master'!$C:$C,0)),"")</f>
        <v/>
      </c>
    </row>
    <row r="300" spans="1:32" x14ac:dyDescent="0.25">
      <c r="A300" t="str">
        <f t="shared" si="32"/>
        <v/>
      </c>
      <c r="B300" s="16"/>
      <c r="D300" t="str">
        <f>IF($C300="","",IFERROR(INDEX('Asset Register'!$B:$B,MATCH($C300,'Asset Register'!$A:$A,0)),""))</f>
        <v/>
      </c>
      <c r="H300" t="str">
        <f>IFERROR(INDEX('Task Master'!$E:$E,MATCH($F300&amp;"||"&amp;$G300,'Task Master'!$K:$K,0)),"")</f>
        <v/>
      </c>
      <c r="I300" t="str">
        <f>IFERROR(INDEX('Task Master'!$F:$F,MATCH($F300&amp;"||"&amp;$G300,'Task Master'!$K:$K,0)),"")</f>
        <v/>
      </c>
      <c r="J300" t="str">
        <f>IFERROR(INDEX('Task Master'!$H:$H,MATCH($F300&amp;"||"&amp;$G300,'Task Master'!$K:$K,0)),"")</f>
        <v/>
      </c>
      <c r="N300" s="18" t="str">
        <f t="shared" si="33"/>
        <v/>
      </c>
      <c r="R300" s="18">
        <f t="shared" si="34"/>
        <v>0</v>
      </c>
      <c r="V300" s="18">
        <f t="shared" si="35"/>
        <v>0</v>
      </c>
      <c r="Z300" s="18">
        <f t="shared" si="36"/>
        <v>0</v>
      </c>
      <c r="AA300" s="18"/>
      <c r="AB300" s="18">
        <f t="shared" si="37"/>
        <v>0</v>
      </c>
      <c r="AC300" s="18" t="str">
        <f t="shared" si="38"/>
        <v/>
      </c>
      <c r="AD300" s="18" t="str">
        <f t="shared" si="39"/>
        <v/>
      </c>
      <c r="AF300" t="str">
        <f>IFERROR(INDEX('Task Master'!$D:$D,MATCH($F300,'Task Master'!$C:$C,0)),"")</f>
        <v/>
      </c>
    </row>
    <row r="301" spans="1:32" x14ac:dyDescent="0.25">
      <c r="A301" t="str">
        <f t="shared" si="32"/>
        <v/>
      </c>
      <c r="B301" s="16"/>
      <c r="D301" t="str">
        <f>IF($C301="","",IFERROR(INDEX('Asset Register'!$B:$B,MATCH($C301,'Asset Register'!$A:$A,0)),""))</f>
        <v/>
      </c>
      <c r="H301" t="str">
        <f>IFERROR(INDEX('Task Master'!$E:$E,MATCH($F301&amp;"||"&amp;$G301,'Task Master'!$K:$K,0)),"")</f>
        <v/>
      </c>
      <c r="I301" t="str">
        <f>IFERROR(INDEX('Task Master'!$F:$F,MATCH($F301&amp;"||"&amp;$G301,'Task Master'!$K:$K,0)),"")</f>
        <v/>
      </c>
      <c r="J301" t="str">
        <f>IFERROR(INDEX('Task Master'!$H:$H,MATCH($F301&amp;"||"&amp;$G301,'Task Master'!$K:$K,0)),"")</f>
        <v/>
      </c>
      <c r="N301" s="18" t="str">
        <f t="shared" si="33"/>
        <v/>
      </c>
      <c r="R301" s="18">
        <f t="shared" si="34"/>
        <v>0</v>
      </c>
      <c r="V301" s="18">
        <f t="shared" si="35"/>
        <v>0</v>
      </c>
      <c r="Z301" s="18">
        <f t="shared" si="36"/>
        <v>0</v>
      </c>
      <c r="AA301" s="18"/>
      <c r="AB301" s="18">
        <f t="shared" si="37"/>
        <v>0</v>
      </c>
      <c r="AC301" s="18" t="str">
        <f t="shared" si="38"/>
        <v/>
      </c>
      <c r="AD301" s="18" t="str">
        <f t="shared" si="39"/>
        <v/>
      </c>
      <c r="AF301" t="str">
        <f>IFERROR(INDEX('Task Master'!$D:$D,MATCH($F301,'Task Master'!$C:$C,0)),"")</f>
        <v/>
      </c>
    </row>
    <row r="302" spans="1:32" x14ac:dyDescent="0.25">
      <c r="A302" t="str">
        <f t="shared" si="32"/>
        <v/>
      </c>
      <c r="B302" s="16"/>
      <c r="D302" t="str">
        <f>IF($C302="","",IFERROR(INDEX('Asset Register'!$B:$B,MATCH($C302,'Asset Register'!$A:$A,0)),""))</f>
        <v/>
      </c>
      <c r="H302" t="str">
        <f>IFERROR(INDEX('Task Master'!$E:$E,MATCH($F302&amp;"||"&amp;$G302,'Task Master'!$K:$K,0)),"")</f>
        <v/>
      </c>
      <c r="I302" t="str">
        <f>IFERROR(INDEX('Task Master'!$F:$F,MATCH($F302&amp;"||"&amp;$G302,'Task Master'!$K:$K,0)),"")</f>
        <v/>
      </c>
      <c r="J302" t="str">
        <f>IFERROR(INDEX('Task Master'!$H:$H,MATCH($F302&amp;"||"&amp;$G302,'Task Master'!$K:$K,0)),"")</f>
        <v/>
      </c>
      <c r="N302" s="18" t="str">
        <f t="shared" si="33"/>
        <v/>
      </c>
      <c r="R302" s="18">
        <f t="shared" si="34"/>
        <v>0</v>
      </c>
      <c r="V302" s="18">
        <f t="shared" si="35"/>
        <v>0</v>
      </c>
      <c r="Z302" s="18">
        <f t="shared" si="36"/>
        <v>0</v>
      </c>
      <c r="AA302" s="18"/>
      <c r="AB302" s="18">
        <f t="shared" si="37"/>
        <v>0</v>
      </c>
      <c r="AC302" s="18" t="str">
        <f t="shared" si="38"/>
        <v/>
      </c>
      <c r="AD302" s="18" t="str">
        <f t="shared" si="39"/>
        <v/>
      </c>
      <c r="AF302" t="str">
        <f>IFERROR(INDEX('Task Master'!$D:$D,MATCH($F302,'Task Master'!$C:$C,0)),"")</f>
        <v/>
      </c>
    </row>
    <row r="303" spans="1:32" x14ac:dyDescent="0.25">
      <c r="A303" t="str">
        <f t="shared" si="32"/>
        <v/>
      </c>
      <c r="B303" s="16"/>
      <c r="D303" t="str">
        <f>IF($C303="","",IFERROR(INDEX('Asset Register'!$B:$B,MATCH($C303,'Asset Register'!$A:$A,0)),""))</f>
        <v/>
      </c>
      <c r="H303" t="str">
        <f>IFERROR(INDEX('Task Master'!$E:$E,MATCH($F303&amp;"||"&amp;$G303,'Task Master'!$K:$K,0)),"")</f>
        <v/>
      </c>
      <c r="I303" t="str">
        <f>IFERROR(INDEX('Task Master'!$F:$F,MATCH($F303&amp;"||"&amp;$G303,'Task Master'!$K:$K,0)),"")</f>
        <v/>
      </c>
      <c r="J303" t="str">
        <f>IFERROR(INDEX('Task Master'!$H:$H,MATCH($F303&amp;"||"&amp;$G303,'Task Master'!$K:$K,0)),"")</f>
        <v/>
      </c>
      <c r="N303" s="18" t="str">
        <f t="shared" si="33"/>
        <v/>
      </c>
      <c r="R303" s="18">
        <f t="shared" si="34"/>
        <v>0</v>
      </c>
      <c r="V303" s="18">
        <f t="shared" si="35"/>
        <v>0</v>
      </c>
      <c r="Z303" s="18">
        <f t="shared" si="36"/>
        <v>0</v>
      </c>
      <c r="AA303" s="18"/>
      <c r="AB303" s="18">
        <f t="shared" si="37"/>
        <v>0</v>
      </c>
      <c r="AC303" s="18" t="str">
        <f t="shared" si="38"/>
        <v/>
      </c>
      <c r="AD303" s="18" t="str">
        <f t="shared" si="39"/>
        <v/>
      </c>
      <c r="AF303" t="str">
        <f>IFERROR(INDEX('Task Master'!$D:$D,MATCH($F303,'Task Master'!$C:$C,0)),"")</f>
        <v/>
      </c>
    </row>
    <row r="304" spans="1:32" x14ac:dyDescent="0.25">
      <c r="A304" t="str">
        <f t="shared" si="32"/>
        <v/>
      </c>
      <c r="B304" s="16"/>
      <c r="D304" t="str">
        <f>IF($C304="","",IFERROR(INDEX('Asset Register'!$B:$B,MATCH($C304,'Asset Register'!$A:$A,0)),""))</f>
        <v/>
      </c>
      <c r="H304" t="str">
        <f>IFERROR(INDEX('Task Master'!$E:$E,MATCH($F304&amp;"||"&amp;$G304,'Task Master'!$K:$K,0)),"")</f>
        <v/>
      </c>
      <c r="I304" t="str">
        <f>IFERROR(INDEX('Task Master'!$F:$F,MATCH($F304&amp;"||"&amp;$G304,'Task Master'!$K:$K,0)),"")</f>
        <v/>
      </c>
      <c r="J304" t="str">
        <f>IFERROR(INDEX('Task Master'!$H:$H,MATCH($F304&amp;"||"&amp;$G304,'Task Master'!$K:$K,0)),"")</f>
        <v/>
      </c>
      <c r="N304" s="18" t="str">
        <f t="shared" si="33"/>
        <v/>
      </c>
      <c r="R304" s="18">
        <f t="shared" si="34"/>
        <v>0</v>
      </c>
      <c r="V304" s="18">
        <f t="shared" si="35"/>
        <v>0</v>
      </c>
      <c r="Z304" s="18">
        <f t="shared" si="36"/>
        <v>0</v>
      </c>
      <c r="AA304" s="18"/>
      <c r="AB304" s="18">
        <f t="shared" si="37"/>
        <v>0</v>
      </c>
      <c r="AC304" s="18" t="str">
        <f t="shared" si="38"/>
        <v/>
      </c>
      <c r="AD304" s="18" t="str">
        <f t="shared" si="39"/>
        <v/>
      </c>
      <c r="AF304" t="str">
        <f>IFERROR(INDEX('Task Master'!$D:$D,MATCH($F304,'Task Master'!$C:$C,0)),"")</f>
        <v/>
      </c>
    </row>
    <row r="305" spans="1:32" x14ac:dyDescent="0.25">
      <c r="A305" t="str">
        <f t="shared" si="32"/>
        <v/>
      </c>
      <c r="B305" s="16"/>
      <c r="D305" t="str">
        <f>IF($C305="","",IFERROR(INDEX('Asset Register'!$B:$B,MATCH($C305,'Asset Register'!$A:$A,0)),""))</f>
        <v/>
      </c>
      <c r="H305" t="str">
        <f>IFERROR(INDEX('Task Master'!$E:$E,MATCH($F305&amp;"||"&amp;$G305,'Task Master'!$K:$K,0)),"")</f>
        <v/>
      </c>
      <c r="I305" t="str">
        <f>IFERROR(INDEX('Task Master'!$F:$F,MATCH($F305&amp;"||"&amp;$G305,'Task Master'!$K:$K,0)),"")</f>
        <v/>
      </c>
      <c r="J305" t="str">
        <f>IFERROR(INDEX('Task Master'!$H:$H,MATCH($F305&amp;"||"&amp;$G305,'Task Master'!$K:$K,0)),"")</f>
        <v/>
      </c>
      <c r="N305" s="18" t="str">
        <f t="shared" si="33"/>
        <v/>
      </c>
      <c r="R305" s="18">
        <f t="shared" si="34"/>
        <v>0</v>
      </c>
      <c r="V305" s="18">
        <f t="shared" si="35"/>
        <v>0</v>
      </c>
      <c r="Z305" s="18">
        <f t="shared" si="36"/>
        <v>0</v>
      </c>
      <c r="AA305" s="18"/>
      <c r="AB305" s="18">
        <f t="shared" si="37"/>
        <v>0</v>
      </c>
      <c r="AC305" s="18" t="str">
        <f t="shared" si="38"/>
        <v/>
      </c>
      <c r="AD305" s="18" t="str">
        <f t="shared" si="39"/>
        <v/>
      </c>
      <c r="AF305" t="str">
        <f>IFERROR(INDEX('Task Master'!$D:$D,MATCH($F305,'Task Master'!$C:$C,0)),"")</f>
        <v/>
      </c>
    </row>
    <row r="306" spans="1:32" x14ac:dyDescent="0.25">
      <c r="A306" t="str">
        <f t="shared" si="32"/>
        <v/>
      </c>
      <c r="B306" s="16"/>
      <c r="D306" t="str">
        <f>IF($C306="","",IFERROR(INDEX('Asset Register'!$B:$B,MATCH($C306,'Asset Register'!$A:$A,0)),""))</f>
        <v/>
      </c>
      <c r="H306" t="str">
        <f>IFERROR(INDEX('Task Master'!$E:$E,MATCH($F306&amp;"||"&amp;$G306,'Task Master'!$K:$K,0)),"")</f>
        <v/>
      </c>
      <c r="I306" t="str">
        <f>IFERROR(INDEX('Task Master'!$F:$F,MATCH($F306&amp;"||"&amp;$G306,'Task Master'!$K:$K,0)),"")</f>
        <v/>
      </c>
      <c r="J306" t="str">
        <f>IFERROR(INDEX('Task Master'!$H:$H,MATCH($F306&amp;"||"&amp;$G306,'Task Master'!$K:$K,0)),"")</f>
        <v/>
      </c>
      <c r="N306" s="18" t="str">
        <f t="shared" si="33"/>
        <v/>
      </c>
      <c r="R306" s="18">
        <f t="shared" si="34"/>
        <v>0</v>
      </c>
      <c r="V306" s="18">
        <f t="shared" si="35"/>
        <v>0</v>
      </c>
      <c r="Z306" s="18">
        <f t="shared" si="36"/>
        <v>0</v>
      </c>
      <c r="AA306" s="18"/>
      <c r="AB306" s="18">
        <f t="shared" si="37"/>
        <v>0</v>
      </c>
      <c r="AC306" s="18" t="str">
        <f t="shared" si="38"/>
        <v/>
      </c>
      <c r="AD306" s="18" t="str">
        <f t="shared" si="39"/>
        <v/>
      </c>
      <c r="AF306" t="str">
        <f>IFERROR(INDEX('Task Master'!$D:$D,MATCH($F306,'Task Master'!$C:$C,0)),"")</f>
        <v/>
      </c>
    </row>
    <row r="307" spans="1:32" x14ac:dyDescent="0.25">
      <c r="A307" t="str">
        <f t="shared" si="32"/>
        <v/>
      </c>
      <c r="B307" s="16"/>
      <c r="D307" t="str">
        <f>IF($C307="","",IFERROR(INDEX('Asset Register'!$B:$B,MATCH($C307,'Asset Register'!$A:$A,0)),""))</f>
        <v/>
      </c>
      <c r="H307" t="str">
        <f>IFERROR(INDEX('Task Master'!$E:$E,MATCH($F307&amp;"||"&amp;$G307,'Task Master'!$K:$K,0)),"")</f>
        <v/>
      </c>
      <c r="I307" t="str">
        <f>IFERROR(INDEX('Task Master'!$F:$F,MATCH($F307&amp;"||"&amp;$G307,'Task Master'!$K:$K,0)),"")</f>
        <v/>
      </c>
      <c r="J307" t="str">
        <f>IFERROR(INDEX('Task Master'!$H:$H,MATCH($F307&amp;"||"&amp;$G307,'Task Master'!$K:$K,0)),"")</f>
        <v/>
      </c>
      <c r="N307" s="18" t="str">
        <f t="shared" si="33"/>
        <v/>
      </c>
      <c r="R307" s="18">
        <f t="shared" si="34"/>
        <v>0</v>
      </c>
      <c r="V307" s="18">
        <f t="shared" si="35"/>
        <v>0</v>
      </c>
      <c r="Z307" s="18">
        <f t="shared" si="36"/>
        <v>0</v>
      </c>
      <c r="AA307" s="18"/>
      <c r="AB307" s="18">
        <f t="shared" si="37"/>
        <v>0</v>
      </c>
      <c r="AC307" s="18" t="str">
        <f t="shared" si="38"/>
        <v/>
      </c>
      <c r="AD307" s="18" t="str">
        <f t="shared" si="39"/>
        <v/>
      </c>
      <c r="AF307" t="str">
        <f>IFERROR(INDEX('Task Master'!$D:$D,MATCH($F307,'Task Master'!$C:$C,0)),"")</f>
        <v/>
      </c>
    </row>
    <row r="308" spans="1:32" x14ac:dyDescent="0.25">
      <c r="A308" t="str">
        <f t="shared" si="32"/>
        <v/>
      </c>
      <c r="B308" s="16"/>
      <c r="D308" t="str">
        <f>IF($C308="","",IFERROR(INDEX('Asset Register'!$B:$B,MATCH($C308,'Asset Register'!$A:$A,0)),""))</f>
        <v/>
      </c>
      <c r="H308" t="str">
        <f>IFERROR(INDEX('Task Master'!$E:$E,MATCH($F308&amp;"||"&amp;$G308,'Task Master'!$K:$K,0)),"")</f>
        <v/>
      </c>
      <c r="I308" t="str">
        <f>IFERROR(INDEX('Task Master'!$F:$F,MATCH($F308&amp;"||"&amp;$G308,'Task Master'!$K:$K,0)),"")</f>
        <v/>
      </c>
      <c r="J308" t="str">
        <f>IFERROR(INDEX('Task Master'!$H:$H,MATCH($F308&amp;"||"&amp;$G308,'Task Master'!$K:$K,0)),"")</f>
        <v/>
      </c>
      <c r="N308" s="18" t="str">
        <f t="shared" si="33"/>
        <v/>
      </c>
      <c r="R308" s="18">
        <f t="shared" si="34"/>
        <v>0</v>
      </c>
      <c r="V308" s="18">
        <f t="shared" si="35"/>
        <v>0</v>
      </c>
      <c r="Z308" s="18">
        <f t="shared" si="36"/>
        <v>0</v>
      </c>
      <c r="AA308" s="18"/>
      <c r="AB308" s="18">
        <f t="shared" si="37"/>
        <v>0</v>
      </c>
      <c r="AC308" s="18" t="str">
        <f t="shared" si="38"/>
        <v/>
      </c>
      <c r="AD308" s="18" t="str">
        <f t="shared" si="39"/>
        <v/>
      </c>
      <c r="AF308" t="str">
        <f>IFERROR(INDEX('Task Master'!$D:$D,MATCH($F308,'Task Master'!$C:$C,0)),"")</f>
        <v/>
      </c>
    </row>
    <row r="309" spans="1:32" x14ac:dyDescent="0.25">
      <c r="A309" t="str">
        <f t="shared" si="32"/>
        <v/>
      </c>
      <c r="B309" s="16"/>
      <c r="D309" t="str">
        <f>IF($C309="","",IFERROR(INDEX('Asset Register'!$B:$B,MATCH($C309,'Asset Register'!$A:$A,0)),""))</f>
        <v/>
      </c>
      <c r="H309" t="str">
        <f>IFERROR(INDEX('Task Master'!$E:$E,MATCH($F309&amp;"||"&amp;$G309,'Task Master'!$K:$K,0)),"")</f>
        <v/>
      </c>
      <c r="I309" t="str">
        <f>IFERROR(INDEX('Task Master'!$F:$F,MATCH($F309&amp;"||"&amp;$G309,'Task Master'!$K:$K,0)),"")</f>
        <v/>
      </c>
      <c r="J309" t="str">
        <f>IFERROR(INDEX('Task Master'!$H:$H,MATCH($F309&amp;"||"&amp;$G309,'Task Master'!$K:$K,0)),"")</f>
        <v/>
      </c>
      <c r="N309" s="18" t="str">
        <f t="shared" si="33"/>
        <v/>
      </c>
      <c r="R309" s="18">
        <f t="shared" si="34"/>
        <v>0</v>
      </c>
      <c r="V309" s="18">
        <f t="shared" si="35"/>
        <v>0</v>
      </c>
      <c r="Z309" s="18">
        <f t="shared" si="36"/>
        <v>0</v>
      </c>
      <c r="AA309" s="18"/>
      <c r="AB309" s="18">
        <f t="shared" si="37"/>
        <v>0</v>
      </c>
      <c r="AC309" s="18" t="str">
        <f t="shared" si="38"/>
        <v/>
      </c>
      <c r="AD309" s="18" t="str">
        <f t="shared" si="39"/>
        <v/>
      </c>
      <c r="AF309" t="str">
        <f>IFERROR(INDEX('Task Master'!$D:$D,MATCH($F309,'Task Master'!$C:$C,0)),"")</f>
        <v/>
      </c>
    </row>
    <row r="310" spans="1:32" x14ac:dyDescent="0.25">
      <c r="A310" t="str">
        <f t="shared" si="32"/>
        <v/>
      </c>
      <c r="B310" s="16"/>
      <c r="D310" t="str">
        <f>IF($C310="","",IFERROR(INDEX('Asset Register'!$B:$B,MATCH($C310,'Asset Register'!$A:$A,0)),""))</f>
        <v/>
      </c>
      <c r="H310" t="str">
        <f>IFERROR(INDEX('Task Master'!$E:$E,MATCH($F310&amp;"||"&amp;$G310,'Task Master'!$K:$K,0)),"")</f>
        <v/>
      </c>
      <c r="I310" t="str">
        <f>IFERROR(INDEX('Task Master'!$F:$F,MATCH($F310&amp;"||"&amp;$G310,'Task Master'!$K:$K,0)),"")</f>
        <v/>
      </c>
      <c r="J310" t="str">
        <f>IFERROR(INDEX('Task Master'!$H:$H,MATCH($F310&amp;"||"&amp;$G310,'Task Master'!$K:$K,0)),"")</f>
        <v/>
      </c>
      <c r="N310" s="18" t="str">
        <f t="shared" si="33"/>
        <v/>
      </c>
      <c r="R310" s="18">
        <f t="shared" si="34"/>
        <v>0</v>
      </c>
      <c r="V310" s="18">
        <f t="shared" si="35"/>
        <v>0</v>
      </c>
      <c r="Z310" s="18">
        <f t="shared" si="36"/>
        <v>0</v>
      </c>
      <c r="AA310" s="18"/>
      <c r="AB310" s="18">
        <f t="shared" si="37"/>
        <v>0</v>
      </c>
      <c r="AC310" s="18" t="str">
        <f t="shared" si="38"/>
        <v/>
      </c>
      <c r="AD310" s="18" t="str">
        <f t="shared" si="39"/>
        <v/>
      </c>
      <c r="AF310" t="str">
        <f>IFERROR(INDEX('Task Master'!$D:$D,MATCH($F310,'Task Master'!$C:$C,0)),"")</f>
        <v/>
      </c>
    </row>
    <row r="311" spans="1:32" x14ac:dyDescent="0.25">
      <c r="A311" t="str">
        <f t="shared" si="32"/>
        <v/>
      </c>
      <c r="B311" s="16"/>
      <c r="D311" t="str">
        <f>IF($C311="","",IFERROR(INDEX('Asset Register'!$B:$B,MATCH($C311,'Asset Register'!$A:$A,0)),""))</f>
        <v/>
      </c>
      <c r="H311" t="str">
        <f>IFERROR(INDEX('Task Master'!$E:$E,MATCH($F311&amp;"||"&amp;$G311,'Task Master'!$K:$K,0)),"")</f>
        <v/>
      </c>
      <c r="I311" t="str">
        <f>IFERROR(INDEX('Task Master'!$F:$F,MATCH($F311&amp;"||"&amp;$G311,'Task Master'!$K:$K,0)),"")</f>
        <v/>
      </c>
      <c r="J311" t="str">
        <f>IFERROR(INDEX('Task Master'!$H:$H,MATCH($F311&amp;"||"&amp;$G311,'Task Master'!$K:$K,0)),"")</f>
        <v/>
      </c>
      <c r="N311" s="18" t="str">
        <f t="shared" si="33"/>
        <v/>
      </c>
      <c r="R311" s="18">
        <f t="shared" si="34"/>
        <v>0</v>
      </c>
      <c r="V311" s="18">
        <f t="shared" si="35"/>
        <v>0</v>
      </c>
      <c r="Z311" s="18">
        <f t="shared" si="36"/>
        <v>0</v>
      </c>
      <c r="AA311" s="18"/>
      <c r="AB311" s="18">
        <f t="shared" si="37"/>
        <v>0</v>
      </c>
      <c r="AC311" s="18" t="str">
        <f t="shared" si="38"/>
        <v/>
      </c>
      <c r="AD311" s="18" t="str">
        <f t="shared" si="39"/>
        <v/>
      </c>
      <c r="AF311" t="str">
        <f>IFERROR(INDEX('Task Master'!$D:$D,MATCH($F311,'Task Master'!$C:$C,0)),"")</f>
        <v/>
      </c>
    </row>
    <row r="312" spans="1:32" x14ac:dyDescent="0.25">
      <c r="A312" t="str">
        <f t="shared" si="32"/>
        <v/>
      </c>
      <c r="B312" s="16"/>
      <c r="D312" t="str">
        <f>IF($C312="","",IFERROR(INDEX('Asset Register'!$B:$B,MATCH($C312,'Asset Register'!$A:$A,0)),""))</f>
        <v/>
      </c>
      <c r="H312" t="str">
        <f>IFERROR(INDEX('Task Master'!$E:$E,MATCH($F312&amp;"||"&amp;$G312,'Task Master'!$K:$K,0)),"")</f>
        <v/>
      </c>
      <c r="I312" t="str">
        <f>IFERROR(INDEX('Task Master'!$F:$F,MATCH($F312&amp;"||"&amp;$G312,'Task Master'!$K:$K,0)),"")</f>
        <v/>
      </c>
      <c r="J312" t="str">
        <f>IFERROR(INDEX('Task Master'!$H:$H,MATCH($F312&amp;"||"&amp;$G312,'Task Master'!$K:$K,0)),"")</f>
        <v/>
      </c>
      <c r="N312" s="18" t="str">
        <f t="shared" si="33"/>
        <v/>
      </c>
      <c r="R312" s="18">
        <f t="shared" si="34"/>
        <v>0</v>
      </c>
      <c r="V312" s="18">
        <f t="shared" si="35"/>
        <v>0</v>
      </c>
      <c r="Z312" s="18">
        <f t="shared" si="36"/>
        <v>0</v>
      </c>
      <c r="AA312" s="18"/>
      <c r="AB312" s="18">
        <f t="shared" si="37"/>
        <v>0</v>
      </c>
      <c r="AC312" s="18" t="str">
        <f t="shared" si="38"/>
        <v/>
      </c>
      <c r="AD312" s="18" t="str">
        <f t="shared" si="39"/>
        <v/>
      </c>
      <c r="AF312" t="str">
        <f>IFERROR(INDEX('Task Master'!$D:$D,MATCH($F312,'Task Master'!$C:$C,0)),"")</f>
        <v/>
      </c>
    </row>
    <row r="313" spans="1:32" x14ac:dyDescent="0.25">
      <c r="A313" t="str">
        <f t="shared" si="32"/>
        <v/>
      </c>
      <c r="B313" s="16"/>
      <c r="D313" t="str">
        <f>IF($C313="","",IFERROR(INDEX('Asset Register'!$B:$B,MATCH($C313,'Asset Register'!$A:$A,0)),""))</f>
        <v/>
      </c>
      <c r="H313" t="str">
        <f>IFERROR(INDEX('Task Master'!$E:$E,MATCH($F313&amp;"||"&amp;$G313,'Task Master'!$K:$K,0)),"")</f>
        <v/>
      </c>
      <c r="I313" t="str">
        <f>IFERROR(INDEX('Task Master'!$F:$F,MATCH($F313&amp;"||"&amp;$G313,'Task Master'!$K:$K,0)),"")</f>
        <v/>
      </c>
      <c r="J313" t="str">
        <f>IFERROR(INDEX('Task Master'!$H:$H,MATCH($F313&amp;"||"&amp;$G313,'Task Master'!$K:$K,0)),"")</f>
        <v/>
      </c>
      <c r="N313" s="18" t="str">
        <f t="shared" si="33"/>
        <v/>
      </c>
      <c r="R313" s="18">
        <f t="shared" si="34"/>
        <v>0</v>
      </c>
      <c r="V313" s="18">
        <f t="shared" si="35"/>
        <v>0</v>
      </c>
      <c r="Z313" s="18">
        <f t="shared" si="36"/>
        <v>0</v>
      </c>
      <c r="AA313" s="18"/>
      <c r="AB313" s="18">
        <f t="shared" si="37"/>
        <v>0</v>
      </c>
      <c r="AC313" s="18" t="str">
        <f t="shared" si="38"/>
        <v/>
      </c>
      <c r="AD313" s="18" t="str">
        <f t="shared" si="39"/>
        <v/>
      </c>
      <c r="AF313" t="str">
        <f>IFERROR(INDEX('Task Master'!$D:$D,MATCH($F313,'Task Master'!$C:$C,0)),"")</f>
        <v/>
      </c>
    </row>
    <row r="314" spans="1:32" x14ac:dyDescent="0.25">
      <c r="A314" t="str">
        <f t="shared" si="32"/>
        <v/>
      </c>
      <c r="B314" s="16"/>
      <c r="D314" t="str">
        <f>IF($C314="","",IFERROR(INDEX('Asset Register'!$B:$B,MATCH($C314,'Asset Register'!$A:$A,0)),""))</f>
        <v/>
      </c>
      <c r="H314" t="str">
        <f>IFERROR(INDEX('Task Master'!$E:$E,MATCH($F314&amp;"||"&amp;$G314,'Task Master'!$K:$K,0)),"")</f>
        <v/>
      </c>
      <c r="I314" t="str">
        <f>IFERROR(INDEX('Task Master'!$F:$F,MATCH($F314&amp;"||"&amp;$G314,'Task Master'!$K:$K,0)),"")</f>
        <v/>
      </c>
      <c r="J314" t="str">
        <f>IFERROR(INDEX('Task Master'!$H:$H,MATCH($F314&amp;"||"&amp;$G314,'Task Master'!$K:$K,0)),"")</f>
        <v/>
      </c>
      <c r="N314" s="18" t="str">
        <f t="shared" si="33"/>
        <v/>
      </c>
      <c r="R314" s="18">
        <f t="shared" si="34"/>
        <v>0</v>
      </c>
      <c r="V314" s="18">
        <f t="shared" si="35"/>
        <v>0</v>
      </c>
      <c r="Z314" s="18">
        <f t="shared" si="36"/>
        <v>0</v>
      </c>
      <c r="AA314" s="18"/>
      <c r="AB314" s="18">
        <f t="shared" si="37"/>
        <v>0</v>
      </c>
      <c r="AC314" s="18" t="str">
        <f t="shared" si="38"/>
        <v/>
      </c>
      <c r="AD314" s="18" t="str">
        <f t="shared" si="39"/>
        <v/>
      </c>
      <c r="AF314" t="str">
        <f>IFERROR(INDEX('Task Master'!$D:$D,MATCH($F314,'Task Master'!$C:$C,0)),"")</f>
        <v/>
      </c>
    </row>
    <row r="315" spans="1:32" x14ac:dyDescent="0.25">
      <c r="A315" t="str">
        <f t="shared" si="32"/>
        <v/>
      </c>
      <c r="B315" s="16"/>
      <c r="D315" t="str">
        <f>IF($C315="","",IFERROR(INDEX('Asset Register'!$B:$B,MATCH($C315,'Asset Register'!$A:$A,0)),""))</f>
        <v/>
      </c>
      <c r="H315" t="str">
        <f>IFERROR(INDEX('Task Master'!$E:$E,MATCH($F315&amp;"||"&amp;$G315,'Task Master'!$K:$K,0)),"")</f>
        <v/>
      </c>
      <c r="I315" t="str">
        <f>IFERROR(INDEX('Task Master'!$F:$F,MATCH($F315&amp;"||"&amp;$G315,'Task Master'!$K:$K,0)),"")</f>
        <v/>
      </c>
      <c r="J315" t="str">
        <f>IFERROR(INDEX('Task Master'!$H:$H,MATCH($F315&amp;"||"&amp;$G315,'Task Master'!$K:$K,0)),"")</f>
        <v/>
      </c>
      <c r="N315" s="18" t="str">
        <f t="shared" si="33"/>
        <v/>
      </c>
      <c r="R315" s="18">
        <f t="shared" si="34"/>
        <v>0</v>
      </c>
      <c r="V315" s="18">
        <f t="shared" si="35"/>
        <v>0</v>
      </c>
      <c r="Z315" s="18">
        <f t="shared" si="36"/>
        <v>0</v>
      </c>
      <c r="AA315" s="18"/>
      <c r="AB315" s="18">
        <f t="shared" si="37"/>
        <v>0</v>
      </c>
      <c r="AC315" s="18" t="str">
        <f t="shared" si="38"/>
        <v/>
      </c>
      <c r="AD315" s="18" t="str">
        <f t="shared" si="39"/>
        <v/>
      </c>
      <c r="AF315" t="str">
        <f>IFERROR(INDEX('Task Master'!$D:$D,MATCH($F315,'Task Master'!$C:$C,0)),"")</f>
        <v/>
      </c>
    </row>
    <row r="316" spans="1:32" x14ac:dyDescent="0.25">
      <c r="A316" t="str">
        <f t="shared" si="32"/>
        <v/>
      </c>
      <c r="B316" s="16"/>
      <c r="D316" t="str">
        <f>IF($C316="","",IFERROR(INDEX('Asset Register'!$B:$B,MATCH($C316,'Asset Register'!$A:$A,0)),""))</f>
        <v/>
      </c>
      <c r="H316" t="str">
        <f>IFERROR(INDEX('Task Master'!$E:$E,MATCH($F316&amp;"||"&amp;$G316,'Task Master'!$K:$K,0)),"")</f>
        <v/>
      </c>
      <c r="I316" t="str">
        <f>IFERROR(INDEX('Task Master'!$F:$F,MATCH($F316&amp;"||"&amp;$G316,'Task Master'!$K:$K,0)),"")</f>
        <v/>
      </c>
      <c r="J316" t="str">
        <f>IFERROR(INDEX('Task Master'!$H:$H,MATCH($F316&amp;"||"&amp;$G316,'Task Master'!$K:$K,0)),"")</f>
        <v/>
      </c>
      <c r="N316" s="18" t="str">
        <f t="shared" si="33"/>
        <v/>
      </c>
      <c r="R316" s="18">
        <f t="shared" si="34"/>
        <v>0</v>
      </c>
      <c r="V316" s="18">
        <f t="shared" si="35"/>
        <v>0</v>
      </c>
      <c r="Z316" s="18">
        <f t="shared" si="36"/>
        <v>0</v>
      </c>
      <c r="AA316" s="18"/>
      <c r="AB316" s="18">
        <f t="shared" si="37"/>
        <v>0</v>
      </c>
      <c r="AC316" s="18" t="str">
        <f t="shared" si="38"/>
        <v/>
      </c>
      <c r="AD316" s="18" t="str">
        <f t="shared" si="39"/>
        <v/>
      </c>
      <c r="AF316" t="str">
        <f>IFERROR(INDEX('Task Master'!$D:$D,MATCH($F316,'Task Master'!$C:$C,0)),"")</f>
        <v/>
      </c>
    </row>
    <row r="317" spans="1:32" x14ac:dyDescent="0.25">
      <c r="A317" t="str">
        <f t="shared" si="32"/>
        <v/>
      </c>
      <c r="B317" s="16"/>
      <c r="D317" t="str">
        <f>IF($C317="","",IFERROR(INDEX('Asset Register'!$B:$B,MATCH($C317,'Asset Register'!$A:$A,0)),""))</f>
        <v/>
      </c>
      <c r="H317" t="str">
        <f>IFERROR(INDEX('Task Master'!$E:$E,MATCH($F317&amp;"||"&amp;$G317,'Task Master'!$K:$K,0)),"")</f>
        <v/>
      </c>
      <c r="I317" t="str">
        <f>IFERROR(INDEX('Task Master'!$F:$F,MATCH($F317&amp;"||"&amp;$G317,'Task Master'!$K:$K,0)),"")</f>
        <v/>
      </c>
      <c r="J317" t="str">
        <f>IFERROR(INDEX('Task Master'!$H:$H,MATCH($F317&amp;"||"&amp;$G317,'Task Master'!$K:$K,0)),"")</f>
        <v/>
      </c>
      <c r="N317" s="18" t="str">
        <f t="shared" si="33"/>
        <v/>
      </c>
      <c r="R317" s="18">
        <f t="shared" si="34"/>
        <v>0</v>
      </c>
      <c r="V317" s="18">
        <f t="shared" si="35"/>
        <v>0</v>
      </c>
      <c r="Z317" s="18">
        <f t="shared" si="36"/>
        <v>0</v>
      </c>
      <c r="AA317" s="18"/>
      <c r="AB317" s="18">
        <f t="shared" si="37"/>
        <v>0</v>
      </c>
      <c r="AC317" s="18" t="str">
        <f t="shared" si="38"/>
        <v/>
      </c>
      <c r="AD317" s="18" t="str">
        <f t="shared" si="39"/>
        <v/>
      </c>
      <c r="AF317" t="str">
        <f>IFERROR(INDEX('Task Master'!$D:$D,MATCH($F317,'Task Master'!$C:$C,0)),"")</f>
        <v/>
      </c>
    </row>
    <row r="318" spans="1:32" x14ac:dyDescent="0.25">
      <c r="A318" t="str">
        <f t="shared" si="32"/>
        <v/>
      </c>
      <c r="B318" s="16"/>
      <c r="D318" t="str">
        <f>IF($C318="","",IFERROR(INDEX('Asset Register'!$B:$B,MATCH($C318,'Asset Register'!$A:$A,0)),""))</f>
        <v/>
      </c>
      <c r="H318" t="str">
        <f>IFERROR(INDEX('Task Master'!$E:$E,MATCH($F318&amp;"||"&amp;$G318,'Task Master'!$K:$K,0)),"")</f>
        <v/>
      </c>
      <c r="I318" t="str">
        <f>IFERROR(INDEX('Task Master'!$F:$F,MATCH($F318&amp;"||"&amp;$G318,'Task Master'!$K:$K,0)),"")</f>
        <v/>
      </c>
      <c r="J318" t="str">
        <f>IFERROR(INDEX('Task Master'!$H:$H,MATCH($F318&amp;"||"&amp;$G318,'Task Master'!$K:$K,0)),"")</f>
        <v/>
      </c>
      <c r="N318" s="18" t="str">
        <f t="shared" si="33"/>
        <v/>
      </c>
      <c r="R318" s="18">
        <f t="shared" si="34"/>
        <v>0</v>
      </c>
      <c r="V318" s="18">
        <f t="shared" si="35"/>
        <v>0</v>
      </c>
      <c r="Z318" s="18">
        <f t="shared" si="36"/>
        <v>0</v>
      </c>
      <c r="AA318" s="18"/>
      <c r="AB318" s="18">
        <f t="shared" si="37"/>
        <v>0</v>
      </c>
      <c r="AC318" s="18" t="str">
        <f t="shared" si="38"/>
        <v/>
      </c>
      <c r="AD318" s="18" t="str">
        <f t="shared" si="39"/>
        <v/>
      </c>
      <c r="AF318" t="str">
        <f>IFERROR(INDEX('Task Master'!$D:$D,MATCH($F318,'Task Master'!$C:$C,0)),"")</f>
        <v/>
      </c>
    </row>
    <row r="319" spans="1:32" x14ac:dyDescent="0.25">
      <c r="A319" t="str">
        <f t="shared" si="32"/>
        <v/>
      </c>
      <c r="B319" s="16"/>
      <c r="D319" t="str">
        <f>IF($C319="","",IFERROR(INDEX('Asset Register'!$B:$B,MATCH($C319,'Asset Register'!$A:$A,0)),""))</f>
        <v/>
      </c>
      <c r="H319" t="str">
        <f>IFERROR(INDEX('Task Master'!$E:$E,MATCH($F319&amp;"||"&amp;$G319,'Task Master'!$K:$K,0)),"")</f>
        <v/>
      </c>
      <c r="I319" t="str">
        <f>IFERROR(INDEX('Task Master'!$F:$F,MATCH($F319&amp;"||"&amp;$G319,'Task Master'!$K:$K,0)),"")</f>
        <v/>
      </c>
      <c r="J319" t="str">
        <f>IFERROR(INDEX('Task Master'!$H:$H,MATCH($F319&amp;"||"&amp;$G319,'Task Master'!$K:$K,0)),"")</f>
        <v/>
      </c>
      <c r="N319" s="18" t="str">
        <f t="shared" si="33"/>
        <v/>
      </c>
      <c r="R319" s="18">
        <f t="shared" si="34"/>
        <v>0</v>
      </c>
      <c r="V319" s="18">
        <f t="shared" si="35"/>
        <v>0</v>
      </c>
      <c r="Z319" s="18">
        <f t="shared" si="36"/>
        <v>0</v>
      </c>
      <c r="AA319" s="18"/>
      <c r="AB319" s="18">
        <f t="shared" si="37"/>
        <v>0</v>
      </c>
      <c r="AC319" s="18" t="str">
        <f t="shared" si="38"/>
        <v/>
      </c>
      <c r="AD319" s="18" t="str">
        <f t="shared" si="39"/>
        <v/>
      </c>
      <c r="AF319" t="str">
        <f>IFERROR(INDEX('Task Master'!$D:$D,MATCH($F319,'Task Master'!$C:$C,0)),"")</f>
        <v/>
      </c>
    </row>
    <row r="320" spans="1:32" x14ac:dyDescent="0.25">
      <c r="A320" t="str">
        <f t="shared" si="32"/>
        <v/>
      </c>
      <c r="B320" s="16"/>
      <c r="D320" t="str">
        <f>IF($C320="","",IFERROR(INDEX('Asset Register'!$B:$B,MATCH($C320,'Asset Register'!$A:$A,0)),""))</f>
        <v/>
      </c>
      <c r="H320" t="str">
        <f>IFERROR(INDEX('Task Master'!$E:$E,MATCH($F320&amp;"||"&amp;$G320,'Task Master'!$K:$K,0)),"")</f>
        <v/>
      </c>
      <c r="I320" t="str">
        <f>IFERROR(INDEX('Task Master'!$F:$F,MATCH($F320&amp;"||"&amp;$G320,'Task Master'!$K:$K,0)),"")</f>
        <v/>
      </c>
      <c r="J320" t="str">
        <f>IFERROR(INDEX('Task Master'!$H:$H,MATCH($F320&amp;"||"&amp;$G320,'Task Master'!$K:$K,0)),"")</f>
        <v/>
      </c>
      <c r="N320" s="18" t="str">
        <f t="shared" si="33"/>
        <v/>
      </c>
      <c r="R320" s="18">
        <f t="shared" si="34"/>
        <v>0</v>
      </c>
      <c r="V320" s="18">
        <f t="shared" si="35"/>
        <v>0</v>
      </c>
      <c r="Z320" s="18">
        <f t="shared" si="36"/>
        <v>0</v>
      </c>
      <c r="AA320" s="18"/>
      <c r="AB320" s="18">
        <f t="shared" si="37"/>
        <v>0</v>
      </c>
      <c r="AC320" s="18" t="str">
        <f t="shared" si="38"/>
        <v/>
      </c>
      <c r="AD320" s="18" t="str">
        <f t="shared" si="39"/>
        <v/>
      </c>
      <c r="AF320" t="str">
        <f>IFERROR(INDEX('Task Master'!$D:$D,MATCH($F320,'Task Master'!$C:$C,0)),"")</f>
        <v/>
      </c>
    </row>
    <row r="321" spans="1:32" x14ac:dyDescent="0.25">
      <c r="A321" t="str">
        <f t="shared" si="32"/>
        <v/>
      </c>
      <c r="B321" s="16"/>
      <c r="D321" t="str">
        <f>IF($C321="","",IFERROR(INDEX('Asset Register'!$B:$B,MATCH($C321,'Asset Register'!$A:$A,0)),""))</f>
        <v/>
      </c>
      <c r="H321" t="str">
        <f>IFERROR(INDEX('Task Master'!$E:$E,MATCH($F321&amp;"||"&amp;$G321,'Task Master'!$K:$K,0)),"")</f>
        <v/>
      </c>
      <c r="I321" t="str">
        <f>IFERROR(INDEX('Task Master'!$F:$F,MATCH($F321&amp;"||"&amp;$G321,'Task Master'!$K:$K,0)),"")</f>
        <v/>
      </c>
      <c r="J321" t="str">
        <f>IFERROR(INDEX('Task Master'!$H:$H,MATCH($F321&amp;"||"&amp;$G321,'Task Master'!$K:$K,0)),"")</f>
        <v/>
      </c>
      <c r="N321" s="18" t="str">
        <f t="shared" si="33"/>
        <v/>
      </c>
      <c r="R321" s="18">
        <f t="shared" si="34"/>
        <v>0</v>
      </c>
      <c r="V321" s="18">
        <f t="shared" si="35"/>
        <v>0</v>
      </c>
      <c r="Z321" s="18">
        <f t="shared" si="36"/>
        <v>0</v>
      </c>
      <c r="AA321" s="18"/>
      <c r="AB321" s="18">
        <f t="shared" si="37"/>
        <v>0</v>
      </c>
      <c r="AC321" s="18" t="str">
        <f t="shared" si="38"/>
        <v/>
      </c>
      <c r="AD321" s="18" t="str">
        <f t="shared" si="39"/>
        <v/>
      </c>
      <c r="AF321" t="str">
        <f>IFERROR(INDEX('Task Master'!$D:$D,MATCH($F321,'Task Master'!$C:$C,0)),"")</f>
        <v/>
      </c>
    </row>
    <row r="322" spans="1:32" x14ac:dyDescent="0.25">
      <c r="A322" t="str">
        <f t="shared" ref="A322:A385" si="40">IF(B322="","",ROW()-1)</f>
        <v/>
      </c>
      <c r="B322" s="16"/>
      <c r="D322" t="str">
        <f>IF($C322="","",IFERROR(INDEX('Asset Register'!$B:$B,MATCH($C322,'Asset Register'!$A:$A,0)),""))</f>
        <v/>
      </c>
      <c r="H322" t="str">
        <f>IFERROR(INDEX('Task Master'!$E:$E,MATCH($F322&amp;"||"&amp;$G322,'Task Master'!$K:$K,0)),"")</f>
        <v/>
      </c>
      <c r="I322" t="str">
        <f>IFERROR(INDEX('Task Master'!$F:$F,MATCH($F322&amp;"||"&amp;$G322,'Task Master'!$K:$K,0)),"")</f>
        <v/>
      </c>
      <c r="J322" t="str">
        <f>IFERROR(INDEX('Task Master'!$H:$H,MATCH($F322&amp;"||"&amp;$G322,'Task Master'!$K:$K,0)),"")</f>
        <v/>
      </c>
      <c r="N322" s="18" t="str">
        <f t="shared" ref="N322:N385" si="41">IF(OR($K322="",$L322="",$M322=""),"",$K322*$L322*$M322)</f>
        <v/>
      </c>
      <c r="R322" s="18">
        <f t="shared" ref="R322:R385" si="42">IF(OR($P322="",$Q322=""),0,$P322*$Q322)</f>
        <v>0</v>
      </c>
      <c r="V322" s="18">
        <f t="shared" ref="V322:V385" si="43">IF(OR($T322="",$U322=""),0,$T322*$U322)</f>
        <v>0</v>
      </c>
      <c r="Z322" s="18">
        <f t="shared" ref="Z322:Z385" si="44">IF(OR($X322="",$Y322=""),0,$X322*$Y322)</f>
        <v>0</v>
      </c>
      <c r="AA322" s="18"/>
      <c r="AB322" s="18">
        <f t="shared" ref="AB322:AB385" si="45">$R322+$V322+$Z322</f>
        <v>0</v>
      </c>
      <c r="AC322" s="18" t="str">
        <f t="shared" ref="AC322:AC385" si="46">IF($B322="","",$AB322+$AA322+$N322)</f>
        <v/>
      </c>
      <c r="AD322" s="18" t="str">
        <f t="shared" ref="AD322:AD385" si="47">IF(OR($K322="",$K322=0,$AC322=""),"",$AC322/$K322)</f>
        <v/>
      </c>
      <c r="AF322" t="str">
        <f>IFERROR(INDEX('Task Master'!$D:$D,MATCH($F322,'Task Master'!$C:$C,0)),"")</f>
        <v/>
      </c>
    </row>
    <row r="323" spans="1:32" x14ac:dyDescent="0.25">
      <c r="A323" t="str">
        <f t="shared" si="40"/>
        <v/>
      </c>
      <c r="B323" s="16"/>
      <c r="D323" t="str">
        <f>IF($C323="","",IFERROR(INDEX('Asset Register'!$B:$B,MATCH($C323,'Asset Register'!$A:$A,0)),""))</f>
        <v/>
      </c>
      <c r="H323" t="str">
        <f>IFERROR(INDEX('Task Master'!$E:$E,MATCH($F323&amp;"||"&amp;$G323,'Task Master'!$K:$K,0)),"")</f>
        <v/>
      </c>
      <c r="I323" t="str">
        <f>IFERROR(INDEX('Task Master'!$F:$F,MATCH($F323&amp;"||"&amp;$G323,'Task Master'!$K:$K,0)),"")</f>
        <v/>
      </c>
      <c r="J323" t="str">
        <f>IFERROR(INDEX('Task Master'!$H:$H,MATCH($F323&amp;"||"&amp;$G323,'Task Master'!$K:$K,0)),"")</f>
        <v/>
      </c>
      <c r="N323" s="18" t="str">
        <f t="shared" si="41"/>
        <v/>
      </c>
      <c r="R323" s="18">
        <f t="shared" si="42"/>
        <v>0</v>
      </c>
      <c r="V323" s="18">
        <f t="shared" si="43"/>
        <v>0</v>
      </c>
      <c r="Z323" s="18">
        <f t="shared" si="44"/>
        <v>0</v>
      </c>
      <c r="AA323" s="18"/>
      <c r="AB323" s="18">
        <f t="shared" si="45"/>
        <v>0</v>
      </c>
      <c r="AC323" s="18" t="str">
        <f t="shared" si="46"/>
        <v/>
      </c>
      <c r="AD323" s="18" t="str">
        <f t="shared" si="47"/>
        <v/>
      </c>
      <c r="AF323" t="str">
        <f>IFERROR(INDEX('Task Master'!$D:$D,MATCH($F323,'Task Master'!$C:$C,0)),"")</f>
        <v/>
      </c>
    </row>
    <row r="324" spans="1:32" x14ac:dyDescent="0.25">
      <c r="A324" t="str">
        <f t="shared" si="40"/>
        <v/>
      </c>
      <c r="B324" s="16"/>
      <c r="D324" t="str">
        <f>IF($C324="","",IFERROR(INDEX('Asset Register'!$B:$B,MATCH($C324,'Asset Register'!$A:$A,0)),""))</f>
        <v/>
      </c>
      <c r="H324" t="str">
        <f>IFERROR(INDEX('Task Master'!$E:$E,MATCH($F324&amp;"||"&amp;$G324,'Task Master'!$K:$K,0)),"")</f>
        <v/>
      </c>
      <c r="I324" t="str">
        <f>IFERROR(INDEX('Task Master'!$F:$F,MATCH($F324&amp;"||"&amp;$G324,'Task Master'!$K:$K,0)),"")</f>
        <v/>
      </c>
      <c r="J324" t="str">
        <f>IFERROR(INDEX('Task Master'!$H:$H,MATCH($F324&amp;"||"&amp;$G324,'Task Master'!$K:$K,0)),"")</f>
        <v/>
      </c>
      <c r="N324" s="18" t="str">
        <f t="shared" si="41"/>
        <v/>
      </c>
      <c r="R324" s="18">
        <f t="shared" si="42"/>
        <v>0</v>
      </c>
      <c r="V324" s="18">
        <f t="shared" si="43"/>
        <v>0</v>
      </c>
      <c r="Z324" s="18">
        <f t="shared" si="44"/>
        <v>0</v>
      </c>
      <c r="AA324" s="18"/>
      <c r="AB324" s="18">
        <f t="shared" si="45"/>
        <v>0</v>
      </c>
      <c r="AC324" s="18" t="str">
        <f t="shared" si="46"/>
        <v/>
      </c>
      <c r="AD324" s="18" t="str">
        <f t="shared" si="47"/>
        <v/>
      </c>
      <c r="AF324" t="str">
        <f>IFERROR(INDEX('Task Master'!$D:$D,MATCH($F324,'Task Master'!$C:$C,0)),"")</f>
        <v/>
      </c>
    </row>
    <row r="325" spans="1:32" x14ac:dyDescent="0.25">
      <c r="A325" t="str">
        <f t="shared" si="40"/>
        <v/>
      </c>
      <c r="B325" s="16"/>
      <c r="D325" t="str">
        <f>IF($C325="","",IFERROR(INDEX('Asset Register'!$B:$B,MATCH($C325,'Asset Register'!$A:$A,0)),""))</f>
        <v/>
      </c>
      <c r="H325" t="str">
        <f>IFERROR(INDEX('Task Master'!$E:$E,MATCH($F325&amp;"||"&amp;$G325,'Task Master'!$K:$K,0)),"")</f>
        <v/>
      </c>
      <c r="I325" t="str">
        <f>IFERROR(INDEX('Task Master'!$F:$F,MATCH($F325&amp;"||"&amp;$G325,'Task Master'!$K:$K,0)),"")</f>
        <v/>
      </c>
      <c r="J325" t="str">
        <f>IFERROR(INDEX('Task Master'!$H:$H,MATCH($F325&amp;"||"&amp;$G325,'Task Master'!$K:$K,0)),"")</f>
        <v/>
      </c>
      <c r="N325" s="18" t="str">
        <f t="shared" si="41"/>
        <v/>
      </c>
      <c r="R325" s="18">
        <f t="shared" si="42"/>
        <v>0</v>
      </c>
      <c r="V325" s="18">
        <f t="shared" si="43"/>
        <v>0</v>
      </c>
      <c r="Z325" s="18">
        <f t="shared" si="44"/>
        <v>0</v>
      </c>
      <c r="AA325" s="18"/>
      <c r="AB325" s="18">
        <f t="shared" si="45"/>
        <v>0</v>
      </c>
      <c r="AC325" s="18" t="str">
        <f t="shared" si="46"/>
        <v/>
      </c>
      <c r="AD325" s="18" t="str">
        <f t="shared" si="47"/>
        <v/>
      </c>
      <c r="AF325" t="str">
        <f>IFERROR(INDEX('Task Master'!$D:$D,MATCH($F325,'Task Master'!$C:$C,0)),"")</f>
        <v/>
      </c>
    </row>
    <row r="326" spans="1:32" x14ac:dyDescent="0.25">
      <c r="A326" t="str">
        <f t="shared" si="40"/>
        <v/>
      </c>
      <c r="B326" s="16"/>
      <c r="D326" t="str">
        <f>IF($C326="","",IFERROR(INDEX('Asset Register'!$B:$B,MATCH($C326,'Asset Register'!$A:$A,0)),""))</f>
        <v/>
      </c>
      <c r="H326" t="str">
        <f>IFERROR(INDEX('Task Master'!$E:$E,MATCH($F326&amp;"||"&amp;$G326,'Task Master'!$K:$K,0)),"")</f>
        <v/>
      </c>
      <c r="I326" t="str">
        <f>IFERROR(INDEX('Task Master'!$F:$F,MATCH($F326&amp;"||"&amp;$G326,'Task Master'!$K:$K,0)),"")</f>
        <v/>
      </c>
      <c r="J326" t="str">
        <f>IFERROR(INDEX('Task Master'!$H:$H,MATCH($F326&amp;"||"&amp;$G326,'Task Master'!$K:$K,0)),"")</f>
        <v/>
      </c>
      <c r="N326" s="18" t="str">
        <f t="shared" si="41"/>
        <v/>
      </c>
      <c r="R326" s="18">
        <f t="shared" si="42"/>
        <v>0</v>
      </c>
      <c r="V326" s="18">
        <f t="shared" si="43"/>
        <v>0</v>
      </c>
      <c r="Z326" s="18">
        <f t="shared" si="44"/>
        <v>0</v>
      </c>
      <c r="AA326" s="18"/>
      <c r="AB326" s="18">
        <f t="shared" si="45"/>
        <v>0</v>
      </c>
      <c r="AC326" s="18" t="str">
        <f t="shared" si="46"/>
        <v/>
      </c>
      <c r="AD326" s="18" t="str">
        <f t="shared" si="47"/>
        <v/>
      </c>
      <c r="AF326" t="str">
        <f>IFERROR(INDEX('Task Master'!$D:$D,MATCH($F326,'Task Master'!$C:$C,0)),"")</f>
        <v/>
      </c>
    </row>
    <row r="327" spans="1:32" x14ac:dyDescent="0.25">
      <c r="A327" t="str">
        <f t="shared" si="40"/>
        <v/>
      </c>
      <c r="B327" s="16"/>
      <c r="D327" t="str">
        <f>IF($C327="","",IFERROR(INDEX('Asset Register'!$B:$B,MATCH($C327,'Asset Register'!$A:$A,0)),""))</f>
        <v/>
      </c>
      <c r="H327" t="str">
        <f>IFERROR(INDEX('Task Master'!$E:$E,MATCH($F327&amp;"||"&amp;$G327,'Task Master'!$K:$K,0)),"")</f>
        <v/>
      </c>
      <c r="I327" t="str">
        <f>IFERROR(INDEX('Task Master'!$F:$F,MATCH($F327&amp;"||"&amp;$G327,'Task Master'!$K:$K,0)),"")</f>
        <v/>
      </c>
      <c r="J327" t="str">
        <f>IFERROR(INDEX('Task Master'!$H:$H,MATCH($F327&amp;"||"&amp;$G327,'Task Master'!$K:$K,0)),"")</f>
        <v/>
      </c>
      <c r="N327" s="18" t="str">
        <f t="shared" si="41"/>
        <v/>
      </c>
      <c r="R327" s="18">
        <f t="shared" si="42"/>
        <v>0</v>
      </c>
      <c r="V327" s="18">
        <f t="shared" si="43"/>
        <v>0</v>
      </c>
      <c r="Z327" s="18">
        <f t="shared" si="44"/>
        <v>0</v>
      </c>
      <c r="AA327" s="18"/>
      <c r="AB327" s="18">
        <f t="shared" si="45"/>
        <v>0</v>
      </c>
      <c r="AC327" s="18" t="str">
        <f t="shared" si="46"/>
        <v/>
      </c>
      <c r="AD327" s="18" t="str">
        <f t="shared" si="47"/>
        <v/>
      </c>
      <c r="AF327" t="str">
        <f>IFERROR(INDEX('Task Master'!$D:$D,MATCH($F327,'Task Master'!$C:$C,0)),"")</f>
        <v/>
      </c>
    </row>
    <row r="328" spans="1:32" x14ac:dyDescent="0.25">
      <c r="A328" t="str">
        <f t="shared" si="40"/>
        <v/>
      </c>
      <c r="B328" s="16"/>
      <c r="D328" t="str">
        <f>IF($C328="","",IFERROR(INDEX('Asset Register'!$B:$B,MATCH($C328,'Asset Register'!$A:$A,0)),""))</f>
        <v/>
      </c>
      <c r="H328" t="str">
        <f>IFERROR(INDEX('Task Master'!$E:$E,MATCH($F328&amp;"||"&amp;$G328,'Task Master'!$K:$K,0)),"")</f>
        <v/>
      </c>
      <c r="I328" t="str">
        <f>IFERROR(INDEX('Task Master'!$F:$F,MATCH($F328&amp;"||"&amp;$G328,'Task Master'!$K:$K,0)),"")</f>
        <v/>
      </c>
      <c r="J328" t="str">
        <f>IFERROR(INDEX('Task Master'!$H:$H,MATCH($F328&amp;"||"&amp;$G328,'Task Master'!$K:$K,0)),"")</f>
        <v/>
      </c>
      <c r="N328" s="18" t="str">
        <f t="shared" si="41"/>
        <v/>
      </c>
      <c r="R328" s="18">
        <f t="shared" si="42"/>
        <v>0</v>
      </c>
      <c r="V328" s="18">
        <f t="shared" si="43"/>
        <v>0</v>
      </c>
      <c r="Z328" s="18">
        <f t="shared" si="44"/>
        <v>0</v>
      </c>
      <c r="AA328" s="18"/>
      <c r="AB328" s="18">
        <f t="shared" si="45"/>
        <v>0</v>
      </c>
      <c r="AC328" s="18" t="str">
        <f t="shared" si="46"/>
        <v/>
      </c>
      <c r="AD328" s="18" t="str">
        <f t="shared" si="47"/>
        <v/>
      </c>
      <c r="AF328" t="str">
        <f>IFERROR(INDEX('Task Master'!$D:$D,MATCH($F328,'Task Master'!$C:$C,0)),"")</f>
        <v/>
      </c>
    </row>
    <row r="329" spans="1:32" x14ac:dyDescent="0.25">
      <c r="A329" t="str">
        <f t="shared" si="40"/>
        <v/>
      </c>
      <c r="B329" s="16"/>
      <c r="D329" t="str">
        <f>IF($C329="","",IFERROR(INDEX('Asset Register'!$B:$B,MATCH($C329,'Asset Register'!$A:$A,0)),""))</f>
        <v/>
      </c>
      <c r="H329" t="str">
        <f>IFERROR(INDEX('Task Master'!$E:$E,MATCH($F329&amp;"||"&amp;$G329,'Task Master'!$K:$K,0)),"")</f>
        <v/>
      </c>
      <c r="I329" t="str">
        <f>IFERROR(INDEX('Task Master'!$F:$F,MATCH($F329&amp;"||"&amp;$G329,'Task Master'!$K:$K,0)),"")</f>
        <v/>
      </c>
      <c r="J329" t="str">
        <f>IFERROR(INDEX('Task Master'!$H:$H,MATCH($F329&amp;"||"&amp;$G329,'Task Master'!$K:$K,0)),"")</f>
        <v/>
      </c>
      <c r="N329" s="18" t="str">
        <f t="shared" si="41"/>
        <v/>
      </c>
      <c r="R329" s="18">
        <f t="shared" si="42"/>
        <v>0</v>
      </c>
      <c r="V329" s="18">
        <f t="shared" si="43"/>
        <v>0</v>
      </c>
      <c r="Z329" s="18">
        <f t="shared" si="44"/>
        <v>0</v>
      </c>
      <c r="AA329" s="18"/>
      <c r="AB329" s="18">
        <f t="shared" si="45"/>
        <v>0</v>
      </c>
      <c r="AC329" s="18" t="str">
        <f t="shared" si="46"/>
        <v/>
      </c>
      <c r="AD329" s="18" t="str">
        <f t="shared" si="47"/>
        <v/>
      </c>
      <c r="AF329" t="str">
        <f>IFERROR(INDEX('Task Master'!$D:$D,MATCH($F329,'Task Master'!$C:$C,0)),"")</f>
        <v/>
      </c>
    </row>
    <row r="330" spans="1:32" x14ac:dyDescent="0.25">
      <c r="A330" t="str">
        <f t="shared" si="40"/>
        <v/>
      </c>
      <c r="B330" s="16"/>
      <c r="D330" t="str">
        <f>IF($C330="","",IFERROR(INDEX('Asset Register'!$B:$B,MATCH($C330,'Asset Register'!$A:$A,0)),""))</f>
        <v/>
      </c>
      <c r="H330" t="str">
        <f>IFERROR(INDEX('Task Master'!$E:$E,MATCH($F330&amp;"||"&amp;$G330,'Task Master'!$K:$K,0)),"")</f>
        <v/>
      </c>
      <c r="I330" t="str">
        <f>IFERROR(INDEX('Task Master'!$F:$F,MATCH($F330&amp;"||"&amp;$G330,'Task Master'!$K:$K,0)),"")</f>
        <v/>
      </c>
      <c r="J330" t="str">
        <f>IFERROR(INDEX('Task Master'!$H:$H,MATCH($F330&amp;"||"&amp;$G330,'Task Master'!$K:$K,0)),"")</f>
        <v/>
      </c>
      <c r="N330" s="18" t="str">
        <f t="shared" si="41"/>
        <v/>
      </c>
      <c r="R330" s="18">
        <f t="shared" si="42"/>
        <v>0</v>
      </c>
      <c r="V330" s="18">
        <f t="shared" si="43"/>
        <v>0</v>
      </c>
      <c r="Z330" s="18">
        <f t="shared" si="44"/>
        <v>0</v>
      </c>
      <c r="AA330" s="18"/>
      <c r="AB330" s="18">
        <f t="shared" si="45"/>
        <v>0</v>
      </c>
      <c r="AC330" s="18" t="str">
        <f t="shared" si="46"/>
        <v/>
      </c>
      <c r="AD330" s="18" t="str">
        <f t="shared" si="47"/>
        <v/>
      </c>
      <c r="AF330" t="str">
        <f>IFERROR(INDEX('Task Master'!$D:$D,MATCH($F330,'Task Master'!$C:$C,0)),"")</f>
        <v/>
      </c>
    </row>
    <row r="331" spans="1:32" x14ac:dyDescent="0.25">
      <c r="A331" t="str">
        <f t="shared" si="40"/>
        <v/>
      </c>
      <c r="B331" s="16"/>
      <c r="D331" t="str">
        <f>IF($C331="","",IFERROR(INDEX('Asset Register'!$B:$B,MATCH($C331,'Asset Register'!$A:$A,0)),""))</f>
        <v/>
      </c>
      <c r="H331" t="str">
        <f>IFERROR(INDEX('Task Master'!$E:$E,MATCH($F331&amp;"||"&amp;$G331,'Task Master'!$K:$K,0)),"")</f>
        <v/>
      </c>
      <c r="I331" t="str">
        <f>IFERROR(INDEX('Task Master'!$F:$F,MATCH($F331&amp;"||"&amp;$G331,'Task Master'!$K:$K,0)),"")</f>
        <v/>
      </c>
      <c r="J331" t="str">
        <f>IFERROR(INDEX('Task Master'!$H:$H,MATCH($F331&amp;"||"&amp;$G331,'Task Master'!$K:$K,0)),"")</f>
        <v/>
      </c>
      <c r="N331" s="18" t="str">
        <f t="shared" si="41"/>
        <v/>
      </c>
      <c r="R331" s="18">
        <f t="shared" si="42"/>
        <v>0</v>
      </c>
      <c r="V331" s="18">
        <f t="shared" si="43"/>
        <v>0</v>
      </c>
      <c r="Z331" s="18">
        <f t="shared" si="44"/>
        <v>0</v>
      </c>
      <c r="AA331" s="18"/>
      <c r="AB331" s="18">
        <f t="shared" si="45"/>
        <v>0</v>
      </c>
      <c r="AC331" s="18" t="str">
        <f t="shared" si="46"/>
        <v/>
      </c>
      <c r="AD331" s="18" t="str">
        <f t="shared" si="47"/>
        <v/>
      </c>
      <c r="AF331" t="str">
        <f>IFERROR(INDEX('Task Master'!$D:$D,MATCH($F331,'Task Master'!$C:$C,0)),"")</f>
        <v/>
      </c>
    </row>
    <row r="332" spans="1:32" x14ac:dyDescent="0.25">
      <c r="A332" t="str">
        <f t="shared" si="40"/>
        <v/>
      </c>
      <c r="B332" s="16"/>
      <c r="D332" t="str">
        <f>IF($C332="","",IFERROR(INDEX('Asset Register'!$B:$B,MATCH($C332,'Asset Register'!$A:$A,0)),""))</f>
        <v/>
      </c>
      <c r="H332" t="str">
        <f>IFERROR(INDEX('Task Master'!$E:$E,MATCH($F332&amp;"||"&amp;$G332,'Task Master'!$K:$K,0)),"")</f>
        <v/>
      </c>
      <c r="I332" t="str">
        <f>IFERROR(INDEX('Task Master'!$F:$F,MATCH($F332&amp;"||"&amp;$G332,'Task Master'!$K:$K,0)),"")</f>
        <v/>
      </c>
      <c r="J332" t="str">
        <f>IFERROR(INDEX('Task Master'!$H:$H,MATCH($F332&amp;"||"&amp;$G332,'Task Master'!$K:$K,0)),"")</f>
        <v/>
      </c>
      <c r="N332" s="18" t="str">
        <f t="shared" si="41"/>
        <v/>
      </c>
      <c r="R332" s="18">
        <f t="shared" si="42"/>
        <v>0</v>
      </c>
      <c r="V332" s="18">
        <f t="shared" si="43"/>
        <v>0</v>
      </c>
      <c r="Z332" s="18">
        <f t="shared" si="44"/>
        <v>0</v>
      </c>
      <c r="AA332" s="18"/>
      <c r="AB332" s="18">
        <f t="shared" si="45"/>
        <v>0</v>
      </c>
      <c r="AC332" s="18" t="str">
        <f t="shared" si="46"/>
        <v/>
      </c>
      <c r="AD332" s="18" t="str">
        <f t="shared" si="47"/>
        <v/>
      </c>
      <c r="AF332" t="str">
        <f>IFERROR(INDEX('Task Master'!$D:$D,MATCH($F332,'Task Master'!$C:$C,0)),"")</f>
        <v/>
      </c>
    </row>
    <row r="333" spans="1:32" x14ac:dyDescent="0.25">
      <c r="A333" t="str">
        <f t="shared" si="40"/>
        <v/>
      </c>
      <c r="B333" s="16"/>
      <c r="D333" t="str">
        <f>IF($C333="","",IFERROR(INDEX('Asset Register'!$B:$B,MATCH($C333,'Asset Register'!$A:$A,0)),""))</f>
        <v/>
      </c>
      <c r="H333" t="str">
        <f>IFERROR(INDEX('Task Master'!$E:$E,MATCH($F333&amp;"||"&amp;$G333,'Task Master'!$K:$K,0)),"")</f>
        <v/>
      </c>
      <c r="I333" t="str">
        <f>IFERROR(INDEX('Task Master'!$F:$F,MATCH($F333&amp;"||"&amp;$G333,'Task Master'!$K:$K,0)),"")</f>
        <v/>
      </c>
      <c r="J333" t="str">
        <f>IFERROR(INDEX('Task Master'!$H:$H,MATCH($F333&amp;"||"&amp;$G333,'Task Master'!$K:$K,0)),"")</f>
        <v/>
      </c>
      <c r="N333" s="18" t="str">
        <f t="shared" si="41"/>
        <v/>
      </c>
      <c r="R333" s="18">
        <f t="shared" si="42"/>
        <v>0</v>
      </c>
      <c r="V333" s="18">
        <f t="shared" si="43"/>
        <v>0</v>
      </c>
      <c r="Z333" s="18">
        <f t="shared" si="44"/>
        <v>0</v>
      </c>
      <c r="AA333" s="18"/>
      <c r="AB333" s="18">
        <f t="shared" si="45"/>
        <v>0</v>
      </c>
      <c r="AC333" s="18" t="str">
        <f t="shared" si="46"/>
        <v/>
      </c>
      <c r="AD333" s="18" t="str">
        <f t="shared" si="47"/>
        <v/>
      </c>
      <c r="AF333" t="str">
        <f>IFERROR(INDEX('Task Master'!$D:$D,MATCH($F333,'Task Master'!$C:$C,0)),"")</f>
        <v/>
      </c>
    </row>
    <row r="334" spans="1:32" x14ac:dyDescent="0.25">
      <c r="A334" t="str">
        <f t="shared" si="40"/>
        <v/>
      </c>
      <c r="B334" s="16"/>
      <c r="D334" t="str">
        <f>IF($C334="","",IFERROR(INDEX('Asset Register'!$B:$B,MATCH($C334,'Asset Register'!$A:$A,0)),""))</f>
        <v/>
      </c>
      <c r="H334" t="str">
        <f>IFERROR(INDEX('Task Master'!$E:$E,MATCH($F334&amp;"||"&amp;$G334,'Task Master'!$K:$K,0)),"")</f>
        <v/>
      </c>
      <c r="I334" t="str">
        <f>IFERROR(INDEX('Task Master'!$F:$F,MATCH($F334&amp;"||"&amp;$G334,'Task Master'!$K:$K,0)),"")</f>
        <v/>
      </c>
      <c r="J334" t="str">
        <f>IFERROR(INDEX('Task Master'!$H:$H,MATCH($F334&amp;"||"&amp;$G334,'Task Master'!$K:$K,0)),"")</f>
        <v/>
      </c>
      <c r="N334" s="18" t="str">
        <f t="shared" si="41"/>
        <v/>
      </c>
      <c r="R334" s="18">
        <f t="shared" si="42"/>
        <v>0</v>
      </c>
      <c r="V334" s="18">
        <f t="shared" si="43"/>
        <v>0</v>
      </c>
      <c r="Z334" s="18">
        <f t="shared" si="44"/>
        <v>0</v>
      </c>
      <c r="AA334" s="18"/>
      <c r="AB334" s="18">
        <f t="shared" si="45"/>
        <v>0</v>
      </c>
      <c r="AC334" s="18" t="str">
        <f t="shared" si="46"/>
        <v/>
      </c>
      <c r="AD334" s="18" t="str">
        <f t="shared" si="47"/>
        <v/>
      </c>
      <c r="AF334" t="str">
        <f>IFERROR(INDEX('Task Master'!$D:$D,MATCH($F334,'Task Master'!$C:$C,0)),"")</f>
        <v/>
      </c>
    </row>
    <row r="335" spans="1:32" x14ac:dyDescent="0.25">
      <c r="A335" t="str">
        <f t="shared" si="40"/>
        <v/>
      </c>
      <c r="B335" s="16"/>
      <c r="D335" t="str">
        <f>IF($C335="","",IFERROR(INDEX('Asset Register'!$B:$B,MATCH($C335,'Asset Register'!$A:$A,0)),""))</f>
        <v/>
      </c>
      <c r="H335" t="str">
        <f>IFERROR(INDEX('Task Master'!$E:$E,MATCH($F335&amp;"||"&amp;$G335,'Task Master'!$K:$K,0)),"")</f>
        <v/>
      </c>
      <c r="I335" t="str">
        <f>IFERROR(INDEX('Task Master'!$F:$F,MATCH($F335&amp;"||"&amp;$G335,'Task Master'!$K:$K,0)),"")</f>
        <v/>
      </c>
      <c r="J335" t="str">
        <f>IFERROR(INDEX('Task Master'!$H:$H,MATCH($F335&amp;"||"&amp;$G335,'Task Master'!$K:$K,0)),"")</f>
        <v/>
      </c>
      <c r="N335" s="18" t="str">
        <f t="shared" si="41"/>
        <v/>
      </c>
      <c r="R335" s="18">
        <f t="shared" si="42"/>
        <v>0</v>
      </c>
      <c r="V335" s="18">
        <f t="shared" si="43"/>
        <v>0</v>
      </c>
      <c r="Z335" s="18">
        <f t="shared" si="44"/>
        <v>0</v>
      </c>
      <c r="AA335" s="18"/>
      <c r="AB335" s="18">
        <f t="shared" si="45"/>
        <v>0</v>
      </c>
      <c r="AC335" s="18" t="str">
        <f t="shared" si="46"/>
        <v/>
      </c>
      <c r="AD335" s="18" t="str">
        <f t="shared" si="47"/>
        <v/>
      </c>
      <c r="AF335" t="str">
        <f>IFERROR(INDEX('Task Master'!$D:$D,MATCH($F335,'Task Master'!$C:$C,0)),"")</f>
        <v/>
      </c>
    </row>
    <row r="336" spans="1:32" x14ac:dyDescent="0.25">
      <c r="A336" t="str">
        <f t="shared" si="40"/>
        <v/>
      </c>
      <c r="B336" s="16"/>
      <c r="D336" t="str">
        <f>IF($C336="","",IFERROR(INDEX('Asset Register'!$B:$B,MATCH($C336,'Asset Register'!$A:$A,0)),""))</f>
        <v/>
      </c>
      <c r="H336" t="str">
        <f>IFERROR(INDEX('Task Master'!$E:$E,MATCH($F336&amp;"||"&amp;$G336,'Task Master'!$K:$K,0)),"")</f>
        <v/>
      </c>
      <c r="I336" t="str">
        <f>IFERROR(INDEX('Task Master'!$F:$F,MATCH($F336&amp;"||"&amp;$G336,'Task Master'!$K:$K,0)),"")</f>
        <v/>
      </c>
      <c r="J336" t="str">
        <f>IFERROR(INDEX('Task Master'!$H:$H,MATCH($F336&amp;"||"&amp;$G336,'Task Master'!$K:$K,0)),"")</f>
        <v/>
      </c>
      <c r="N336" s="18" t="str">
        <f t="shared" si="41"/>
        <v/>
      </c>
      <c r="R336" s="18">
        <f t="shared" si="42"/>
        <v>0</v>
      </c>
      <c r="V336" s="18">
        <f t="shared" si="43"/>
        <v>0</v>
      </c>
      <c r="Z336" s="18">
        <f t="shared" si="44"/>
        <v>0</v>
      </c>
      <c r="AA336" s="18"/>
      <c r="AB336" s="18">
        <f t="shared" si="45"/>
        <v>0</v>
      </c>
      <c r="AC336" s="18" t="str">
        <f t="shared" si="46"/>
        <v/>
      </c>
      <c r="AD336" s="18" t="str">
        <f t="shared" si="47"/>
        <v/>
      </c>
      <c r="AF336" t="str">
        <f>IFERROR(INDEX('Task Master'!$D:$D,MATCH($F336,'Task Master'!$C:$C,0)),"")</f>
        <v/>
      </c>
    </row>
    <row r="337" spans="1:32" x14ac:dyDescent="0.25">
      <c r="A337" t="str">
        <f t="shared" si="40"/>
        <v/>
      </c>
      <c r="B337" s="16"/>
      <c r="D337" t="str">
        <f>IF($C337="","",IFERROR(INDEX('Asset Register'!$B:$B,MATCH($C337,'Asset Register'!$A:$A,0)),""))</f>
        <v/>
      </c>
      <c r="H337" t="str">
        <f>IFERROR(INDEX('Task Master'!$E:$E,MATCH($F337&amp;"||"&amp;$G337,'Task Master'!$K:$K,0)),"")</f>
        <v/>
      </c>
      <c r="I337" t="str">
        <f>IFERROR(INDEX('Task Master'!$F:$F,MATCH($F337&amp;"||"&amp;$G337,'Task Master'!$K:$K,0)),"")</f>
        <v/>
      </c>
      <c r="J337" t="str">
        <f>IFERROR(INDEX('Task Master'!$H:$H,MATCH($F337&amp;"||"&amp;$G337,'Task Master'!$K:$K,0)),"")</f>
        <v/>
      </c>
      <c r="N337" s="18" t="str">
        <f t="shared" si="41"/>
        <v/>
      </c>
      <c r="R337" s="18">
        <f t="shared" si="42"/>
        <v>0</v>
      </c>
      <c r="V337" s="18">
        <f t="shared" si="43"/>
        <v>0</v>
      </c>
      <c r="Z337" s="18">
        <f t="shared" si="44"/>
        <v>0</v>
      </c>
      <c r="AA337" s="18"/>
      <c r="AB337" s="18">
        <f t="shared" si="45"/>
        <v>0</v>
      </c>
      <c r="AC337" s="18" t="str">
        <f t="shared" si="46"/>
        <v/>
      </c>
      <c r="AD337" s="18" t="str">
        <f t="shared" si="47"/>
        <v/>
      </c>
      <c r="AF337" t="str">
        <f>IFERROR(INDEX('Task Master'!$D:$D,MATCH($F337,'Task Master'!$C:$C,0)),"")</f>
        <v/>
      </c>
    </row>
    <row r="338" spans="1:32" x14ac:dyDescent="0.25">
      <c r="A338" t="str">
        <f t="shared" si="40"/>
        <v/>
      </c>
      <c r="B338" s="16"/>
      <c r="D338" t="str">
        <f>IF($C338="","",IFERROR(INDEX('Asset Register'!$B:$B,MATCH($C338,'Asset Register'!$A:$A,0)),""))</f>
        <v/>
      </c>
      <c r="H338" t="str">
        <f>IFERROR(INDEX('Task Master'!$E:$E,MATCH($F338&amp;"||"&amp;$G338,'Task Master'!$K:$K,0)),"")</f>
        <v/>
      </c>
      <c r="I338" t="str">
        <f>IFERROR(INDEX('Task Master'!$F:$F,MATCH($F338&amp;"||"&amp;$G338,'Task Master'!$K:$K,0)),"")</f>
        <v/>
      </c>
      <c r="J338" t="str">
        <f>IFERROR(INDEX('Task Master'!$H:$H,MATCH($F338&amp;"||"&amp;$G338,'Task Master'!$K:$K,0)),"")</f>
        <v/>
      </c>
      <c r="N338" s="18" t="str">
        <f t="shared" si="41"/>
        <v/>
      </c>
      <c r="R338" s="18">
        <f t="shared" si="42"/>
        <v>0</v>
      </c>
      <c r="V338" s="18">
        <f t="shared" si="43"/>
        <v>0</v>
      </c>
      <c r="Z338" s="18">
        <f t="shared" si="44"/>
        <v>0</v>
      </c>
      <c r="AA338" s="18"/>
      <c r="AB338" s="18">
        <f t="shared" si="45"/>
        <v>0</v>
      </c>
      <c r="AC338" s="18" t="str">
        <f t="shared" si="46"/>
        <v/>
      </c>
      <c r="AD338" s="18" t="str">
        <f t="shared" si="47"/>
        <v/>
      </c>
      <c r="AF338" t="str">
        <f>IFERROR(INDEX('Task Master'!$D:$D,MATCH($F338,'Task Master'!$C:$C,0)),"")</f>
        <v/>
      </c>
    </row>
    <row r="339" spans="1:32" x14ac:dyDescent="0.25">
      <c r="A339" t="str">
        <f t="shared" si="40"/>
        <v/>
      </c>
      <c r="B339" s="16"/>
      <c r="D339" t="str">
        <f>IF($C339="","",IFERROR(INDEX('Asset Register'!$B:$B,MATCH($C339,'Asset Register'!$A:$A,0)),""))</f>
        <v/>
      </c>
      <c r="H339" t="str">
        <f>IFERROR(INDEX('Task Master'!$E:$E,MATCH($F339&amp;"||"&amp;$G339,'Task Master'!$K:$K,0)),"")</f>
        <v/>
      </c>
      <c r="I339" t="str">
        <f>IFERROR(INDEX('Task Master'!$F:$F,MATCH($F339&amp;"||"&amp;$G339,'Task Master'!$K:$K,0)),"")</f>
        <v/>
      </c>
      <c r="J339" t="str">
        <f>IFERROR(INDEX('Task Master'!$H:$H,MATCH($F339&amp;"||"&amp;$G339,'Task Master'!$K:$K,0)),"")</f>
        <v/>
      </c>
      <c r="N339" s="18" t="str">
        <f t="shared" si="41"/>
        <v/>
      </c>
      <c r="R339" s="18">
        <f t="shared" si="42"/>
        <v>0</v>
      </c>
      <c r="V339" s="18">
        <f t="shared" si="43"/>
        <v>0</v>
      </c>
      <c r="Z339" s="18">
        <f t="shared" si="44"/>
        <v>0</v>
      </c>
      <c r="AA339" s="18"/>
      <c r="AB339" s="18">
        <f t="shared" si="45"/>
        <v>0</v>
      </c>
      <c r="AC339" s="18" t="str">
        <f t="shared" si="46"/>
        <v/>
      </c>
      <c r="AD339" s="18" t="str">
        <f t="shared" si="47"/>
        <v/>
      </c>
      <c r="AF339" t="str">
        <f>IFERROR(INDEX('Task Master'!$D:$D,MATCH($F339,'Task Master'!$C:$C,0)),"")</f>
        <v/>
      </c>
    </row>
    <row r="340" spans="1:32" x14ac:dyDescent="0.25">
      <c r="A340" t="str">
        <f t="shared" si="40"/>
        <v/>
      </c>
      <c r="B340" s="16"/>
      <c r="D340" t="str">
        <f>IF($C340="","",IFERROR(INDEX('Asset Register'!$B:$B,MATCH($C340,'Asset Register'!$A:$A,0)),""))</f>
        <v/>
      </c>
      <c r="H340" t="str">
        <f>IFERROR(INDEX('Task Master'!$E:$E,MATCH($F340&amp;"||"&amp;$G340,'Task Master'!$K:$K,0)),"")</f>
        <v/>
      </c>
      <c r="I340" t="str">
        <f>IFERROR(INDEX('Task Master'!$F:$F,MATCH($F340&amp;"||"&amp;$G340,'Task Master'!$K:$K,0)),"")</f>
        <v/>
      </c>
      <c r="J340" t="str">
        <f>IFERROR(INDEX('Task Master'!$H:$H,MATCH($F340&amp;"||"&amp;$G340,'Task Master'!$K:$K,0)),"")</f>
        <v/>
      </c>
      <c r="N340" s="18" t="str">
        <f t="shared" si="41"/>
        <v/>
      </c>
      <c r="R340" s="18">
        <f t="shared" si="42"/>
        <v>0</v>
      </c>
      <c r="V340" s="18">
        <f t="shared" si="43"/>
        <v>0</v>
      </c>
      <c r="Z340" s="18">
        <f t="shared" si="44"/>
        <v>0</v>
      </c>
      <c r="AA340" s="18"/>
      <c r="AB340" s="18">
        <f t="shared" si="45"/>
        <v>0</v>
      </c>
      <c r="AC340" s="18" t="str">
        <f t="shared" si="46"/>
        <v/>
      </c>
      <c r="AD340" s="18" t="str">
        <f t="shared" si="47"/>
        <v/>
      </c>
      <c r="AF340" t="str">
        <f>IFERROR(INDEX('Task Master'!$D:$D,MATCH($F340,'Task Master'!$C:$C,0)),"")</f>
        <v/>
      </c>
    </row>
    <row r="341" spans="1:32" x14ac:dyDescent="0.25">
      <c r="A341" t="str">
        <f t="shared" si="40"/>
        <v/>
      </c>
      <c r="B341" s="16"/>
      <c r="D341" t="str">
        <f>IF($C341="","",IFERROR(INDEX('Asset Register'!$B:$B,MATCH($C341,'Asset Register'!$A:$A,0)),""))</f>
        <v/>
      </c>
      <c r="H341" t="str">
        <f>IFERROR(INDEX('Task Master'!$E:$E,MATCH($F341&amp;"||"&amp;$G341,'Task Master'!$K:$K,0)),"")</f>
        <v/>
      </c>
      <c r="I341" t="str">
        <f>IFERROR(INDEX('Task Master'!$F:$F,MATCH($F341&amp;"||"&amp;$G341,'Task Master'!$K:$K,0)),"")</f>
        <v/>
      </c>
      <c r="J341" t="str">
        <f>IFERROR(INDEX('Task Master'!$H:$H,MATCH($F341&amp;"||"&amp;$G341,'Task Master'!$K:$K,0)),"")</f>
        <v/>
      </c>
      <c r="N341" s="18" t="str">
        <f t="shared" si="41"/>
        <v/>
      </c>
      <c r="R341" s="18">
        <f t="shared" si="42"/>
        <v>0</v>
      </c>
      <c r="V341" s="18">
        <f t="shared" si="43"/>
        <v>0</v>
      </c>
      <c r="Z341" s="18">
        <f t="shared" si="44"/>
        <v>0</v>
      </c>
      <c r="AA341" s="18"/>
      <c r="AB341" s="18">
        <f t="shared" si="45"/>
        <v>0</v>
      </c>
      <c r="AC341" s="18" t="str">
        <f t="shared" si="46"/>
        <v/>
      </c>
      <c r="AD341" s="18" t="str">
        <f t="shared" si="47"/>
        <v/>
      </c>
      <c r="AF341" t="str">
        <f>IFERROR(INDEX('Task Master'!$D:$D,MATCH($F341,'Task Master'!$C:$C,0)),"")</f>
        <v/>
      </c>
    </row>
    <row r="342" spans="1:32" x14ac:dyDescent="0.25">
      <c r="A342" t="str">
        <f t="shared" si="40"/>
        <v/>
      </c>
      <c r="B342" s="16"/>
      <c r="D342" t="str">
        <f>IF($C342="","",IFERROR(INDEX('Asset Register'!$B:$B,MATCH($C342,'Asset Register'!$A:$A,0)),""))</f>
        <v/>
      </c>
      <c r="H342" t="str">
        <f>IFERROR(INDEX('Task Master'!$E:$E,MATCH($F342&amp;"||"&amp;$G342,'Task Master'!$K:$K,0)),"")</f>
        <v/>
      </c>
      <c r="I342" t="str">
        <f>IFERROR(INDEX('Task Master'!$F:$F,MATCH($F342&amp;"||"&amp;$G342,'Task Master'!$K:$K,0)),"")</f>
        <v/>
      </c>
      <c r="J342" t="str">
        <f>IFERROR(INDEX('Task Master'!$H:$H,MATCH($F342&amp;"||"&amp;$G342,'Task Master'!$K:$K,0)),"")</f>
        <v/>
      </c>
      <c r="N342" s="18" t="str">
        <f t="shared" si="41"/>
        <v/>
      </c>
      <c r="R342" s="18">
        <f t="shared" si="42"/>
        <v>0</v>
      </c>
      <c r="V342" s="18">
        <f t="shared" si="43"/>
        <v>0</v>
      </c>
      <c r="Z342" s="18">
        <f t="shared" si="44"/>
        <v>0</v>
      </c>
      <c r="AA342" s="18"/>
      <c r="AB342" s="18">
        <f t="shared" si="45"/>
        <v>0</v>
      </c>
      <c r="AC342" s="18" t="str">
        <f t="shared" si="46"/>
        <v/>
      </c>
      <c r="AD342" s="18" t="str">
        <f t="shared" si="47"/>
        <v/>
      </c>
      <c r="AF342" t="str">
        <f>IFERROR(INDEX('Task Master'!$D:$D,MATCH($F342,'Task Master'!$C:$C,0)),"")</f>
        <v/>
      </c>
    </row>
    <row r="343" spans="1:32" x14ac:dyDescent="0.25">
      <c r="A343" t="str">
        <f t="shared" si="40"/>
        <v/>
      </c>
      <c r="B343" s="16"/>
      <c r="D343" t="str">
        <f>IF($C343="","",IFERROR(INDEX('Asset Register'!$B:$B,MATCH($C343,'Asset Register'!$A:$A,0)),""))</f>
        <v/>
      </c>
      <c r="H343" t="str">
        <f>IFERROR(INDEX('Task Master'!$E:$E,MATCH($F343&amp;"||"&amp;$G343,'Task Master'!$K:$K,0)),"")</f>
        <v/>
      </c>
      <c r="I343" t="str">
        <f>IFERROR(INDEX('Task Master'!$F:$F,MATCH($F343&amp;"||"&amp;$G343,'Task Master'!$K:$K,0)),"")</f>
        <v/>
      </c>
      <c r="J343" t="str">
        <f>IFERROR(INDEX('Task Master'!$H:$H,MATCH($F343&amp;"||"&amp;$G343,'Task Master'!$K:$K,0)),"")</f>
        <v/>
      </c>
      <c r="N343" s="18" t="str">
        <f t="shared" si="41"/>
        <v/>
      </c>
      <c r="R343" s="18">
        <f t="shared" si="42"/>
        <v>0</v>
      </c>
      <c r="V343" s="18">
        <f t="shared" si="43"/>
        <v>0</v>
      </c>
      <c r="Z343" s="18">
        <f t="shared" si="44"/>
        <v>0</v>
      </c>
      <c r="AA343" s="18"/>
      <c r="AB343" s="18">
        <f t="shared" si="45"/>
        <v>0</v>
      </c>
      <c r="AC343" s="18" t="str">
        <f t="shared" si="46"/>
        <v/>
      </c>
      <c r="AD343" s="18" t="str">
        <f t="shared" si="47"/>
        <v/>
      </c>
      <c r="AF343" t="str">
        <f>IFERROR(INDEX('Task Master'!$D:$D,MATCH($F343,'Task Master'!$C:$C,0)),"")</f>
        <v/>
      </c>
    </row>
    <row r="344" spans="1:32" x14ac:dyDescent="0.25">
      <c r="A344" t="str">
        <f t="shared" si="40"/>
        <v/>
      </c>
      <c r="B344" s="16"/>
      <c r="D344" t="str">
        <f>IF($C344="","",IFERROR(INDEX('Asset Register'!$B:$B,MATCH($C344,'Asset Register'!$A:$A,0)),""))</f>
        <v/>
      </c>
      <c r="H344" t="str">
        <f>IFERROR(INDEX('Task Master'!$E:$E,MATCH($F344&amp;"||"&amp;$G344,'Task Master'!$K:$K,0)),"")</f>
        <v/>
      </c>
      <c r="I344" t="str">
        <f>IFERROR(INDEX('Task Master'!$F:$F,MATCH($F344&amp;"||"&amp;$G344,'Task Master'!$K:$K,0)),"")</f>
        <v/>
      </c>
      <c r="J344" t="str">
        <f>IFERROR(INDEX('Task Master'!$H:$H,MATCH($F344&amp;"||"&amp;$G344,'Task Master'!$K:$K,0)),"")</f>
        <v/>
      </c>
      <c r="N344" s="18" t="str">
        <f t="shared" si="41"/>
        <v/>
      </c>
      <c r="R344" s="18">
        <f t="shared" si="42"/>
        <v>0</v>
      </c>
      <c r="V344" s="18">
        <f t="shared" si="43"/>
        <v>0</v>
      </c>
      <c r="Z344" s="18">
        <f t="shared" si="44"/>
        <v>0</v>
      </c>
      <c r="AA344" s="18"/>
      <c r="AB344" s="18">
        <f t="shared" si="45"/>
        <v>0</v>
      </c>
      <c r="AC344" s="18" t="str">
        <f t="shared" si="46"/>
        <v/>
      </c>
      <c r="AD344" s="18" t="str">
        <f t="shared" si="47"/>
        <v/>
      </c>
      <c r="AF344" t="str">
        <f>IFERROR(INDEX('Task Master'!$D:$D,MATCH($F344,'Task Master'!$C:$C,0)),"")</f>
        <v/>
      </c>
    </row>
    <row r="345" spans="1:32" x14ac:dyDescent="0.25">
      <c r="A345" t="str">
        <f t="shared" si="40"/>
        <v/>
      </c>
      <c r="B345" s="16"/>
      <c r="D345" t="str">
        <f>IF($C345="","",IFERROR(INDEX('Asset Register'!$B:$B,MATCH($C345,'Asset Register'!$A:$A,0)),""))</f>
        <v/>
      </c>
      <c r="H345" t="str">
        <f>IFERROR(INDEX('Task Master'!$E:$E,MATCH($F345&amp;"||"&amp;$G345,'Task Master'!$K:$K,0)),"")</f>
        <v/>
      </c>
      <c r="I345" t="str">
        <f>IFERROR(INDEX('Task Master'!$F:$F,MATCH($F345&amp;"||"&amp;$G345,'Task Master'!$K:$K,0)),"")</f>
        <v/>
      </c>
      <c r="J345" t="str">
        <f>IFERROR(INDEX('Task Master'!$H:$H,MATCH($F345&amp;"||"&amp;$G345,'Task Master'!$K:$K,0)),"")</f>
        <v/>
      </c>
      <c r="N345" s="18" t="str">
        <f t="shared" si="41"/>
        <v/>
      </c>
      <c r="R345" s="18">
        <f t="shared" si="42"/>
        <v>0</v>
      </c>
      <c r="V345" s="18">
        <f t="shared" si="43"/>
        <v>0</v>
      </c>
      <c r="Z345" s="18">
        <f t="shared" si="44"/>
        <v>0</v>
      </c>
      <c r="AA345" s="18"/>
      <c r="AB345" s="18">
        <f t="shared" si="45"/>
        <v>0</v>
      </c>
      <c r="AC345" s="18" t="str">
        <f t="shared" si="46"/>
        <v/>
      </c>
      <c r="AD345" s="18" t="str">
        <f t="shared" si="47"/>
        <v/>
      </c>
      <c r="AF345" t="str">
        <f>IFERROR(INDEX('Task Master'!$D:$D,MATCH($F345,'Task Master'!$C:$C,0)),"")</f>
        <v/>
      </c>
    </row>
    <row r="346" spans="1:32" x14ac:dyDescent="0.25">
      <c r="A346" t="str">
        <f t="shared" si="40"/>
        <v/>
      </c>
      <c r="B346" s="16"/>
      <c r="D346" t="str">
        <f>IF($C346="","",IFERROR(INDEX('Asset Register'!$B:$B,MATCH($C346,'Asset Register'!$A:$A,0)),""))</f>
        <v/>
      </c>
      <c r="H346" t="str">
        <f>IFERROR(INDEX('Task Master'!$E:$E,MATCH($F346&amp;"||"&amp;$G346,'Task Master'!$K:$K,0)),"")</f>
        <v/>
      </c>
      <c r="I346" t="str">
        <f>IFERROR(INDEX('Task Master'!$F:$F,MATCH($F346&amp;"||"&amp;$G346,'Task Master'!$K:$K,0)),"")</f>
        <v/>
      </c>
      <c r="J346" t="str">
        <f>IFERROR(INDEX('Task Master'!$H:$H,MATCH($F346&amp;"||"&amp;$G346,'Task Master'!$K:$K,0)),"")</f>
        <v/>
      </c>
      <c r="N346" s="18" t="str">
        <f t="shared" si="41"/>
        <v/>
      </c>
      <c r="R346" s="18">
        <f t="shared" si="42"/>
        <v>0</v>
      </c>
      <c r="V346" s="18">
        <f t="shared" si="43"/>
        <v>0</v>
      </c>
      <c r="Z346" s="18">
        <f t="shared" si="44"/>
        <v>0</v>
      </c>
      <c r="AA346" s="18"/>
      <c r="AB346" s="18">
        <f t="shared" si="45"/>
        <v>0</v>
      </c>
      <c r="AC346" s="18" t="str">
        <f t="shared" si="46"/>
        <v/>
      </c>
      <c r="AD346" s="18" t="str">
        <f t="shared" si="47"/>
        <v/>
      </c>
      <c r="AF346" t="str">
        <f>IFERROR(INDEX('Task Master'!$D:$D,MATCH($F346,'Task Master'!$C:$C,0)),"")</f>
        <v/>
      </c>
    </row>
    <row r="347" spans="1:32" x14ac:dyDescent="0.25">
      <c r="A347" t="str">
        <f t="shared" si="40"/>
        <v/>
      </c>
      <c r="B347" s="16"/>
      <c r="D347" t="str">
        <f>IF($C347="","",IFERROR(INDEX('Asset Register'!$B:$B,MATCH($C347,'Asset Register'!$A:$A,0)),""))</f>
        <v/>
      </c>
      <c r="H347" t="str">
        <f>IFERROR(INDEX('Task Master'!$E:$E,MATCH($F347&amp;"||"&amp;$G347,'Task Master'!$K:$K,0)),"")</f>
        <v/>
      </c>
      <c r="I347" t="str">
        <f>IFERROR(INDEX('Task Master'!$F:$F,MATCH($F347&amp;"||"&amp;$G347,'Task Master'!$K:$K,0)),"")</f>
        <v/>
      </c>
      <c r="J347" t="str">
        <f>IFERROR(INDEX('Task Master'!$H:$H,MATCH($F347&amp;"||"&amp;$G347,'Task Master'!$K:$K,0)),"")</f>
        <v/>
      </c>
      <c r="N347" s="18" t="str">
        <f t="shared" si="41"/>
        <v/>
      </c>
      <c r="R347" s="18">
        <f t="shared" si="42"/>
        <v>0</v>
      </c>
      <c r="V347" s="18">
        <f t="shared" si="43"/>
        <v>0</v>
      </c>
      <c r="Z347" s="18">
        <f t="shared" si="44"/>
        <v>0</v>
      </c>
      <c r="AA347" s="18"/>
      <c r="AB347" s="18">
        <f t="shared" si="45"/>
        <v>0</v>
      </c>
      <c r="AC347" s="18" t="str">
        <f t="shared" si="46"/>
        <v/>
      </c>
      <c r="AD347" s="18" t="str">
        <f t="shared" si="47"/>
        <v/>
      </c>
      <c r="AF347" t="str">
        <f>IFERROR(INDEX('Task Master'!$D:$D,MATCH($F347,'Task Master'!$C:$C,0)),"")</f>
        <v/>
      </c>
    </row>
    <row r="348" spans="1:32" x14ac:dyDescent="0.25">
      <c r="A348" t="str">
        <f t="shared" si="40"/>
        <v/>
      </c>
      <c r="B348" s="16"/>
      <c r="D348" t="str">
        <f>IF($C348="","",IFERROR(INDEX('Asset Register'!$B:$B,MATCH($C348,'Asset Register'!$A:$A,0)),""))</f>
        <v/>
      </c>
      <c r="H348" t="str">
        <f>IFERROR(INDEX('Task Master'!$E:$E,MATCH($F348&amp;"||"&amp;$G348,'Task Master'!$K:$K,0)),"")</f>
        <v/>
      </c>
      <c r="I348" t="str">
        <f>IFERROR(INDEX('Task Master'!$F:$F,MATCH($F348&amp;"||"&amp;$G348,'Task Master'!$K:$K,0)),"")</f>
        <v/>
      </c>
      <c r="J348" t="str">
        <f>IFERROR(INDEX('Task Master'!$H:$H,MATCH($F348&amp;"||"&amp;$G348,'Task Master'!$K:$K,0)),"")</f>
        <v/>
      </c>
      <c r="N348" s="18" t="str">
        <f t="shared" si="41"/>
        <v/>
      </c>
      <c r="R348" s="18">
        <f t="shared" si="42"/>
        <v>0</v>
      </c>
      <c r="V348" s="18">
        <f t="shared" si="43"/>
        <v>0</v>
      </c>
      <c r="Z348" s="18">
        <f t="shared" si="44"/>
        <v>0</v>
      </c>
      <c r="AA348" s="18"/>
      <c r="AB348" s="18">
        <f t="shared" si="45"/>
        <v>0</v>
      </c>
      <c r="AC348" s="18" t="str">
        <f t="shared" si="46"/>
        <v/>
      </c>
      <c r="AD348" s="18" t="str">
        <f t="shared" si="47"/>
        <v/>
      </c>
      <c r="AF348" t="str">
        <f>IFERROR(INDEX('Task Master'!$D:$D,MATCH($F348,'Task Master'!$C:$C,0)),"")</f>
        <v/>
      </c>
    </row>
    <row r="349" spans="1:32" x14ac:dyDescent="0.25">
      <c r="A349" t="str">
        <f t="shared" si="40"/>
        <v/>
      </c>
      <c r="B349" s="16"/>
      <c r="D349" t="str">
        <f>IF($C349="","",IFERROR(INDEX('Asset Register'!$B:$B,MATCH($C349,'Asset Register'!$A:$A,0)),""))</f>
        <v/>
      </c>
      <c r="H349" t="str">
        <f>IFERROR(INDEX('Task Master'!$E:$E,MATCH($F349&amp;"||"&amp;$G349,'Task Master'!$K:$K,0)),"")</f>
        <v/>
      </c>
      <c r="I349" t="str">
        <f>IFERROR(INDEX('Task Master'!$F:$F,MATCH($F349&amp;"||"&amp;$G349,'Task Master'!$K:$K,0)),"")</f>
        <v/>
      </c>
      <c r="J349" t="str">
        <f>IFERROR(INDEX('Task Master'!$H:$H,MATCH($F349&amp;"||"&amp;$G349,'Task Master'!$K:$K,0)),"")</f>
        <v/>
      </c>
      <c r="N349" s="18" t="str">
        <f t="shared" si="41"/>
        <v/>
      </c>
      <c r="R349" s="18">
        <f t="shared" si="42"/>
        <v>0</v>
      </c>
      <c r="V349" s="18">
        <f t="shared" si="43"/>
        <v>0</v>
      </c>
      <c r="Z349" s="18">
        <f t="shared" si="44"/>
        <v>0</v>
      </c>
      <c r="AA349" s="18"/>
      <c r="AB349" s="18">
        <f t="shared" si="45"/>
        <v>0</v>
      </c>
      <c r="AC349" s="18" t="str">
        <f t="shared" si="46"/>
        <v/>
      </c>
      <c r="AD349" s="18" t="str">
        <f t="shared" si="47"/>
        <v/>
      </c>
      <c r="AF349" t="str">
        <f>IFERROR(INDEX('Task Master'!$D:$D,MATCH($F349,'Task Master'!$C:$C,0)),"")</f>
        <v/>
      </c>
    </row>
    <row r="350" spans="1:32" x14ac:dyDescent="0.25">
      <c r="A350" t="str">
        <f t="shared" si="40"/>
        <v/>
      </c>
      <c r="B350" s="16"/>
      <c r="D350" t="str">
        <f>IF($C350="","",IFERROR(INDEX('Asset Register'!$B:$B,MATCH($C350,'Asset Register'!$A:$A,0)),""))</f>
        <v/>
      </c>
      <c r="H350" t="str">
        <f>IFERROR(INDEX('Task Master'!$E:$E,MATCH($F350&amp;"||"&amp;$G350,'Task Master'!$K:$K,0)),"")</f>
        <v/>
      </c>
      <c r="I350" t="str">
        <f>IFERROR(INDEX('Task Master'!$F:$F,MATCH($F350&amp;"||"&amp;$G350,'Task Master'!$K:$K,0)),"")</f>
        <v/>
      </c>
      <c r="J350" t="str">
        <f>IFERROR(INDEX('Task Master'!$H:$H,MATCH($F350&amp;"||"&amp;$G350,'Task Master'!$K:$K,0)),"")</f>
        <v/>
      </c>
      <c r="N350" s="18" t="str">
        <f t="shared" si="41"/>
        <v/>
      </c>
      <c r="R350" s="18">
        <f t="shared" si="42"/>
        <v>0</v>
      </c>
      <c r="V350" s="18">
        <f t="shared" si="43"/>
        <v>0</v>
      </c>
      <c r="Z350" s="18">
        <f t="shared" si="44"/>
        <v>0</v>
      </c>
      <c r="AA350" s="18"/>
      <c r="AB350" s="18">
        <f t="shared" si="45"/>
        <v>0</v>
      </c>
      <c r="AC350" s="18" t="str">
        <f t="shared" si="46"/>
        <v/>
      </c>
      <c r="AD350" s="18" t="str">
        <f t="shared" si="47"/>
        <v/>
      </c>
      <c r="AF350" t="str">
        <f>IFERROR(INDEX('Task Master'!$D:$D,MATCH($F350,'Task Master'!$C:$C,0)),"")</f>
        <v/>
      </c>
    </row>
    <row r="351" spans="1:32" x14ac:dyDescent="0.25">
      <c r="A351" t="str">
        <f t="shared" si="40"/>
        <v/>
      </c>
      <c r="B351" s="16"/>
      <c r="D351" t="str">
        <f>IF($C351="","",IFERROR(INDEX('Asset Register'!$B:$B,MATCH($C351,'Asset Register'!$A:$A,0)),""))</f>
        <v/>
      </c>
      <c r="H351" t="str">
        <f>IFERROR(INDEX('Task Master'!$E:$E,MATCH($F351&amp;"||"&amp;$G351,'Task Master'!$K:$K,0)),"")</f>
        <v/>
      </c>
      <c r="I351" t="str">
        <f>IFERROR(INDEX('Task Master'!$F:$F,MATCH($F351&amp;"||"&amp;$G351,'Task Master'!$K:$K,0)),"")</f>
        <v/>
      </c>
      <c r="J351" t="str">
        <f>IFERROR(INDEX('Task Master'!$H:$H,MATCH($F351&amp;"||"&amp;$G351,'Task Master'!$K:$K,0)),"")</f>
        <v/>
      </c>
      <c r="N351" s="18" t="str">
        <f t="shared" si="41"/>
        <v/>
      </c>
      <c r="R351" s="18">
        <f t="shared" si="42"/>
        <v>0</v>
      </c>
      <c r="V351" s="18">
        <f t="shared" si="43"/>
        <v>0</v>
      </c>
      <c r="Z351" s="18">
        <f t="shared" si="44"/>
        <v>0</v>
      </c>
      <c r="AA351" s="18"/>
      <c r="AB351" s="18">
        <f t="shared" si="45"/>
        <v>0</v>
      </c>
      <c r="AC351" s="18" t="str">
        <f t="shared" si="46"/>
        <v/>
      </c>
      <c r="AD351" s="18" t="str">
        <f t="shared" si="47"/>
        <v/>
      </c>
      <c r="AF351" t="str">
        <f>IFERROR(INDEX('Task Master'!$D:$D,MATCH($F351,'Task Master'!$C:$C,0)),"")</f>
        <v/>
      </c>
    </row>
    <row r="352" spans="1:32" x14ac:dyDescent="0.25">
      <c r="A352" t="str">
        <f t="shared" si="40"/>
        <v/>
      </c>
      <c r="B352" s="16"/>
      <c r="D352" t="str">
        <f>IF($C352="","",IFERROR(INDEX('Asset Register'!$B:$B,MATCH($C352,'Asset Register'!$A:$A,0)),""))</f>
        <v/>
      </c>
      <c r="H352" t="str">
        <f>IFERROR(INDEX('Task Master'!$E:$E,MATCH($F352&amp;"||"&amp;$G352,'Task Master'!$K:$K,0)),"")</f>
        <v/>
      </c>
      <c r="I352" t="str">
        <f>IFERROR(INDEX('Task Master'!$F:$F,MATCH($F352&amp;"||"&amp;$G352,'Task Master'!$K:$K,0)),"")</f>
        <v/>
      </c>
      <c r="J352" t="str">
        <f>IFERROR(INDEX('Task Master'!$H:$H,MATCH($F352&amp;"||"&amp;$G352,'Task Master'!$K:$K,0)),"")</f>
        <v/>
      </c>
      <c r="N352" s="18" t="str">
        <f t="shared" si="41"/>
        <v/>
      </c>
      <c r="R352" s="18">
        <f t="shared" si="42"/>
        <v>0</v>
      </c>
      <c r="V352" s="18">
        <f t="shared" si="43"/>
        <v>0</v>
      </c>
      <c r="Z352" s="18">
        <f t="shared" si="44"/>
        <v>0</v>
      </c>
      <c r="AA352" s="18"/>
      <c r="AB352" s="18">
        <f t="shared" si="45"/>
        <v>0</v>
      </c>
      <c r="AC352" s="18" t="str">
        <f t="shared" si="46"/>
        <v/>
      </c>
      <c r="AD352" s="18" t="str">
        <f t="shared" si="47"/>
        <v/>
      </c>
      <c r="AF352" t="str">
        <f>IFERROR(INDEX('Task Master'!$D:$D,MATCH($F352,'Task Master'!$C:$C,0)),"")</f>
        <v/>
      </c>
    </row>
    <row r="353" spans="1:32" x14ac:dyDescent="0.25">
      <c r="A353" t="str">
        <f t="shared" si="40"/>
        <v/>
      </c>
      <c r="B353" s="16"/>
      <c r="D353" t="str">
        <f>IF($C353="","",IFERROR(INDEX('Asset Register'!$B:$B,MATCH($C353,'Asset Register'!$A:$A,0)),""))</f>
        <v/>
      </c>
      <c r="H353" t="str">
        <f>IFERROR(INDEX('Task Master'!$E:$E,MATCH($F353&amp;"||"&amp;$G353,'Task Master'!$K:$K,0)),"")</f>
        <v/>
      </c>
      <c r="I353" t="str">
        <f>IFERROR(INDEX('Task Master'!$F:$F,MATCH($F353&amp;"||"&amp;$G353,'Task Master'!$K:$K,0)),"")</f>
        <v/>
      </c>
      <c r="J353" t="str">
        <f>IFERROR(INDEX('Task Master'!$H:$H,MATCH($F353&amp;"||"&amp;$G353,'Task Master'!$K:$K,0)),"")</f>
        <v/>
      </c>
      <c r="N353" s="18" t="str">
        <f t="shared" si="41"/>
        <v/>
      </c>
      <c r="R353" s="18">
        <f t="shared" si="42"/>
        <v>0</v>
      </c>
      <c r="V353" s="18">
        <f t="shared" si="43"/>
        <v>0</v>
      </c>
      <c r="Z353" s="18">
        <f t="shared" si="44"/>
        <v>0</v>
      </c>
      <c r="AA353" s="18"/>
      <c r="AB353" s="18">
        <f t="shared" si="45"/>
        <v>0</v>
      </c>
      <c r="AC353" s="18" t="str">
        <f t="shared" si="46"/>
        <v/>
      </c>
      <c r="AD353" s="18" t="str">
        <f t="shared" si="47"/>
        <v/>
      </c>
      <c r="AF353" t="str">
        <f>IFERROR(INDEX('Task Master'!$D:$D,MATCH($F353,'Task Master'!$C:$C,0)),"")</f>
        <v/>
      </c>
    </row>
    <row r="354" spans="1:32" x14ac:dyDescent="0.25">
      <c r="A354" t="str">
        <f t="shared" si="40"/>
        <v/>
      </c>
      <c r="B354" s="16"/>
      <c r="D354" t="str">
        <f>IF($C354="","",IFERROR(INDEX('Asset Register'!$B:$B,MATCH($C354,'Asset Register'!$A:$A,0)),""))</f>
        <v/>
      </c>
      <c r="H354" t="str">
        <f>IFERROR(INDEX('Task Master'!$E:$E,MATCH($F354&amp;"||"&amp;$G354,'Task Master'!$K:$K,0)),"")</f>
        <v/>
      </c>
      <c r="I354" t="str">
        <f>IFERROR(INDEX('Task Master'!$F:$F,MATCH($F354&amp;"||"&amp;$G354,'Task Master'!$K:$K,0)),"")</f>
        <v/>
      </c>
      <c r="J354" t="str">
        <f>IFERROR(INDEX('Task Master'!$H:$H,MATCH($F354&amp;"||"&amp;$G354,'Task Master'!$K:$K,0)),"")</f>
        <v/>
      </c>
      <c r="N354" s="18" t="str">
        <f t="shared" si="41"/>
        <v/>
      </c>
      <c r="R354" s="18">
        <f t="shared" si="42"/>
        <v>0</v>
      </c>
      <c r="V354" s="18">
        <f t="shared" si="43"/>
        <v>0</v>
      </c>
      <c r="Z354" s="18">
        <f t="shared" si="44"/>
        <v>0</v>
      </c>
      <c r="AA354" s="18"/>
      <c r="AB354" s="18">
        <f t="shared" si="45"/>
        <v>0</v>
      </c>
      <c r="AC354" s="18" t="str">
        <f t="shared" si="46"/>
        <v/>
      </c>
      <c r="AD354" s="18" t="str">
        <f t="shared" si="47"/>
        <v/>
      </c>
      <c r="AF354" t="str">
        <f>IFERROR(INDEX('Task Master'!$D:$D,MATCH($F354,'Task Master'!$C:$C,0)),"")</f>
        <v/>
      </c>
    </row>
    <row r="355" spans="1:32" x14ac:dyDescent="0.25">
      <c r="A355" t="str">
        <f t="shared" si="40"/>
        <v/>
      </c>
      <c r="B355" s="16"/>
      <c r="D355" t="str">
        <f>IF($C355="","",IFERROR(INDEX('Asset Register'!$B:$B,MATCH($C355,'Asset Register'!$A:$A,0)),""))</f>
        <v/>
      </c>
      <c r="H355" t="str">
        <f>IFERROR(INDEX('Task Master'!$E:$E,MATCH($F355&amp;"||"&amp;$G355,'Task Master'!$K:$K,0)),"")</f>
        <v/>
      </c>
      <c r="I355" t="str">
        <f>IFERROR(INDEX('Task Master'!$F:$F,MATCH($F355&amp;"||"&amp;$G355,'Task Master'!$K:$K,0)),"")</f>
        <v/>
      </c>
      <c r="J355" t="str">
        <f>IFERROR(INDEX('Task Master'!$H:$H,MATCH($F355&amp;"||"&amp;$G355,'Task Master'!$K:$K,0)),"")</f>
        <v/>
      </c>
      <c r="N355" s="18" t="str">
        <f t="shared" si="41"/>
        <v/>
      </c>
      <c r="R355" s="18">
        <f t="shared" si="42"/>
        <v>0</v>
      </c>
      <c r="V355" s="18">
        <f t="shared" si="43"/>
        <v>0</v>
      </c>
      <c r="Z355" s="18">
        <f t="shared" si="44"/>
        <v>0</v>
      </c>
      <c r="AA355" s="18"/>
      <c r="AB355" s="18">
        <f t="shared" si="45"/>
        <v>0</v>
      </c>
      <c r="AC355" s="18" t="str">
        <f t="shared" si="46"/>
        <v/>
      </c>
      <c r="AD355" s="18" t="str">
        <f t="shared" si="47"/>
        <v/>
      </c>
      <c r="AF355" t="str">
        <f>IFERROR(INDEX('Task Master'!$D:$D,MATCH($F355,'Task Master'!$C:$C,0)),"")</f>
        <v/>
      </c>
    </row>
    <row r="356" spans="1:32" x14ac:dyDescent="0.25">
      <c r="A356" t="str">
        <f t="shared" si="40"/>
        <v/>
      </c>
      <c r="B356" s="16"/>
      <c r="D356" t="str">
        <f>IF($C356="","",IFERROR(INDEX('Asset Register'!$B:$B,MATCH($C356,'Asset Register'!$A:$A,0)),""))</f>
        <v/>
      </c>
      <c r="H356" t="str">
        <f>IFERROR(INDEX('Task Master'!$E:$E,MATCH($F356&amp;"||"&amp;$G356,'Task Master'!$K:$K,0)),"")</f>
        <v/>
      </c>
      <c r="I356" t="str">
        <f>IFERROR(INDEX('Task Master'!$F:$F,MATCH($F356&amp;"||"&amp;$G356,'Task Master'!$K:$K,0)),"")</f>
        <v/>
      </c>
      <c r="J356" t="str">
        <f>IFERROR(INDEX('Task Master'!$H:$H,MATCH($F356&amp;"||"&amp;$G356,'Task Master'!$K:$K,0)),"")</f>
        <v/>
      </c>
      <c r="N356" s="18" t="str">
        <f t="shared" si="41"/>
        <v/>
      </c>
      <c r="R356" s="18">
        <f t="shared" si="42"/>
        <v>0</v>
      </c>
      <c r="V356" s="18">
        <f t="shared" si="43"/>
        <v>0</v>
      </c>
      <c r="Z356" s="18">
        <f t="shared" si="44"/>
        <v>0</v>
      </c>
      <c r="AA356" s="18"/>
      <c r="AB356" s="18">
        <f t="shared" si="45"/>
        <v>0</v>
      </c>
      <c r="AC356" s="18" t="str">
        <f t="shared" si="46"/>
        <v/>
      </c>
      <c r="AD356" s="18" t="str">
        <f t="shared" si="47"/>
        <v/>
      </c>
      <c r="AF356" t="str">
        <f>IFERROR(INDEX('Task Master'!$D:$D,MATCH($F356,'Task Master'!$C:$C,0)),"")</f>
        <v/>
      </c>
    </row>
    <row r="357" spans="1:32" x14ac:dyDescent="0.25">
      <c r="A357" t="str">
        <f t="shared" si="40"/>
        <v/>
      </c>
      <c r="B357" s="16"/>
      <c r="D357" t="str">
        <f>IF($C357="","",IFERROR(INDEX('Asset Register'!$B:$B,MATCH($C357,'Asset Register'!$A:$A,0)),""))</f>
        <v/>
      </c>
      <c r="H357" t="str">
        <f>IFERROR(INDEX('Task Master'!$E:$E,MATCH($F357&amp;"||"&amp;$G357,'Task Master'!$K:$K,0)),"")</f>
        <v/>
      </c>
      <c r="I357" t="str">
        <f>IFERROR(INDEX('Task Master'!$F:$F,MATCH($F357&amp;"||"&amp;$G357,'Task Master'!$K:$K,0)),"")</f>
        <v/>
      </c>
      <c r="J357" t="str">
        <f>IFERROR(INDEX('Task Master'!$H:$H,MATCH($F357&amp;"||"&amp;$G357,'Task Master'!$K:$K,0)),"")</f>
        <v/>
      </c>
      <c r="N357" s="18" t="str">
        <f t="shared" si="41"/>
        <v/>
      </c>
      <c r="R357" s="18">
        <f t="shared" si="42"/>
        <v>0</v>
      </c>
      <c r="V357" s="18">
        <f t="shared" si="43"/>
        <v>0</v>
      </c>
      <c r="Z357" s="18">
        <f t="shared" si="44"/>
        <v>0</v>
      </c>
      <c r="AA357" s="18"/>
      <c r="AB357" s="18">
        <f t="shared" si="45"/>
        <v>0</v>
      </c>
      <c r="AC357" s="18" t="str">
        <f t="shared" si="46"/>
        <v/>
      </c>
      <c r="AD357" s="18" t="str">
        <f t="shared" si="47"/>
        <v/>
      </c>
      <c r="AF357" t="str">
        <f>IFERROR(INDEX('Task Master'!$D:$D,MATCH($F357,'Task Master'!$C:$C,0)),"")</f>
        <v/>
      </c>
    </row>
    <row r="358" spans="1:32" x14ac:dyDescent="0.25">
      <c r="A358" t="str">
        <f t="shared" si="40"/>
        <v/>
      </c>
      <c r="B358" s="16"/>
      <c r="D358" t="str">
        <f>IF($C358="","",IFERROR(INDEX('Asset Register'!$B:$B,MATCH($C358,'Asset Register'!$A:$A,0)),""))</f>
        <v/>
      </c>
      <c r="H358" t="str">
        <f>IFERROR(INDEX('Task Master'!$E:$E,MATCH($F358&amp;"||"&amp;$G358,'Task Master'!$K:$K,0)),"")</f>
        <v/>
      </c>
      <c r="I358" t="str">
        <f>IFERROR(INDEX('Task Master'!$F:$F,MATCH($F358&amp;"||"&amp;$G358,'Task Master'!$K:$K,0)),"")</f>
        <v/>
      </c>
      <c r="J358" t="str">
        <f>IFERROR(INDEX('Task Master'!$H:$H,MATCH($F358&amp;"||"&amp;$G358,'Task Master'!$K:$K,0)),"")</f>
        <v/>
      </c>
      <c r="N358" s="18" t="str">
        <f t="shared" si="41"/>
        <v/>
      </c>
      <c r="R358" s="18">
        <f t="shared" si="42"/>
        <v>0</v>
      </c>
      <c r="V358" s="18">
        <f t="shared" si="43"/>
        <v>0</v>
      </c>
      <c r="Z358" s="18">
        <f t="shared" si="44"/>
        <v>0</v>
      </c>
      <c r="AA358" s="18"/>
      <c r="AB358" s="18">
        <f t="shared" si="45"/>
        <v>0</v>
      </c>
      <c r="AC358" s="18" t="str">
        <f t="shared" si="46"/>
        <v/>
      </c>
      <c r="AD358" s="18" t="str">
        <f t="shared" si="47"/>
        <v/>
      </c>
      <c r="AF358" t="str">
        <f>IFERROR(INDEX('Task Master'!$D:$D,MATCH($F358,'Task Master'!$C:$C,0)),"")</f>
        <v/>
      </c>
    </row>
    <row r="359" spans="1:32" x14ac:dyDescent="0.25">
      <c r="A359" t="str">
        <f t="shared" si="40"/>
        <v/>
      </c>
      <c r="B359" s="16"/>
      <c r="D359" t="str">
        <f>IF($C359="","",IFERROR(INDEX('Asset Register'!$B:$B,MATCH($C359,'Asset Register'!$A:$A,0)),""))</f>
        <v/>
      </c>
      <c r="H359" t="str">
        <f>IFERROR(INDEX('Task Master'!$E:$E,MATCH($F359&amp;"||"&amp;$G359,'Task Master'!$K:$K,0)),"")</f>
        <v/>
      </c>
      <c r="I359" t="str">
        <f>IFERROR(INDEX('Task Master'!$F:$F,MATCH($F359&amp;"||"&amp;$G359,'Task Master'!$K:$K,0)),"")</f>
        <v/>
      </c>
      <c r="J359" t="str">
        <f>IFERROR(INDEX('Task Master'!$H:$H,MATCH($F359&amp;"||"&amp;$G359,'Task Master'!$K:$K,0)),"")</f>
        <v/>
      </c>
      <c r="N359" s="18" t="str">
        <f t="shared" si="41"/>
        <v/>
      </c>
      <c r="R359" s="18">
        <f t="shared" si="42"/>
        <v>0</v>
      </c>
      <c r="V359" s="18">
        <f t="shared" si="43"/>
        <v>0</v>
      </c>
      <c r="Z359" s="18">
        <f t="shared" si="44"/>
        <v>0</v>
      </c>
      <c r="AA359" s="18"/>
      <c r="AB359" s="18">
        <f t="shared" si="45"/>
        <v>0</v>
      </c>
      <c r="AC359" s="18" t="str">
        <f t="shared" si="46"/>
        <v/>
      </c>
      <c r="AD359" s="18" t="str">
        <f t="shared" si="47"/>
        <v/>
      </c>
      <c r="AF359" t="str">
        <f>IFERROR(INDEX('Task Master'!$D:$D,MATCH($F359,'Task Master'!$C:$C,0)),"")</f>
        <v/>
      </c>
    </row>
    <row r="360" spans="1:32" x14ac:dyDescent="0.25">
      <c r="A360" t="str">
        <f t="shared" si="40"/>
        <v/>
      </c>
      <c r="B360" s="16"/>
      <c r="D360" t="str">
        <f>IF($C360="","",IFERROR(INDEX('Asset Register'!$B:$B,MATCH($C360,'Asset Register'!$A:$A,0)),""))</f>
        <v/>
      </c>
      <c r="H360" t="str">
        <f>IFERROR(INDEX('Task Master'!$E:$E,MATCH($F360&amp;"||"&amp;$G360,'Task Master'!$K:$K,0)),"")</f>
        <v/>
      </c>
      <c r="I360" t="str">
        <f>IFERROR(INDEX('Task Master'!$F:$F,MATCH($F360&amp;"||"&amp;$G360,'Task Master'!$K:$K,0)),"")</f>
        <v/>
      </c>
      <c r="J360" t="str">
        <f>IFERROR(INDEX('Task Master'!$H:$H,MATCH($F360&amp;"||"&amp;$G360,'Task Master'!$K:$K,0)),"")</f>
        <v/>
      </c>
      <c r="N360" s="18" t="str">
        <f t="shared" si="41"/>
        <v/>
      </c>
      <c r="R360" s="18">
        <f t="shared" si="42"/>
        <v>0</v>
      </c>
      <c r="V360" s="18">
        <f t="shared" si="43"/>
        <v>0</v>
      </c>
      <c r="Z360" s="18">
        <f t="shared" si="44"/>
        <v>0</v>
      </c>
      <c r="AA360" s="18"/>
      <c r="AB360" s="18">
        <f t="shared" si="45"/>
        <v>0</v>
      </c>
      <c r="AC360" s="18" t="str">
        <f t="shared" si="46"/>
        <v/>
      </c>
      <c r="AD360" s="18" t="str">
        <f t="shared" si="47"/>
        <v/>
      </c>
      <c r="AF360" t="str">
        <f>IFERROR(INDEX('Task Master'!$D:$D,MATCH($F360,'Task Master'!$C:$C,0)),"")</f>
        <v/>
      </c>
    </row>
    <row r="361" spans="1:32" x14ac:dyDescent="0.25">
      <c r="A361" t="str">
        <f t="shared" si="40"/>
        <v/>
      </c>
      <c r="B361" s="16"/>
      <c r="D361" t="str">
        <f>IF($C361="","",IFERROR(INDEX('Asset Register'!$B:$B,MATCH($C361,'Asset Register'!$A:$A,0)),""))</f>
        <v/>
      </c>
      <c r="H361" t="str">
        <f>IFERROR(INDEX('Task Master'!$E:$E,MATCH($F361&amp;"||"&amp;$G361,'Task Master'!$K:$K,0)),"")</f>
        <v/>
      </c>
      <c r="I361" t="str">
        <f>IFERROR(INDEX('Task Master'!$F:$F,MATCH($F361&amp;"||"&amp;$G361,'Task Master'!$K:$K,0)),"")</f>
        <v/>
      </c>
      <c r="J361" t="str">
        <f>IFERROR(INDEX('Task Master'!$H:$H,MATCH($F361&amp;"||"&amp;$G361,'Task Master'!$K:$K,0)),"")</f>
        <v/>
      </c>
      <c r="N361" s="18" t="str">
        <f t="shared" si="41"/>
        <v/>
      </c>
      <c r="R361" s="18">
        <f t="shared" si="42"/>
        <v>0</v>
      </c>
      <c r="V361" s="18">
        <f t="shared" si="43"/>
        <v>0</v>
      </c>
      <c r="Z361" s="18">
        <f t="shared" si="44"/>
        <v>0</v>
      </c>
      <c r="AA361" s="18"/>
      <c r="AB361" s="18">
        <f t="shared" si="45"/>
        <v>0</v>
      </c>
      <c r="AC361" s="18" t="str">
        <f t="shared" si="46"/>
        <v/>
      </c>
      <c r="AD361" s="18" t="str">
        <f t="shared" si="47"/>
        <v/>
      </c>
      <c r="AF361" t="str">
        <f>IFERROR(INDEX('Task Master'!$D:$D,MATCH($F361,'Task Master'!$C:$C,0)),"")</f>
        <v/>
      </c>
    </row>
    <row r="362" spans="1:32" x14ac:dyDescent="0.25">
      <c r="A362" t="str">
        <f t="shared" si="40"/>
        <v/>
      </c>
      <c r="B362" s="16"/>
      <c r="D362" t="str">
        <f>IF($C362="","",IFERROR(INDEX('Asset Register'!$B:$B,MATCH($C362,'Asset Register'!$A:$A,0)),""))</f>
        <v/>
      </c>
      <c r="H362" t="str">
        <f>IFERROR(INDEX('Task Master'!$E:$E,MATCH($F362&amp;"||"&amp;$G362,'Task Master'!$K:$K,0)),"")</f>
        <v/>
      </c>
      <c r="I362" t="str">
        <f>IFERROR(INDEX('Task Master'!$F:$F,MATCH($F362&amp;"||"&amp;$G362,'Task Master'!$K:$K,0)),"")</f>
        <v/>
      </c>
      <c r="J362" t="str">
        <f>IFERROR(INDEX('Task Master'!$H:$H,MATCH($F362&amp;"||"&amp;$G362,'Task Master'!$K:$K,0)),"")</f>
        <v/>
      </c>
      <c r="N362" s="18" t="str">
        <f t="shared" si="41"/>
        <v/>
      </c>
      <c r="R362" s="18">
        <f t="shared" si="42"/>
        <v>0</v>
      </c>
      <c r="V362" s="18">
        <f t="shared" si="43"/>
        <v>0</v>
      </c>
      <c r="Z362" s="18">
        <f t="shared" si="44"/>
        <v>0</v>
      </c>
      <c r="AA362" s="18"/>
      <c r="AB362" s="18">
        <f t="shared" si="45"/>
        <v>0</v>
      </c>
      <c r="AC362" s="18" t="str">
        <f t="shared" si="46"/>
        <v/>
      </c>
      <c r="AD362" s="18" t="str">
        <f t="shared" si="47"/>
        <v/>
      </c>
      <c r="AF362" t="str">
        <f>IFERROR(INDEX('Task Master'!$D:$D,MATCH($F362,'Task Master'!$C:$C,0)),"")</f>
        <v/>
      </c>
    </row>
    <row r="363" spans="1:32" x14ac:dyDescent="0.25">
      <c r="A363" t="str">
        <f t="shared" si="40"/>
        <v/>
      </c>
      <c r="B363" s="16"/>
      <c r="D363" t="str">
        <f>IF($C363="","",IFERROR(INDEX('Asset Register'!$B:$B,MATCH($C363,'Asset Register'!$A:$A,0)),""))</f>
        <v/>
      </c>
      <c r="H363" t="str">
        <f>IFERROR(INDEX('Task Master'!$E:$E,MATCH($F363&amp;"||"&amp;$G363,'Task Master'!$K:$K,0)),"")</f>
        <v/>
      </c>
      <c r="I363" t="str">
        <f>IFERROR(INDEX('Task Master'!$F:$F,MATCH($F363&amp;"||"&amp;$G363,'Task Master'!$K:$K,0)),"")</f>
        <v/>
      </c>
      <c r="J363" t="str">
        <f>IFERROR(INDEX('Task Master'!$H:$H,MATCH($F363&amp;"||"&amp;$G363,'Task Master'!$K:$K,0)),"")</f>
        <v/>
      </c>
      <c r="N363" s="18" t="str">
        <f t="shared" si="41"/>
        <v/>
      </c>
      <c r="R363" s="18">
        <f t="shared" si="42"/>
        <v>0</v>
      </c>
      <c r="V363" s="18">
        <f t="shared" si="43"/>
        <v>0</v>
      </c>
      <c r="Z363" s="18">
        <f t="shared" si="44"/>
        <v>0</v>
      </c>
      <c r="AA363" s="18"/>
      <c r="AB363" s="18">
        <f t="shared" si="45"/>
        <v>0</v>
      </c>
      <c r="AC363" s="18" t="str">
        <f t="shared" si="46"/>
        <v/>
      </c>
      <c r="AD363" s="18" t="str">
        <f t="shared" si="47"/>
        <v/>
      </c>
      <c r="AF363" t="str">
        <f>IFERROR(INDEX('Task Master'!$D:$D,MATCH($F363,'Task Master'!$C:$C,0)),"")</f>
        <v/>
      </c>
    </row>
    <row r="364" spans="1:32" x14ac:dyDescent="0.25">
      <c r="A364" t="str">
        <f t="shared" si="40"/>
        <v/>
      </c>
      <c r="B364" s="16"/>
      <c r="D364" t="str">
        <f>IF($C364="","",IFERROR(INDEX('Asset Register'!$B:$B,MATCH($C364,'Asset Register'!$A:$A,0)),""))</f>
        <v/>
      </c>
      <c r="H364" t="str">
        <f>IFERROR(INDEX('Task Master'!$E:$E,MATCH($F364&amp;"||"&amp;$G364,'Task Master'!$K:$K,0)),"")</f>
        <v/>
      </c>
      <c r="I364" t="str">
        <f>IFERROR(INDEX('Task Master'!$F:$F,MATCH($F364&amp;"||"&amp;$G364,'Task Master'!$K:$K,0)),"")</f>
        <v/>
      </c>
      <c r="J364" t="str">
        <f>IFERROR(INDEX('Task Master'!$H:$H,MATCH($F364&amp;"||"&amp;$G364,'Task Master'!$K:$K,0)),"")</f>
        <v/>
      </c>
      <c r="N364" s="18" t="str">
        <f t="shared" si="41"/>
        <v/>
      </c>
      <c r="R364" s="18">
        <f t="shared" si="42"/>
        <v>0</v>
      </c>
      <c r="V364" s="18">
        <f t="shared" si="43"/>
        <v>0</v>
      </c>
      <c r="Z364" s="18">
        <f t="shared" si="44"/>
        <v>0</v>
      </c>
      <c r="AA364" s="18"/>
      <c r="AB364" s="18">
        <f t="shared" si="45"/>
        <v>0</v>
      </c>
      <c r="AC364" s="18" t="str">
        <f t="shared" si="46"/>
        <v/>
      </c>
      <c r="AD364" s="18" t="str">
        <f t="shared" si="47"/>
        <v/>
      </c>
      <c r="AF364" t="str">
        <f>IFERROR(INDEX('Task Master'!$D:$D,MATCH($F364,'Task Master'!$C:$C,0)),"")</f>
        <v/>
      </c>
    </row>
    <row r="365" spans="1:32" x14ac:dyDescent="0.25">
      <c r="A365" t="str">
        <f t="shared" si="40"/>
        <v/>
      </c>
      <c r="B365" s="16"/>
      <c r="D365" t="str">
        <f>IF($C365="","",IFERROR(INDEX('Asset Register'!$B:$B,MATCH($C365,'Asset Register'!$A:$A,0)),""))</f>
        <v/>
      </c>
      <c r="H365" t="str">
        <f>IFERROR(INDEX('Task Master'!$E:$E,MATCH($F365&amp;"||"&amp;$G365,'Task Master'!$K:$K,0)),"")</f>
        <v/>
      </c>
      <c r="I365" t="str">
        <f>IFERROR(INDEX('Task Master'!$F:$F,MATCH($F365&amp;"||"&amp;$G365,'Task Master'!$K:$K,0)),"")</f>
        <v/>
      </c>
      <c r="J365" t="str">
        <f>IFERROR(INDEX('Task Master'!$H:$H,MATCH($F365&amp;"||"&amp;$G365,'Task Master'!$K:$K,0)),"")</f>
        <v/>
      </c>
      <c r="N365" s="18" t="str">
        <f t="shared" si="41"/>
        <v/>
      </c>
      <c r="R365" s="18">
        <f t="shared" si="42"/>
        <v>0</v>
      </c>
      <c r="V365" s="18">
        <f t="shared" si="43"/>
        <v>0</v>
      </c>
      <c r="Z365" s="18">
        <f t="shared" si="44"/>
        <v>0</v>
      </c>
      <c r="AA365" s="18"/>
      <c r="AB365" s="18">
        <f t="shared" si="45"/>
        <v>0</v>
      </c>
      <c r="AC365" s="18" t="str">
        <f t="shared" si="46"/>
        <v/>
      </c>
      <c r="AD365" s="18" t="str">
        <f t="shared" si="47"/>
        <v/>
      </c>
      <c r="AF365" t="str">
        <f>IFERROR(INDEX('Task Master'!$D:$D,MATCH($F365,'Task Master'!$C:$C,0)),"")</f>
        <v/>
      </c>
    </row>
    <row r="366" spans="1:32" x14ac:dyDescent="0.25">
      <c r="A366" t="str">
        <f t="shared" si="40"/>
        <v/>
      </c>
      <c r="B366" s="16"/>
      <c r="D366" t="str">
        <f>IF($C366="","",IFERROR(INDEX('Asset Register'!$B:$B,MATCH($C366,'Asset Register'!$A:$A,0)),""))</f>
        <v/>
      </c>
      <c r="H366" t="str">
        <f>IFERROR(INDEX('Task Master'!$E:$E,MATCH($F366&amp;"||"&amp;$G366,'Task Master'!$K:$K,0)),"")</f>
        <v/>
      </c>
      <c r="I366" t="str">
        <f>IFERROR(INDEX('Task Master'!$F:$F,MATCH($F366&amp;"||"&amp;$G366,'Task Master'!$K:$K,0)),"")</f>
        <v/>
      </c>
      <c r="J366" t="str">
        <f>IFERROR(INDEX('Task Master'!$H:$H,MATCH($F366&amp;"||"&amp;$G366,'Task Master'!$K:$K,0)),"")</f>
        <v/>
      </c>
      <c r="N366" s="18" t="str">
        <f t="shared" si="41"/>
        <v/>
      </c>
      <c r="R366" s="18">
        <f t="shared" si="42"/>
        <v>0</v>
      </c>
      <c r="V366" s="18">
        <f t="shared" si="43"/>
        <v>0</v>
      </c>
      <c r="Z366" s="18">
        <f t="shared" si="44"/>
        <v>0</v>
      </c>
      <c r="AA366" s="18"/>
      <c r="AB366" s="18">
        <f t="shared" si="45"/>
        <v>0</v>
      </c>
      <c r="AC366" s="18" t="str">
        <f t="shared" si="46"/>
        <v/>
      </c>
      <c r="AD366" s="18" t="str">
        <f t="shared" si="47"/>
        <v/>
      </c>
      <c r="AF366" t="str">
        <f>IFERROR(INDEX('Task Master'!$D:$D,MATCH($F366,'Task Master'!$C:$C,0)),"")</f>
        <v/>
      </c>
    </row>
    <row r="367" spans="1:32" x14ac:dyDescent="0.25">
      <c r="A367" t="str">
        <f t="shared" si="40"/>
        <v/>
      </c>
      <c r="B367" s="16"/>
      <c r="D367" t="str">
        <f>IF($C367="","",IFERROR(INDEX('Asset Register'!$B:$B,MATCH($C367,'Asset Register'!$A:$A,0)),""))</f>
        <v/>
      </c>
      <c r="H367" t="str">
        <f>IFERROR(INDEX('Task Master'!$E:$E,MATCH($F367&amp;"||"&amp;$G367,'Task Master'!$K:$K,0)),"")</f>
        <v/>
      </c>
      <c r="I367" t="str">
        <f>IFERROR(INDEX('Task Master'!$F:$F,MATCH($F367&amp;"||"&amp;$G367,'Task Master'!$K:$K,0)),"")</f>
        <v/>
      </c>
      <c r="J367" t="str">
        <f>IFERROR(INDEX('Task Master'!$H:$H,MATCH($F367&amp;"||"&amp;$G367,'Task Master'!$K:$K,0)),"")</f>
        <v/>
      </c>
      <c r="N367" s="18" t="str">
        <f t="shared" si="41"/>
        <v/>
      </c>
      <c r="R367" s="18">
        <f t="shared" si="42"/>
        <v>0</v>
      </c>
      <c r="V367" s="18">
        <f t="shared" si="43"/>
        <v>0</v>
      </c>
      <c r="Z367" s="18">
        <f t="shared" si="44"/>
        <v>0</v>
      </c>
      <c r="AA367" s="18"/>
      <c r="AB367" s="18">
        <f t="shared" si="45"/>
        <v>0</v>
      </c>
      <c r="AC367" s="18" t="str">
        <f t="shared" si="46"/>
        <v/>
      </c>
      <c r="AD367" s="18" t="str">
        <f t="shared" si="47"/>
        <v/>
      </c>
      <c r="AF367" t="str">
        <f>IFERROR(INDEX('Task Master'!$D:$D,MATCH($F367,'Task Master'!$C:$C,0)),"")</f>
        <v/>
      </c>
    </row>
    <row r="368" spans="1:32" x14ac:dyDescent="0.25">
      <c r="A368" t="str">
        <f t="shared" si="40"/>
        <v/>
      </c>
      <c r="B368" s="16"/>
      <c r="D368" t="str">
        <f>IF($C368="","",IFERROR(INDEX('Asset Register'!$B:$B,MATCH($C368,'Asset Register'!$A:$A,0)),""))</f>
        <v/>
      </c>
      <c r="H368" t="str">
        <f>IFERROR(INDEX('Task Master'!$E:$E,MATCH($F368&amp;"||"&amp;$G368,'Task Master'!$K:$K,0)),"")</f>
        <v/>
      </c>
      <c r="I368" t="str">
        <f>IFERROR(INDEX('Task Master'!$F:$F,MATCH($F368&amp;"||"&amp;$G368,'Task Master'!$K:$K,0)),"")</f>
        <v/>
      </c>
      <c r="J368" t="str">
        <f>IFERROR(INDEX('Task Master'!$H:$H,MATCH($F368&amp;"||"&amp;$G368,'Task Master'!$K:$K,0)),"")</f>
        <v/>
      </c>
      <c r="N368" s="18" t="str">
        <f t="shared" si="41"/>
        <v/>
      </c>
      <c r="R368" s="18">
        <f t="shared" si="42"/>
        <v>0</v>
      </c>
      <c r="V368" s="18">
        <f t="shared" si="43"/>
        <v>0</v>
      </c>
      <c r="Z368" s="18">
        <f t="shared" si="44"/>
        <v>0</v>
      </c>
      <c r="AA368" s="18"/>
      <c r="AB368" s="18">
        <f t="shared" si="45"/>
        <v>0</v>
      </c>
      <c r="AC368" s="18" t="str">
        <f t="shared" si="46"/>
        <v/>
      </c>
      <c r="AD368" s="18" t="str">
        <f t="shared" si="47"/>
        <v/>
      </c>
      <c r="AF368" t="str">
        <f>IFERROR(INDEX('Task Master'!$D:$D,MATCH($F368,'Task Master'!$C:$C,0)),"")</f>
        <v/>
      </c>
    </row>
    <row r="369" spans="1:32" x14ac:dyDescent="0.25">
      <c r="A369" t="str">
        <f t="shared" si="40"/>
        <v/>
      </c>
      <c r="B369" s="16"/>
      <c r="D369" t="str">
        <f>IF($C369="","",IFERROR(INDEX('Asset Register'!$B:$B,MATCH($C369,'Asset Register'!$A:$A,0)),""))</f>
        <v/>
      </c>
      <c r="H369" t="str">
        <f>IFERROR(INDEX('Task Master'!$E:$E,MATCH($F369&amp;"||"&amp;$G369,'Task Master'!$K:$K,0)),"")</f>
        <v/>
      </c>
      <c r="I369" t="str">
        <f>IFERROR(INDEX('Task Master'!$F:$F,MATCH($F369&amp;"||"&amp;$G369,'Task Master'!$K:$K,0)),"")</f>
        <v/>
      </c>
      <c r="J369" t="str">
        <f>IFERROR(INDEX('Task Master'!$H:$H,MATCH($F369&amp;"||"&amp;$G369,'Task Master'!$K:$K,0)),"")</f>
        <v/>
      </c>
      <c r="N369" s="18" t="str">
        <f t="shared" si="41"/>
        <v/>
      </c>
      <c r="R369" s="18">
        <f t="shared" si="42"/>
        <v>0</v>
      </c>
      <c r="V369" s="18">
        <f t="shared" si="43"/>
        <v>0</v>
      </c>
      <c r="Z369" s="18">
        <f t="shared" si="44"/>
        <v>0</v>
      </c>
      <c r="AA369" s="18"/>
      <c r="AB369" s="18">
        <f t="shared" si="45"/>
        <v>0</v>
      </c>
      <c r="AC369" s="18" t="str">
        <f t="shared" si="46"/>
        <v/>
      </c>
      <c r="AD369" s="18" t="str">
        <f t="shared" si="47"/>
        <v/>
      </c>
      <c r="AF369" t="str">
        <f>IFERROR(INDEX('Task Master'!$D:$D,MATCH($F369,'Task Master'!$C:$C,0)),"")</f>
        <v/>
      </c>
    </row>
    <row r="370" spans="1:32" x14ac:dyDescent="0.25">
      <c r="A370" t="str">
        <f t="shared" si="40"/>
        <v/>
      </c>
      <c r="B370" s="16"/>
      <c r="D370" t="str">
        <f>IF($C370="","",IFERROR(INDEX('Asset Register'!$B:$B,MATCH($C370,'Asset Register'!$A:$A,0)),""))</f>
        <v/>
      </c>
      <c r="H370" t="str">
        <f>IFERROR(INDEX('Task Master'!$E:$E,MATCH($F370&amp;"||"&amp;$G370,'Task Master'!$K:$K,0)),"")</f>
        <v/>
      </c>
      <c r="I370" t="str">
        <f>IFERROR(INDEX('Task Master'!$F:$F,MATCH($F370&amp;"||"&amp;$G370,'Task Master'!$K:$K,0)),"")</f>
        <v/>
      </c>
      <c r="J370" t="str">
        <f>IFERROR(INDEX('Task Master'!$H:$H,MATCH($F370&amp;"||"&amp;$G370,'Task Master'!$K:$K,0)),"")</f>
        <v/>
      </c>
      <c r="N370" s="18" t="str">
        <f t="shared" si="41"/>
        <v/>
      </c>
      <c r="R370" s="18">
        <f t="shared" si="42"/>
        <v>0</v>
      </c>
      <c r="V370" s="18">
        <f t="shared" si="43"/>
        <v>0</v>
      </c>
      <c r="Z370" s="18">
        <f t="shared" si="44"/>
        <v>0</v>
      </c>
      <c r="AA370" s="18"/>
      <c r="AB370" s="18">
        <f t="shared" si="45"/>
        <v>0</v>
      </c>
      <c r="AC370" s="18" t="str">
        <f t="shared" si="46"/>
        <v/>
      </c>
      <c r="AD370" s="18" t="str">
        <f t="shared" si="47"/>
        <v/>
      </c>
      <c r="AF370" t="str">
        <f>IFERROR(INDEX('Task Master'!$D:$D,MATCH($F370,'Task Master'!$C:$C,0)),"")</f>
        <v/>
      </c>
    </row>
    <row r="371" spans="1:32" x14ac:dyDescent="0.25">
      <c r="A371" t="str">
        <f t="shared" si="40"/>
        <v/>
      </c>
      <c r="B371" s="16"/>
      <c r="D371" t="str">
        <f>IF($C371="","",IFERROR(INDEX('Asset Register'!$B:$B,MATCH($C371,'Asset Register'!$A:$A,0)),""))</f>
        <v/>
      </c>
      <c r="H371" t="str">
        <f>IFERROR(INDEX('Task Master'!$E:$E,MATCH($F371&amp;"||"&amp;$G371,'Task Master'!$K:$K,0)),"")</f>
        <v/>
      </c>
      <c r="I371" t="str">
        <f>IFERROR(INDEX('Task Master'!$F:$F,MATCH($F371&amp;"||"&amp;$G371,'Task Master'!$K:$K,0)),"")</f>
        <v/>
      </c>
      <c r="J371" t="str">
        <f>IFERROR(INDEX('Task Master'!$H:$H,MATCH($F371&amp;"||"&amp;$G371,'Task Master'!$K:$K,0)),"")</f>
        <v/>
      </c>
      <c r="N371" s="18" t="str">
        <f t="shared" si="41"/>
        <v/>
      </c>
      <c r="R371" s="18">
        <f t="shared" si="42"/>
        <v>0</v>
      </c>
      <c r="V371" s="18">
        <f t="shared" si="43"/>
        <v>0</v>
      </c>
      <c r="Z371" s="18">
        <f t="shared" si="44"/>
        <v>0</v>
      </c>
      <c r="AA371" s="18"/>
      <c r="AB371" s="18">
        <f t="shared" si="45"/>
        <v>0</v>
      </c>
      <c r="AC371" s="18" t="str">
        <f t="shared" si="46"/>
        <v/>
      </c>
      <c r="AD371" s="18" t="str">
        <f t="shared" si="47"/>
        <v/>
      </c>
      <c r="AF371" t="str">
        <f>IFERROR(INDEX('Task Master'!$D:$D,MATCH($F371,'Task Master'!$C:$C,0)),"")</f>
        <v/>
      </c>
    </row>
    <row r="372" spans="1:32" x14ac:dyDescent="0.25">
      <c r="A372" t="str">
        <f t="shared" si="40"/>
        <v/>
      </c>
      <c r="B372" s="16"/>
      <c r="D372" t="str">
        <f>IF($C372="","",IFERROR(INDEX('Asset Register'!$B:$B,MATCH($C372,'Asset Register'!$A:$A,0)),""))</f>
        <v/>
      </c>
      <c r="H372" t="str">
        <f>IFERROR(INDEX('Task Master'!$E:$E,MATCH($F372&amp;"||"&amp;$G372,'Task Master'!$K:$K,0)),"")</f>
        <v/>
      </c>
      <c r="I372" t="str">
        <f>IFERROR(INDEX('Task Master'!$F:$F,MATCH($F372&amp;"||"&amp;$G372,'Task Master'!$K:$K,0)),"")</f>
        <v/>
      </c>
      <c r="J372" t="str">
        <f>IFERROR(INDEX('Task Master'!$H:$H,MATCH($F372&amp;"||"&amp;$G372,'Task Master'!$K:$K,0)),"")</f>
        <v/>
      </c>
      <c r="N372" s="18" t="str">
        <f t="shared" si="41"/>
        <v/>
      </c>
      <c r="R372" s="18">
        <f t="shared" si="42"/>
        <v>0</v>
      </c>
      <c r="V372" s="18">
        <f t="shared" si="43"/>
        <v>0</v>
      </c>
      <c r="Z372" s="18">
        <f t="shared" si="44"/>
        <v>0</v>
      </c>
      <c r="AA372" s="18"/>
      <c r="AB372" s="18">
        <f t="shared" si="45"/>
        <v>0</v>
      </c>
      <c r="AC372" s="18" t="str">
        <f t="shared" si="46"/>
        <v/>
      </c>
      <c r="AD372" s="18" t="str">
        <f t="shared" si="47"/>
        <v/>
      </c>
      <c r="AF372" t="str">
        <f>IFERROR(INDEX('Task Master'!$D:$D,MATCH($F372,'Task Master'!$C:$C,0)),"")</f>
        <v/>
      </c>
    </row>
    <row r="373" spans="1:32" x14ac:dyDescent="0.25">
      <c r="A373" t="str">
        <f t="shared" si="40"/>
        <v/>
      </c>
      <c r="B373" s="16"/>
      <c r="D373" t="str">
        <f>IF($C373="","",IFERROR(INDEX('Asset Register'!$B:$B,MATCH($C373,'Asset Register'!$A:$A,0)),""))</f>
        <v/>
      </c>
      <c r="H373" t="str">
        <f>IFERROR(INDEX('Task Master'!$E:$E,MATCH($F373&amp;"||"&amp;$G373,'Task Master'!$K:$K,0)),"")</f>
        <v/>
      </c>
      <c r="I373" t="str">
        <f>IFERROR(INDEX('Task Master'!$F:$F,MATCH($F373&amp;"||"&amp;$G373,'Task Master'!$K:$K,0)),"")</f>
        <v/>
      </c>
      <c r="J373" t="str">
        <f>IFERROR(INDEX('Task Master'!$H:$H,MATCH($F373&amp;"||"&amp;$G373,'Task Master'!$K:$K,0)),"")</f>
        <v/>
      </c>
      <c r="N373" s="18" t="str">
        <f t="shared" si="41"/>
        <v/>
      </c>
      <c r="R373" s="18">
        <f t="shared" si="42"/>
        <v>0</v>
      </c>
      <c r="V373" s="18">
        <f t="shared" si="43"/>
        <v>0</v>
      </c>
      <c r="Z373" s="18">
        <f t="shared" si="44"/>
        <v>0</v>
      </c>
      <c r="AA373" s="18"/>
      <c r="AB373" s="18">
        <f t="shared" si="45"/>
        <v>0</v>
      </c>
      <c r="AC373" s="18" t="str">
        <f t="shared" si="46"/>
        <v/>
      </c>
      <c r="AD373" s="18" t="str">
        <f t="shared" si="47"/>
        <v/>
      </c>
      <c r="AF373" t="str">
        <f>IFERROR(INDEX('Task Master'!$D:$D,MATCH($F373,'Task Master'!$C:$C,0)),"")</f>
        <v/>
      </c>
    </row>
    <row r="374" spans="1:32" x14ac:dyDescent="0.25">
      <c r="A374" t="str">
        <f t="shared" si="40"/>
        <v/>
      </c>
      <c r="B374" s="16"/>
      <c r="D374" t="str">
        <f>IF($C374="","",IFERROR(INDEX('Asset Register'!$B:$B,MATCH($C374,'Asset Register'!$A:$A,0)),""))</f>
        <v/>
      </c>
      <c r="H374" t="str">
        <f>IFERROR(INDEX('Task Master'!$E:$E,MATCH($F374&amp;"||"&amp;$G374,'Task Master'!$K:$K,0)),"")</f>
        <v/>
      </c>
      <c r="I374" t="str">
        <f>IFERROR(INDEX('Task Master'!$F:$F,MATCH($F374&amp;"||"&amp;$G374,'Task Master'!$K:$K,0)),"")</f>
        <v/>
      </c>
      <c r="J374" t="str">
        <f>IFERROR(INDEX('Task Master'!$H:$H,MATCH($F374&amp;"||"&amp;$G374,'Task Master'!$K:$K,0)),"")</f>
        <v/>
      </c>
      <c r="N374" s="18" t="str">
        <f t="shared" si="41"/>
        <v/>
      </c>
      <c r="R374" s="18">
        <f t="shared" si="42"/>
        <v>0</v>
      </c>
      <c r="V374" s="18">
        <f t="shared" si="43"/>
        <v>0</v>
      </c>
      <c r="Z374" s="18">
        <f t="shared" si="44"/>
        <v>0</v>
      </c>
      <c r="AA374" s="18"/>
      <c r="AB374" s="18">
        <f t="shared" si="45"/>
        <v>0</v>
      </c>
      <c r="AC374" s="18" t="str">
        <f t="shared" si="46"/>
        <v/>
      </c>
      <c r="AD374" s="18" t="str">
        <f t="shared" si="47"/>
        <v/>
      </c>
      <c r="AF374" t="str">
        <f>IFERROR(INDEX('Task Master'!$D:$D,MATCH($F374,'Task Master'!$C:$C,0)),"")</f>
        <v/>
      </c>
    </row>
    <row r="375" spans="1:32" x14ac:dyDescent="0.25">
      <c r="A375" t="str">
        <f t="shared" si="40"/>
        <v/>
      </c>
      <c r="B375" s="16"/>
      <c r="D375" t="str">
        <f>IF($C375="","",IFERROR(INDEX('Asset Register'!$B:$B,MATCH($C375,'Asset Register'!$A:$A,0)),""))</f>
        <v/>
      </c>
      <c r="H375" t="str">
        <f>IFERROR(INDEX('Task Master'!$E:$E,MATCH($F375&amp;"||"&amp;$G375,'Task Master'!$K:$K,0)),"")</f>
        <v/>
      </c>
      <c r="I375" t="str">
        <f>IFERROR(INDEX('Task Master'!$F:$F,MATCH($F375&amp;"||"&amp;$G375,'Task Master'!$K:$K,0)),"")</f>
        <v/>
      </c>
      <c r="J375" t="str">
        <f>IFERROR(INDEX('Task Master'!$H:$H,MATCH($F375&amp;"||"&amp;$G375,'Task Master'!$K:$K,0)),"")</f>
        <v/>
      </c>
      <c r="N375" s="18" t="str">
        <f t="shared" si="41"/>
        <v/>
      </c>
      <c r="R375" s="18">
        <f t="shared" si="42"/>
        <v>0</v>
      </c>
      <c r="V375" s="18">
        <f t="shared" si="43"/>
        <v>0</v>
      </c>
      <c r="Z375" s="18">
        <f t="shared" si="44"/>
        <v>0</v>
      </c>
      <c r="AA375" s="18"/>
      <c r="AB375" s="18">
        <f t="shared" si="45"/>
        <v>0</v>
      </c>
      <c r="AC375" s="18" t="str">
        <f t="shared" si="46"/>
        <v/>
      </c>
      <c r="AD375" s="18" t="str">
        <f t="shared" si="47"/>
        <v/>
      </c>
      <c r="AF375" t="str">
        <f>IFERROR(INDEX('Task Master'!$D:$D,MATCH($F375,'Task Master'!$C:$C,0)),"")</f>
        <v/>
      </c>
    </row>
    <row r="376" spans="1:32" x14ac:dyDescent="0.25">
      <c r="A376" t="str">
        <f t="shared" si="40"/>
        <v/>
      </c>
      <c r="B376" s="16"/>
      <c r="D376" t="str">
        <f>IF($C376="","",IFERROR(INDEX('Asset Register'!$B:$B,MATCH($C376,'Asset Register'!$A:$A,0)),""))</f>
        <v/>
      </c>
      <c r="H376" t="str">
        <f>IFERROR(INDEX('Task Master'!$E:$E,MATCH($F376&amp;"||"&amp;$G376,'Task Master'!$K:$K,0)),"")</f>
        <v/>
      </c>
      <c r="I376" t="str">
        <f>IFERROR(INDEX('Task Master'!$F:$F,MATCH($F376&amp;"||"&amp;$G376,'Task Master'!$K:$K,0)),"")</f>
        <v/>
      </c>
      <c r="J376" t="str">
        <f>IFERROR(INDEX('Task Master'!$H:$H,MATCH($F376&amp;"||"&amp;$G376,'Task Master'!$K:$K,0)),"")</f>
        <v/>
      </c>
      <c r="N376" s="18" t="str">
        <f t="shared" si="41"/>
        <v/>
      </c>
      <c r="R376" s="18">
        <f t="shared" si="42"/>
        <v>0</v>
      </c>
      <c r="V376" s="18">
        <f t="shared" si="43"/>
        <v>0</v>
      </c>
      <c r="Z376" s="18">
        <f t="shared" si="44"/>
        <v>0</v>
      </c>
      <c r="AA376" s="18"/>
      <c r="AB376" s="18">
        <f t="shared" si="45"/>
        <v>0</v>
      </c>
      <c r="AC376" s="18" t="str">
        <f t="shared" si="46"/>
        <v/>
      </c>
      <c r="AD376" s="18" t="str">
        <f t="shared" si="47"/>
        <v/>
      </c>
      <c r="AF376" t="str">
        <f>IFERROR(INDEX('Task Master'!$D:$D,MATCH($F376,'Task Master'!$C:$C,0)),"")</f>
        <v/>
      </c>
    </row>
    <row r="377" spans="1:32" x14ac:dyDescent="0.25">
      <c r="A377" t="str">
        <f t="shared" si="40"/>
        <v/>
      </c>
      <c r="B377" s="16"/>
      <c r="D377" t="str">
        <f>IF($C377="","",IFERROR(INDEX('Asset Register'!$B:$B,MATCH($C377,'Asset Register'!$A:$A,0)),""))</f>
        <v/>
      </c>
      <c r="H377" t="str">
        <f>IFERROR(INDEX('Task Master'!$E:$E,MATCH($F377&amp;"||"&amp;$G377,'Task Master'!$K:$K,0)),"")</f>
        <v/>
      </c>
      <c r="I377" t="str">
        <f>IFERROR(INDEX('Task Master'!$F:$F,MATCH($F377&amp;"||"&amp;$G377,'Task Master'!$K:$K,0)),"")</f>
        <v/>
      </c>
      <c r="J377" t="str">
        <f>IFERROR(INDEX('Task Master'!$H:$H,MATCH($F377&amp;"||"&amp;$G377,'Task Master'!$K:$K,0)),"")</f>
        <v/>
      </c>
      <c r="N377" s="18" t="str">
        <f t="shared" si="41"/>
        <v/>
      </c>
      <c r="R377" s="18">
        <f t="shared" si="42"/>
        <v>0</v>
      </c>
      <c r="V377" s="18">
        <f t="shared" si="43"/>
        <v>0</v>
      </c>
      <c r="Z377" s="18">
        <f t="shared" si="44"/>
        <v>0</v>
      </c>
      <c r="AA377" s="18"/>
      <c r="AB377" s="18">
        <f t="shared" si="45"/>
        <v>0</v>
      </c>
      <c r="AC377" s="18" t="str">
        <f t="shared" si="46"/>
        <v/>
      </c>
      <c r="AD377" s="18" t="str">
        <f t="shared" si="47"/>
        <v/>
      </c>
      <c r="AF377" t="str">
        <f>IFERROR(INDEX('Task Master'!$D:$D,MATCH($F377,'Task Master'!$C:$C,0)),"")</f>
        <v/>
      </c>
    </row>
    <row r="378" spans="1:32" x14ac:dyDescent="0.25">
      <c r="A378" t="str">
        <f t="shared" si="40"/>
        <v/>
      </c>
      <c r="B378" s="16"/>
      <c r="D378" t="str">
        <f>IF($C378="","",IFERROR(INDEX('Asset Register'!$B:$B,MATCH($C378,'Asset Register'!$A:$A,0)),""))</f>
        <v/>
      </c>
      <c r="H378" t="str">
        <f>IFERROR(INDEX('Task Master'!$E:$E,MATCH($F378&amp;"||"&amp;$G378,'Task Master'!$K:$K,0)),"")</f>
        <v/>
      </c>
      <c r="I378" t="str">
        <f>IFERROR(INDEX('Task Master'!$F:$F,MATCH($F378&amp;"||"&amp;$G378,'Task Master'!$K:$K,0)),"")</f>
        <v/>
      </c>
      <c r="J378" t="str">
        <f>IFERROR(INDEX('Task Master'!$H:$H,MATCH($F378&amp;"||"&amp;$G378,'Task Master'!$K:$K,0)),"")</f>
        <v/>
      </c>
      <c r="N378" s="18" t="str">
        <f t="shared" si="41"/>
        <v/>
      </c>
      <c r="R378" s="18">
        <f t="shared" si="42"/>
        <v>0</v>
      </c>
      <c r="V378" s="18">
        <f t="shared" si="43"/>
        <v>0</v>
      </c>
      <c r="Z378" s="18">
        <f t="shared" si="44"/>
        <v>0</v>
      </c>
      <c r="AA378" s="18"/>
      <c r="AB378" s="18">
        <f t="shared" si="45"/>
        <v>0</v>
      </c>
      <c r="AC378" s="18" t="str">
        <f t="shared" si="46"/>
        <v/>
      </c>
      <c r="AD378" s="18" t="str">
        <f t="shared" si="47"/>
        <v/>
      </c>
      <c r="AF378" t="str">
        <f>IFERROR(INDEX('Task Master'!$D:$D,MATCH($F378,'Task Master'!$C:$C,0)),"")</f>
        <v/>
      </c>
    </row>
    <row r="379" spans="1:32" x14ac:dyDescent="0.25">
      <c r="A379" t="str">
        <f t="shared" si="40"/>
        <v/>
      </c>
      <c r="B379" s="16"/>
      <c r="D379" t="str">
        <f>IF($C379="","",IFERROR(INDEX('Asset Register'!$B:$B,MATCH($C379,'Asset Register'!$A:$A,0)),""))</f>
        <v/>
      </c>
      <c r="H379" t="str">
        <f>IFERROR(INDEX('Task Master'!$E:$E,MATCH($F379&amp;"||"&amp;$G379,'Task Master'!$K:$K,0)),"")</f>
        <v/>
      </c>
      <c r="I379" t="str">
        <f>IFERROR(INDEX('Task Master'!$F:$F,MATCH($F379&amp;"||"&amp;$G379,'Task Master'!$K:$K,0)),"")</f>
        <v/>
      </c>
      <c r="J379" t="str">
        <f>IFERROR(INDEX('Task Master'!$H:$H,MATCH($F379&amp;"||"&amp;$G379,'Task Master'!$K:$K,0)),"")</f>
        <v/>
      </c>
      <c r="N379" s="18" t="str">
        <f t="shared" si="41"/>
        <v/>
      </c>
      <c r="R379" s="18">
        <f t="shared" si="42"/>
        <v>0</v>
      </c>
      <c r="V379" s="18">
        <f t="shared" si="43"/>
        <v>0</v>
      </c>
      <c r="Z379" s="18">
        <f t="shared" si="44"/>
        <v>0</v>
      </c>
      <c r="AA379" s="18"/>
      <c r="AB379" s="18">
        <f t="shared" si="45"/>
        <v>0</v>
      </c>
      <c r="AC379" s="18" t="str">
        <f t="shared" si="46"/>
        <v/>
      </c>
      <c r="AD379" s="18" t="str">
        <f t="shared" si="47"/>
        <v/>
      </c>
      <c r="AF379" t="str">
        <f>IFERROR(INDEX('Task Master'!$D:$D,MATCH($F379,'Task Master'!$C:$C,0)),"")</f>
        <v/>
      </c>
    </row>
    <row r="380" spans="1:32" x14ac:dyDescent="0.25">
      <c r="A380" t="str">
        <f t="shared" si="40"/>
        <v/>
      </c>
      <c r="B380" s="16"/>
      <c r="D380" t="str">
        <f>IF($C380="","",IFERROR(INDEX('Asset Register'!$B:$B,MATCH($C380,'Asset Register'!$A:$A,0)),""))</f>
        <v/>
      </c>
      <c r="H380" t="str">
        <f>IFERROR(INDEX('Task Master'!$E:$E,MATCH($F380&amp;"||"&amp;$G380,'Task Master'!$K:$K,0)),"")</f>
        <v/>
      </c>
      <c r="I380" t="str">
        <f>IFERROR(INDEX('Task Master'!$F:$F,MATCH($F380&amp;"||"&amp;$G380,'Task Master'!$K:$K,0)),"")</f>
        <v/>
      </c>
      <c r="J380" t="str">
        <f>IFERROR(INDEX('Task Master'!$H:$H,MATCH($F380&amp;"||"&amp;$G380,'Task Master'!$K:$K,0)),"")</f>
        <v/>
      </c>
      <c r="N380" s="18" t="str">
        <f t="shared" si="41"/>
        <v/>
      </c>
      <c r="R380" s="18">
        <f t="shared" si="42"/>
        <v>0</v>
      </c>
      <c r="V380" s="18">
        <f t="shared" si="43"/>
        <v>0</v>
      </c>
      <c r="Z380" s="18">
        <f t="shared" si="44"/>
        <v>0</v>
      </c>
      <c r="AA380" s="18"/>
      <c r="AB380" s="18">
        <f t="shared" si="45"/>
        <v>0</v>
      </c>
      <c r="AC380" s="18" t="str">
        <f t="shared" si="46"/>
        <v/>
      </c>
      <c r="AD380" s="18" t="str">
        <f t="shared" si="47"/>
        <v/>
      </c>
      <c r="AF380" t="str">
        <f>IFERROR(INDEX('Task Master'!$D:$D,MATCH($F380,'Task Master'!$C:$C,0)),"")</f>
        <v/>
      </c>
    </row>
    <row r="381" spans="1:32" x14ac:dyDescent="0.25">
      <c r="A381" t="str">
        <f t="shared" si="40"/>
        <v/>
      </c>
      <c r="B381" s="16"/>
      <c r="D381" t="str">
        <f>IF($C381="","",IFERROR(INDEX('Asset Register'!$B:$B,MATCH($C381,'Asset Register'!$A:$A,0)),""))</f>
        <v/>
      </c>
      <c r="H381" t="str">
        <f>IFERROR(INDEX('Task Master'!$E:$E,MATCH($F381&amp;"||"&amp;$G381,'Task Master'!$K:$K,0)),"")</f>
        <v/>
      </c>
      <c r="I381" t="str">
        <f>IFERROR(INDEX('Task Master'!$F:$F,MATCH($F381&amp;"||"&amp;$G381,'Task Master'!$K:$K,0)),"")</f>
        <v/>
      </c>
      <c r="J381" t="str">
        <f>IFERROR(INDEX('Task Master'!$H:$H,MATCH($F381&amp;"||"&amp;$G381,'Task Master'!$K:$K,0)),"")</f>
        <v/>
      </c>
      <c r="N381" s="18" t="str">
        <f t="shared" si="41"/>
        <v/>
      </c>
      <c r="R381" s="18">
        <f t="shared" si="42"/>
        <v>0</v>
      </c>
      <c r="V381" s="18">
        <f t="shared" si="43"/>
        <v>0</v>
      </c>
      <c r="Z381" s="18">
        <f t="shared" si="44"/>
        <v>0</v>
      </c>
      <c r="AA381" s="18"/>
      <c r="AB381" s="18">
        <f t="shared" si="45"/>
        <v>0</v>
      </c>
      <c r="AC381" s="18" t="str">
        <f t="shared" si="46"/>
        <v/>
      </c>
      <c r="AD381" s="18" t="str">
        <f t="shared" si="47"/>
        <v/>
      </c>
      <c r="AF381" t="str">
        <f>IFERROR(INDEX('Task Master'!$D:$D,MATCH($F381,'Task Master'!$C:$C,0)),"")</f>
        <v/>
      </c>
    </row>
    <row r="382" spans="1:32" x14ac:dyDescent="0.25">
      <c r="A382" t="str">
        <f t="shared" si="40"/>
        <v/>
      </c>
      <c r="B382" s="16"/>
      <c r="D382" t="str">
        <f>IF($C382="","",IFERROR(INDEX('Asset Register'!$B:$B,MATCH($C382,'Asset Register'!$A:$A,0)),""))</f>
        <v/>
      </c>
      <c r="H382" t="str">
        <f>IFERROR(INDEX('Task Master'!$E:$E,MATCH($F382&amp;"||"&amp;$G382,'Task Master'!$K:$K,0)),"")</f>
        <v/>
      </c>
      <c r="I382" t="str">
        <f>IFERROR(INDEX('Task Master'!$F:$F,MATCH($F382&amp;"||"&amp;$G382,'Task Master'!$K:$K,0)),"")</f>
        <v/>
      </c>
      <c r="J382" t="str">
        <f>IFERROR(INDEX('Task Master'!$H:$H,MATCH($F382&amp;"||"&amp;$G382,'Task Master'!$K:$K,0)),"")</f>
        <v/>
      </c>
      <c r="N382" s="18" t="str">
        <f t="shared" si="41"/>
        <v/>
      </c>
      <c r="R382" s="18">
        <f t="shared" si="42"/>
        <v>0</v>
      </c>
      <c r="V382" s="18">
        <f t="shared" si="43"/>
        <v>0</v>
      </c>
      <c r="Z382" s="18">
        <f t="shared" si="44"/>
        <v>0</v>
      </c>
      <c r="AA382" s="18"/>
      <c r="AB382" s="18">
        <f t="shared" si="45"/>
        <v>0</v>
      </c>
      <c r="AC382" s="18" t="str">
        <f t="shared" si="46"/>
        <v/>
      </c>
      <c r="AD382" s="18" t="str">
        <f t="shared" si="47"/>
        <v/>
      </c>
      <c r="AF382" t="str">
        <f>IFERROR(INDEX('Task Master'!$D:$D,MATCH($F382,'Task Master'!$C:$C,0)),"")</f>
        <v/>
      </c>
    </row>
    <row r="383" spans="1:32" x14ac:dyDescent="0.25">
      <c r="A383" t="str">
        <f t="shared" si="40"/>
        <v/>
      </c>
      <c r="B383" s="16"/>
      <c r="D383" t="str">
        <f>IF($C383="","",IFERROR(INDEX('Asset Register'!$B:$B,MATCH($C383,'Asset Register'!$A:$A,0)),""))</f>
        <v/>
      </c>
      <c r="H383" t="str">
        <f>IFERROR(INDEX('Task Master'!$E:$E,MATCH($F383&amp;"||"&amp;$G383,'Task Master'!$K:$K,0)),"")</f>
        <v/>
      </c>
      <c r="I383" t="str">
        <f>IFERROR(INDEX('Task Master'!$F:$F,MATCH($F383&amp;"||"&amp;$G383,'Task Master'!$K:$K,0)),"")</f>
        <v/>
      </c>
      <c r="J383" t="str">
        <f>IFERROR(INDEX('Task Master'!$H:$H,MATCH($F383&amp;"||"&amp;$G383,'Task Master'!$K:$K,0)),"")</f>
        <v/>
      </c>
      <c r="N383" s="18" t="str">
        <f t="shared" si="41"/>
        <v/>
      </c>
      <c r="R383" s="18">
        <f t="shared" si="42"/>
        <v>0</v>
      </c>
      <c r="V383" s="18">
        <f t="shared" si="43"/>
        <v>0</v>
      </c>
      <c r="Z383" s="18">
        <f t="shared" si="44"/>
        <v>0</v>
      </c>
      <c r="AA383" s="18"/>
      <c r="AB383" s="18">
        <f t="shared" si="45"/>
        <v>0</v>
      </c>
      <c r="AC383" s="18" t="str">
        <f t="shared" si="46"/>
        <v/>
      </c>
      <c r="AD383" s="18" t="str">
        <f t="shared" si="47"/>
        <v/>
      </c>
      <c r="AF383" t="str">
        <f>IFERROR(INDEX('Task Master'!$D:$D,MATCH($F383,'Task Master'!$C:$C,0)),"")</f>
        <v/>
      </c>
    </row>
    <row r="384" spans="1:32" x14ac:dyDescent="0.25">
      <c r="A384" t="str">
        <f t="shared" si="40"/>
        <v/>
      </c>
      <c r="B384" s="16"/>
      <c r="D384" t="str">
        <f>IF($C384="","",IFERROR(INDEX('Asset Register'!$B:$B,MATCH($C384,'Asset Register'!$A:$A,0)),""))</f>
        <v/>
      </c>
      <c r="H384" t="str">
        <f>IFERROR(INDEX('Task Master'!$E:$E,MATCH($F384&amp;"||"&amp;$G384,'Task Master'!$K:$K,0)),"")</f>
        <v/>
      </c>
      <c r="I384" t="str">
        <f>IFERROR(INDEX('Task Master'!$F:$F,MATCH($F384&amp;"||"&amp;$G384,'Task Master'!$K:$K,0)),"")</f>
        <v/>
      </c>
      <c r="J384" t="str">
        <f>IFERROR(INDEX('Task Master'!$H:$H,MATCH($F384&amp;"||"&amp;$G384,'Task Master'!$K:$K,0)),"")</f>
        <v/>
      </c>
      <c r="N384" s="18" t="str">
        <f t="shared" si="41"/>
        <v/>
      </c>
      <c r="R384" s="18">
        <f t="shared" si="42"/>
        <v>0</v>
      </c>
      <c r="V384" s="18">
        <f t="shared" si="43"/>
        <v>0</v>
      </c>
      <c r="Z384" s="18">
        <f t="shared" si="44"/>
        <v>0</v>
      </c>
      <c r="AA384" s="18"/>
      <c r="AB384" s="18">
        <f t="shared" si="45"/>
        <v>0</v>
      </c>
      <c r="AC384" s="18" t="str">
        <f t="shared" si="46"/>
        <v/>
      </c>
      <c r="AD384" s="18" t="str">
        <f t="shared" si="47"/>
        <v/>
      </c>
      <c r="AF384" t="str">
        <f>IFERROR(INDEX('Task Master'!$D:$D,MATCH($F384,'Task Master'!$C:$C,0)),"")</f>
        <v/>
      </c>
    </row>
    <row r="385" spans="1:32" x14ac:dyDescent="0.25">
      <c r="A385" t="str">
        <f t="shared" si="40"/>
        <v/>
      </c>
      <c r="B385" s="16"/>
      <c r="D385" t="str">
        <f>IF($C385="","",IFERROR(INDEX('Asset Register'!$B:$B,MATCH($C385,'Asset Register'!$A:$A,0)),""))</f>
        <v/>
      </c>
      <c r="H385" t="str">
        <f>IFERROR(INDEX('Task Master'!$E:$E,MATCH($F385&amp;"||"&amp;$G385,'Task Master'!$K:$K,0)),"")</f>
        <v/>
      </c>
      <c r="I385" t="str">
        <f>IFERROR(INDEX('Task Master'!$F:$F,MATCH($F385&amp;"||"&amp;$G385,'Task Master'!$K:$K,0)),"")</f>
        <v/>
      </c>
      <c r="J385" t="str">
        <f>IFERROR(INDEX('Task Master'!$H:$H,MATCH($F385&amp;"||"&amp;$G385,'Task Master'!$K:$K,0)),"")</f>
        <v/>
      </c>
      <c r="N385" s="18" t="str">
        <f t="shared" si="41"/>
        <v/>
      </c>
      <c r="R385" s="18">
        <f t="shared" si="42"/>
        <v>0</v>
      </c>
      <c r="V385" s="18">
        <f t="shared" si="43"/>
        <v>0</v>
      </c>
      <c r="Z385" s="18">
        <f t="shared" si="44"/>
        <v>0</v>
      </c>
      <c r="AA385" s="18"/>
      <c r="AB385" s="18">
        <f t="shared" si="45"/>
        <v>0</v>
      </c>
      <c r="AC385" s="18" t="str">
        <f t="shared" si="46"/>
        <v/>
      </c>
      <c r="AD385" s="18" t="str">
        <f t="shared" si="47"/>
        <v/>
      </c>
      <c r="AF385" t="str">
        <f>IFERROR(INDEX('Task Master'!$D:$D,MATCH($F385,'Task Master'!$C:$C,0)),"")</f>
        <v/>
      </c>
    </row>
    <row r="386" spans="1:32" x14ac:dyDescent="0.25">
      <c r="A386" t="str">
        <f t="shared" ref="A386:A449" si="48">IF(B386="","",ROW()-1)</f>
        <v/>
      </c>
      <c r="B386" s="16"/>
      <c r="D386" t="str">
        <f>IF($C386="","",IFERROR(INDEX('Asset Register'!$B:$B,MATCH($C386,'Asset Register'!$A:$A,0)),""))</f>
        <v/>
      </c>
      <c r="H386" t="str">
        <f>IFERROR(INDEX('Task Master'!$E:$E,MATCH($F386&amp;"||"&amp;$G386,'Task Master'!$K:$K,0)),"")</f>
        <v/>
      </c>
      <c r="I386" t="str">
        <f>IFERROR(INDEX('Task Master'!$F:$F,MATCH($F386&amp;"||"&amp;$G386,'Task Master'!$K:$K,0)),"")</f>
        <v/>
      </c>
      <c r="J386" t="str">
        <f>IFERROR(INDEX('Task Master'!$H:$H,MATCH($F386&amp;"||"&amp;$G386,'Task Master'!$K:$K,0)),"")</f>
        <v/>
      </c>
      <c r="N386" s="18" t="str">
        <f t="shared" ref="N386:N449" si="49">IF(OR($K386="",$L386="",$M386=""),"",$K386*$L386*$M386)</f>
        <v/>
      </c>
      <c r="R386" s="18">
        <f t="shared" ref="R386:R449" si="50">IF(OR($P386="",$Q386=""),0,$P386*$Q386)</f>
        <v>0</v>
      </c>
      <c r="V386" s="18">
        <f t="shared" ref="V386:V449" si="51">IF(OR($T386="",$U386=""),0,$T386*$U386)</f>
        <v>0</v>
      </c>
      <c r="Z386" s="18">
        <f t="shared" ref="Z386:Z449" si="52">IF(OR($X386="",$Y386=""),0,$X386*$Y386)</f>
        <v>0</v>
      </c>
      <c r="AA386" s="18"/>
      <c r="AB386" s="18">
        <f t="shared" ref="AB386:AB449" si="53">$R386+$V386+$Z386</f>
        <v>0</v>
      </c>
      <c r="AC386" s="18" t="str">
        <f t="shared" ref="AC386:AC449" si="54">IF($B386="","",$AB386+$AA386+$N386)</f>
        <v/>
      </c>
      <c r="AD386" s="18" t="str">
        <f t="shared" ref="AD386:AD449" si="55">IF(OR($K386="",$K386=0,$AC386=""),"",$AC386/$K386)</f>
        <v/>
      </c>
      <c r="AF386" t="str">
        <f>IFERROR(INDEX('Task Master'!$D:$D,MATCH($F386,'Task Master'!$C:$C,0)),"")</f>
        <v/>
      </c>
    </row>
    <row r="387" spans="1:32" x14ac:dyDescent="0.25">
      <c r="A387" t="str">
        <f t="shared" si="48"/>
        <v/>
      </c>
      <c r="B387" s="16"/>
      <c r="D387" t="str">
        <f>IF($C387="","",IFERROR(INDEX('Asset Register'!$B:$B,MATCH($C387,'Asset Register'!$A:$A,0)),""))</f>
        <v/>
      </c>
      <c r="H387" t="str">
        <f>IFERROR(INDEX('Task Master'!$E:$E,MATCH($F387&amp;"||"&amp;$G387,'Task Master'!$K:$K,0)),"")</f>
        <v/>
      </c>
      <c r="I387" t="str">
        <f>IFERROR(INDEX('Task Master'!$F:$F,MATCH($F387&amp;"||"&amp;$G387,'Task Master'!$K:$K,0)),"")</f>
        <v/>
      </c>
      <c r="J387" t="str">
        <f>IFERROR(INDEX('Task Master'!$H:$H,MATCH($F387&amp;"||"&amp;$G387,'Task Master'!$K:$K,0)),"")</f>
        <v/>
      </c>
      <c r="N387" s="18" t="str">
        <f t="shared" si="49"/>
        <v/>
      </c>
      <c r="R387" s="18">
        <f t="shared" si="50"/>
        <v>0</v>
      </c>
      <c r="V387" s="18">
        <f t="shared" si="51"/>
        <v>0</v>
      </c>
      <c r="Z387" s="18">
        <f t="shared" si="52"/>
        <v>0</v>
      </c>
      <c r="AA387" s="18"/>
      <c r="AB387" s="18">
        <f t="shared" si="53"/>
        <v>0</v>
      </c>
      <c r="AC387" s="18" t="str">
        <f t="shared" si="54"/>
        <v/>
      </c>
      <c r="AD387" s="18" t="str">
        <f t="shared" si="55"/>
        <v/>
      </c>
      <c r="AF387" t="str">
        <f>IFERROR(INDEX('Task Master'!$D:$D,MATCH($F387,'Task Master'!$C:$C,0)),"")</f>
        <v/>
      </c>
    </row>
    <row r="388" spans="1:32" x14ac:dyDescent="0.25">
      <c r="A388" t="str">
        <f t="shared" si="48"/>
        <v/>
      </c>
      <c r="B388" s="16"/>
      <c r="D388" t="str">
        <f>IF($C388="","",IFERROR(INDEX('Asset Register'!$B:$B,MATCH($C388,'Asset Register'!$A:$A,0)),""))</f>
        <v/>
      </c>
      <c r="H388" t="str">
        <f>IFERROR(INDEX('Task Master'!$E:$E,MATCH($F388&amp;"||"&amp;$G388,'Task Master'!$K:$K,0)),"")</f>
        <v/>
      </c>
      <c r="I388" t="str">
        <f>IFERROR(INDEX('Task Master'!$F:$F,MATCH($F388&amp;"||"&amp;$G388,'Task Master'!$K:$K,0)),"")</f>
        <v/>
      </c>
      <c r="J388" t="str">
        <f>IFERROR(INDEX('Task Master'!$H:$H,MATCH($F388&amp;"||"&amp;$G388,'Task Master'!$K:$K,0)),"")</f>
        <v/>
      </c>
      <c r="N388" s="18" t="str">
        <f t="shared" si="49"/>
        <v/>
      </c>
      <c r="R388" s="18">
        <f t="shared" si="50"/>
        <v>0</v>
      </c>
      <c r="V388" s="18">
        <f t="shared" si="51"/>
        <v>0</v>
      </c>
      <c r="Z388" s="18">
        <f t="shared" si="52"/>
        <v>0</v>
      </c>
      <c r="AA388" s="18"/>
      <c r="AB388" s="18">
        <f t="shared" si="53"/>
        <v>0</v>
      </c>
      <c r="AC388" s="18" t="str">
        <f t="shared" si="54"/>
        <v/>
      </c>
      <c r="AD388" s="18" t="str">
        <f t="shared" si="55"/>
        <v/>
      </c>
      <c r="AF388" t="str">
        <f>IFERROR(INDEX('Task Master'!$D:$D,MATCH($F388,'Task Master'!$C:$C,0)),"")</f>
        <v/>
      </c>
    </row>
    <row r="389" spans="1:32" x14ac:dyDescent="0.25">
      <c r="A389" t="str">
        <f t="shared" si="48"/>
        <v/>
      </c>
      <c r="B389" s="16"/>
      <c r="D389" t="str">
        <f>IF($C389="","",IFERROR(INDEX('Asset Register'!$B:$B,MATCH($C389,'Asset Register'!$A:$A,0)),""))</f>
        <v/>
      </c>
      <c r="H389" t="str">
        <f>IFERROR(INDEX('Task Master'!$E:$E,MATCH($F389&amp;"||"&amp;$G389,'Task Master'!$K:$K,0)),"")</f>
        <v/>
      </c>
      <c r="I389" t="str">
        <f>IFERROR(INDEX('Task Master'!$F:$F,MATCH($F389&amp;"||"&amp;$G389,'Task Master'!$K:$K,0)),"")</f>
        <v/>
      </c>
      <c r="J389" t="str">
        <f>IFERROR(INDEX('Task Master'!$H:$H,MATCH($F389&amp;"||"&amp;$G389,'Task Master'!$K:$K,0)),"")</f>
        <v/>
      </c>
      <c r="N389" s="18" t="str">
        <f t="shared" si="49"/>
        <v/>
      </c>
      <c r="R389" s="18">
        <f t="shared" si="50"/>
        <v>0</v>
      </c>
      <c r="V389" s="18">
        <f t="shared" si="51"/>
        <v>0</v>
      </c>
      <c r="Z389" s="18">
        <f t="shared" si="52"/>
        <v>0</v>
      </c>
      <c r="AA389" s="18"/>
      <c r="AB389" s="18">
        <f t="shared" si="53"/>
        <v>0</v>
      </c>
      <c r="AC389" s="18" t="str">
        <f t="shared" si="54"/>
        <v/>
      </c>
      <c r="AD389" s="18" t="str">
        <f t="shared" si="55"/>
        <v/>
      </c>
      <c r="AF389" t="str">
        <f>IFERROR(INDEX('Task Master'!$D:$D,MATCH($F389,'Task Master'!$C:$C,0)),"")</f>
        <v/>
      </c>
    </row>
    <row r="390" spans="1:32" x14ac:dyDescent="0.25">
      <c r="A390" t="str">
        <f t="shared" si="48"/>
        <v/>
      </c>
      <c r="B390" s="16"/>
      <c r="D390" t="str">
        <f>IF($C390="","",IFERROR(INDEX('Asset Register'!$B:$B,MATCH($C390,'Asset Register'!$A:$A,0)),""))</f>
        <v/>
      </c>
      <c r="H390" t="str">
        <f>IFERROR(INDEX('Task Master'!$E:$E,MATCH($F390&amp;"||"&amp;$G390,'Task Master'!$K:$K,0)),"")</f>
        <v/>
      </c>
      <c r="I390" t="str">
        <f>IFERROR(INDEX('Task Master'!$F:$F,MATCH($F390&amp;"||"&amp;$G390,'Task Master'!$K:$K,0)),"")</f>
        <v/>
      </c>
      <c r="J390" t="str">
        <f>IFERROR(INDEX('Task Master'!$H:$H,MATCH($F390&amp;"||"&amp;$G390,'Task Master'!$K:$K,0)),"")</f>
        <v/>
      </c>
      <c r="N390" s="18" t="str">
        <f t="shared" si="49"/>
        <v/>
      </c>
      <c r="R390" s="18">
        <f t="shared" si="50"/>
        <v>0</v>
      </c>
      <c r="V390" s="18">
        <f t="shared" si="51"/>
        <v>0</v>
      </c>
      <c r="Z390" s="18">
        <f t="shared" si="52"/>
        <v>0</v>
      </c>
      <c r="AA390" s="18"/>
      <c r="AB390" s="18">
        <f t="shared" si="53"/>
        <v>0</v>
      </c>
      <c r="AC390" s="18" t="str">
        <f t="shared" si="54"/>
        <v/>
      </c>
      <c r="AD390" s="18" t="str">
        <f t="shared" si="55"/>
        <v/>
      </c>
      <c r="AF390" t="str">
        <f>IFERROR(INDEX('Task Master'!$D:$D,MATCH($F390,'Task Master'!$C:$C,0)),"")</f>
        <v/>
      </c>
    </row>
    <row r="391" spans="1:32" x14ac:dyDescent="0.25">
      <c r="A391" t="str">
        <f t="shared" si="48"/>
        <v/>
      </c>
      <c r="B391" s="16"/>
      <c r="D391" t="str">
        <f>IF($C391="","",IFERROR(INDEX('Asset Register'!$B:$B,MATCH($C391,'Asset Register'!$A:$A,0)),""))</f>
        <v/>
      </c>
      <c r="H391" t="str">
        <f>IFERROR(INDEX('Task Master'!$E:$E,MATCH($F391&amp;"||"&amp;$G391,'Task Master'!$K:$K,0)),"")</f>
        <v/>
      </c>
      <c r="I391" t="str">
        <f>IFERROR(INDEX('Task Master'!$F:$F,MATCH($F391&amp;"||"&amp;$G391,'Task Master'!$K:$K,0)),"")</f>
        <v/>
      </c>
      <c r="J391" t="str">
        <f>IFERROR(INDEX('Task Master'!$H:$H,MATCH($F391&amp;"||"&amp;$G391,'Task Master'!$K:$K,0)),"")</f>
        <v/>
      </c>
      <c r="N391" s="18" t="str">
        <f t="shared" si="49"/>
        <v/>
      </c>
      <c r="R391" s="18">
        <f t="shared" si="50"/>
        <v>0</v>
      </c>
      <c r="V391" s="18">
        <f t="shared" si="51"/>
        <v>0</v>
      </c>
      <c r="Z391" s="18">
        <f t="shared" si="52"/>
        <v>0</v>
      </c>
      <c r="AA391" s="18"/>
      <c r="AB391" s="18">
        <f t="shared" si="53"/>
        <v>0</v>
      </c>
      <c r="AC391" s="18" t="str">
        <f t="shared" si="54"/>
        <v/>
      </c>
      <c r="AD391" s="18" t="str">
        <f t="shared" si="55"/>
        <v/>
      </c>
      <c r="AF391" t="str">
        <f>IFERROR(INDEX('Task Master'!$D:$D,MATCH($F391,'Task Master'!$C:$C,0)),"")</f>
        <v/>
      </c>
    </row>
    <row r="392" spans="1:32" x14ac:dyDescent="0.25">
      <c r="A392" t="str">
        <f t="shared" si="48"/>
        <v/>
      </c>
      <c r="B392" s="16"/>
      <c r="D392" t="str">
        <f>IF($C392="","",IFERROR(INDEX('Asset Register'!$B:$B,MATCH($C392,'Asset Register'!$A:$A,0)),""))</f>
        <v/>
      </c>
      <c r="H392" t="str">
        <f>IFERROR(INDEX('Task Master'!$E:$E,MATCH($F392&amp;"||"&amp;$G392,'Task Master'!$K:$K,0)),"")</f>
        <v/>
      </c>
      <c r="I392" t="str">
        <f>IFERROR(INDEX('Task Master'!$F:$F,MATCH($F392&amp;"||"&amp;$G392,'Task Master'!$K:$K,0)),"")</f>
        <v/>
      </c>
      <c r="J392" t="str">
        <f>IFERROR(INDEX('Task Master'!$H:$H,MATCH($F392&amp;"||"&amp;$G392,'Task Master'!$K:$K,0)),"")</f>
        <v/>
      </c>
      <c r="N392" s="18" t="str">
        <f t="shared" si="49"/>
        <v/>
      </c>
      <c r="R392" s="18">
        <f t="shared" si="50"/>
        <v>0</v>
      </c>
      <c r="V392" s="18">
        <f t="shared" si="51"/>
        <v>0</v>
      </c>
      <c r="Z392" s="18">
        <f t="shared" si="52"/>
        <v>0</v>
      </c>
      <c r="AA392" s="18"/>
      <c r="AB392" s="18">
        <f t="shared" si="53"/>
        <v>0</v>
      </c>
      <c r="AC392" s="18" t="str">
        <f t="shared" si="54"/>
        <v/>
      </c>
      <c r="AD392" s="18" t="str">
        <f t="shared" si="55"/>
        <v/>
      </c>
      <c r="AF392" t="str">
        <f>IFERROR(INDEX('Task Master'!$D:$D,MATCH($F392,'Task Master'!$C:$C,0)),"")</f>
        <v/>
      </c>
    </row>
    <row r="393" spans="1:32" x14ac:dyDescent="0.25">
      <c r="A393" t="str">
        <f t="shared" si="48"/>
        <v/>
      </c>
      <c r="B393" s="16"/>
      <c r="D393" t="str">
        <f>IF($C393="","",IFERROR(INDEX('Asset Register'!$B:$B,MATCH($C393,'Asset Register'!$A:$A,0)),""))</f>
        <v/>
      </c>
      <c r="H393" t="str">
        <f>IFERROR(INDEX('Task Master'!$E:$E,MATCH($F393&amp;"||"&amp;$G393,'Task Master'!$K:$K,0)),"")</f>
        <v/>
      </c>
      <c r="I393" t="str">
        <f>IFERROR(INDEX('Task Master'!$F:$F,MATCH($F393&amp;"||"&amp;$G393,'Task Master'!$K:$K,0)),"")</f>
        <v/>
      </c>
      <c r="J393" t="str">
        <f>IFERROR(INDEX('Task Master'!$H:$H,MATCH($F393&amp;"||"&amp;$G393,'Task Master'!$K:$K,0)),"")</f>
        <v/>
      </c>
      <c r="N393" s="18" t="str">
        <f t="shared" si="49"/>
        <v/>
      </c>
      <c r="R393" s="18">
        <f t="shared" si="50"/>
        <v>0</v>
      </c>
      <c r="V393" s="18">
        <f t="shared" si="51"/>
        <v>0</v>
      </c>
      <c r="Z393" s="18">
        <f t="shared" si="52"/>
        <v>0</v>
      </c>
      <c r="AA393" s="18"/>
      <c r="AB393" s="18">
        <f t="shared" si="53"/>
        <v>0</v>
      </c>
      <c r="AC393" s="18" t="str">
        <f t="shared" si="54"/>
        <v/>
      </c>
      <c r="AD393" s="18" t="str">
        <f t="shared" si="55"/>
        <v/>
      </c>
      <c r="AF393" t="str">
        <f>IFERROR(INDEX('Task Master'!$D:$D,MATCH($F393,'Task Master'!$C:$C,0)),"")</f>
        <v/>
      </c>
    </row>
    <row r="394" spans="1:32" x14ac:dyDescent="0.25">
      <c r="A394" t="str">
        <f t="shared" si="48"/>
        <v/>
      </c>
      <c r="B394" s="16"/>
      <c r="D394" t="str">
        <f>IF($C394="","",IFERROR(INDEX('Asset Register'!$B:$B,MATCH($C394,'Asset Register'!$A:$A,0)),""))</f>
        <v/>
      </c>
      <c r="H394" t="str">
        <f>IFERROR(INDEX('Task Master'!$E:$E,MATCH($F394&amp;"||"&amp;$G394,'Task Master'!$K:$K,0)),"")</f>
        <v/>
      </c>
      <c r="I394" t="str">
        <f>IFERROR(INDEX('Task Master'!$F:$F,MATCH($F394&amp;"||"&amp;$G394,'Task Master'!$K:$K,0)),"")</f>
        <v/>
      </c>
      <c r="J394" t="str">
        <f>IFERROR(INDEX('Task Master'!$H:$H,MATCH($F394&amp;"||"&amp;$G394,'Task Master'!$K:$K,0)),"")</f>
        <v/>
      </c>
      <c r="N394" s="18" t="str">
        <f t="shared" si="49"/>
        <v/>
      </c>
      <c r="R394" s="18">
        <f t="shared" si="50"/>
        <v>0</v>
      </c>
      <c r="V394" s="18">
        <f t="shared" si="51"/>
        <v>0</v>
      </c>
      <c r="Z394" s="18">
        <f t="shared" si="52"/>
        <v>0</v>
      </c>
      <c r="AA394" s="18"/>
      <c r="AB394" s="18">
        <f t="shared" si="53"/>
        <v>0</v>
      </c>
      <c r="AC394" s="18" t="str">
        <f t="shared" si="54"/>
        <v/>
      </c>
      <c r="AD394" s="18" t="str">
        <f t="shared" si="55"/>
        <v/>
      </c>
      <c r="AF394" t="str">
        <f>IFERROR(INDEX('Task Master'!$D:$D,MATCH($F394,'Task Master'!$C:$C,0)),"")</f>
        <v/>
      </c>
    </row>
    <row r="395" spans="1:32" x14ac:dyDescent="0.25">
      <c r="A395" t="str">
        <f t="shared" si="48"/>
        <v/>
      </c>
      <c r="B395" s="16"/>
      <c r="D395" t="str">
        <f>IF($C395="","",IFERROR(INDEX('Asset Register'!$B:$B,MATCH($C395,'Asset Register'!$A:$A,0)),""))</f>
        <v/>
      </c>
      <c r="H395" t="str">
        <f>IFERROR(INDEX('Task Master'!$E:$E,MATCH($F395&amp;"||"&amp;$G395,'Task Master'!$K:$K,0)),"")</f>
        <v/>
      </c>
      <c r="I395" t="str">
        <f>IFERROR(INDEX('Task Master'!$F:$F,MATCH($F395&amp;"||"&amp;$G395,'Task Master'!$K:$K,0)),"")</f>
        <v/>
      </c>
      <c r="J395" t="str">
        <f>IFERROR(INDEX('Task Master'!$H:$H,MATCH($F395&amp;"||"&amp;$G395,'Task Master'!$K:$K,0)),"")</f>
        <v/>
      </c>
      <c r="N395" s="18" t="str">
        <f t="shared" si="49"/>
        <v/>
      </c>
      <c r="R395" s="18">
        <f t="shared" si="50"/>
        <v>0</v>
      </c>
      <c r="V395" s="18">
        <f t="shared" si="51"/>
        <v>0</v>
      </c>
      <c r="Z395" s="18">
        <f t="shared" si="52"/>
        <v>0</v>
      </c>
      <c r="AA395" s="18"/>
      <c r="AB395" s="18">
        <f t="shared" si="53"/>
        <v>0</v>
      </c>
      <c r="AC395" s="18" t="str">
        <f t="shared" si="54"/>
        <v/>
      </c>
      <c r="AD395" s="18" t="str">
        <f t="shared" si="55"/>
        <v/>
      </c>
      <c r="AF395" t="str">
        <f>IFERROR(INDEX('Task Master'!$D:$D,MATCH($F395,'Task Master'!$C:$C,0)),"")</f>
        <v/>
      </c>
    </row>
    <row r="396" spans="1:32" x14ac:dyDescent="0.25">
      <c r="A396" t="str">
        <f t="shared" si="48"/>
        <v/>
      </c>
      <c r="B396" s="16"/>
      <c r="D396" t="str">
        <f>IF($C396="","",IFERROR(INDEX('Asset Register'!$B:$B,MATCH($C396,'Asset Register'!$A:$A,0)),""))</f>
        <v/>
      </c>
      <c r="H396" t="str">
        <f>IFERROR(INDEX('Task Master'!$E:$E,MATCH($F396&amp;"||"&amp;$G396,'Task Master'!$K:$K,0)),"")</f>
        <v/>
      </c>
      <c r="I396" t="str">
        <f>IFERROR(INDEX('Task Master'!$F:$F,MATCH($F396&amp;"||"&amp;$G396,'Task Master'!$K:$K,0)),"")</f>
        <v/>
      </c>
      <c r="J396" t="str">
        <f>IFERROR(INDEX('Task Master'!$H:$H,MATCH($F396&amp;"||"&amp;$G396,'Task Master'!$K:$K,0)),"")</f>
        <v/>
      </c>
      <c r="N396" s="18" t="str">
        <f t="shared" si="49"/>
        <v/>
      </c>
      <c r="R396" s="18">
        <f t="shared" si="50"/>
        <v>0</v>
      </c>
      <c r="V396" s="18">
        <f t="shared" si="51"/>
        <v>0</v>
      </c>
      <c r="Z396" s="18">
        <f t="shared" si="52"/>
        <v>0</v>
      </c>
      <c r="AA396" s="18"/>
      <c r="AB396" s="18">
        <f t="shared" si="53"/>
        <v>0</v>
      </c>
      <c r="AC396" s="18" t="str">
        <f t="shared" si="54"/>
        <v/>
      </c>
      <c r="AD396" s="18" t="str">
        <f t="shared" si="55"/>
        <v/>
      </c>
      <c r="AF396" t="str">
        <f>IFERROR(INDEX('Task Master'!$D:$D,MATCH($F396,'Task Master'!$C:$C,0)),"")</f>
        <v/>
      </c>
    </row>
    <row r="397" spans="1:32" x14ac:dyDescent="0.25">
      <c r="A397" t="str">
        <f t="shared" si="48"/>
        <v/>
      </c>
      <c r="B397" s="16"/>
      <c r="D397" t="str">
        <f>IF($C397="","",IFERROR(INDEX('Asset Register'!$B:$B,MATCH($C397,'Asset Register'!$A:$A,0)),""))</f>
        <v/>
      </c>
      <c r="H397" t="str">
        <f>IFERROR(INDEX('Task Master'!$E:$E,MATCH($F397&amp;"||"&amp;$G397,'Task Master'!$K:$K,0)),"")</f>
        <v/>
      </c>
      <c r="I397" t="str">
        <f>IFERROR(INDEX('Task Master'!$F:$F,MATCH($F397&amp;"||"&amp;$G397,'Task Master'!$K:$K,0)),"")</f>
        <v/>
      </c>
      <c r="J397" t="str">
        <f>IFERROR(INDEX('Task Master'!$H:$H,MATCH($F397&amp;"||"&amp;$G397,'Task Master'!$K:$K,0)),"")</f>
        <v/>
      </c>
      <c r="N397" s="18" t="str">
        <f t="shared" si="49"/>
        <v/>
      </c>
      <c r="R397" s="18">
        <f t="shared" si="50"/>
        <v>0</v>
      </c>
      <c r="V397" s="18">
        <f t="shared" si="51"/>
        <v>0</v>
      </c>
      <c r="Z397" s="18">
        <f t="shared" si="52"/>
        <v>0</v>
      </c>
      <c r="AA397" s="18"/>
      <c r="AB397" s="18">
        <f t="shared" si="53"/>
        <v>0</v>
      </c>
      <c r="AC397" s="18" t="str">
        <f t="shared" si="54"/>
        <v/>
      </c>
      <c r="AD397" s="18" t="str">
        <f t="shared" si="55"/>
        <v/>
      </c>
      <c r="AF397" t="str">
        <f>IFERROR(INDEX('Task Master'!$D:$D,MATCH($F397,'Task Master'!$C:$C,0)),"")</f>
        <v/>
      </c>
    </row>
    <row r="398" spans="1:32" x14ac:dyDescent="0.25">
      <c r="A398" t="str">
        <f t="shared" si="48"/>
        <v/>
      </c>
      <c r="B398" s="16"/>
      <c r="D398" t="str">
        <f>IF($C398="","",IFERROR(INDEX('Asset Register'!$B:$B,MATCH($C398,'Asset Register'!$A:$A,0)),""))</f>
        <v/>
      </c>
      <c r="H398" t="str">
        <f>IFERROR(INDEX('Task Master'!$E:$E,MATCH($F398&amp;"||"&amp;$G398,'Task Master'!$K:$K,0)),"")</f>
        <v/>
      </c>
      <c r="I398" t="str">
        <f>IFERROR(INDEX('Task Master'!$F:$F,MATCH($F398&amp;"||"&amp;$G398,'Task Master'!$K:$K,0)),"")</f>
        <v/>
      </c>
      <c r="J398" t="str">
        <f>IFERROR(INDEX('Task Master'!$H:$H,MATCH($F398&amp;"||"&amp;$G398,'Task Master'!$K:$K,0)),"")</f>
        <v/>
      </c>
      <c r="N398" s="18" t="str">
        <f t="shared" si="49"/>
        <v/>
      </c>
      <c r="R398" s="18">
        <f t="shared" si="50"/>
        <v>0</v>
      </c>
      <c r="V398" s="18">
        <f t="shared" si="51"/>
        <v>0</v>
      </c>
      <c r="Z398" s="18">
        <f t="shared" si="52"/>
        <v>0</v>
      </c>
      <c r="AA398" s="18"/>
      <c r="AB398" s="18">
        <f t="shared" si="53"/>
        <v>0</v>
      </c>
      <c r="AC398" s="18" t="str">
        <f t="shared" si="54"/>
        <v/>
      </c>
      <c r="AD398" s="18" t="str">
        <f t="shared" si="55"/>
        <v/>
      </c>
      <c r="AF398" t="str">
        <f>IFERROR(INDEX('Task Master'!$D:$D,MATCH($F398,'Task Master'!$C:$C,0)),"")</f>
        <v/>
      </c>
    </row>
    <row r="399" spans="1:32" x14ac:dyDescent="0.25">
      <c r="A399" t="str">
        <f t="shared" si="48"/>
        <v/>
      </c>
      <c r="B399" s="16"/>
      <c r="D399" t="str">
        <f>IF($C399="","",IFERROR(INDEX('Asset Register'!$B:$B,MATCH($C399,'Asset Register'!$A:$A,0)),""))</f>
        <v/>
      </c>
      <c r="H399" t="str">
        <f>IFERROR(INDEX('Task Master'!$E:$E,MATCH($F399&amp;"||"&amp;$G399,'Task Master'!$K:$K,0)),"")</f>
        <v/>
      </c>
      <c r="I399" t="str">
        <f>IFERROR(INDEX('Task Master'!$F:$F,MATCH($F399&amp;"||"&amp;$G399,'Task Master'!$K:$K,0)),"")</f>
        <v/>
      </c>
      <c r="J399" t="str">
        <f>IFERROR(INDEX('Task Master'!$H:$H,MATCH($F399&amp;"||"&amp;$G399,'Task Master'!$K:$K,0)),"")</f>
        <v/>
      </c>
      <c r="N399" s="18" t="str">
        <f t="shared" si="49"/>
        <v/>
      </c>
      <c r="R399" s="18">
        <f t="shared" si="50"/>
        <v>0</v>
      </c>
      <c r="V399" s="18">
        <f t="shared" si="51"/>
        <v>0</v>
      </c>
      <c r="Z399" s="18">
        <f t="shared" si="52"/>
        <v>0</v>
      </c>
      <c r="AA399" s="18"/>
      <c r="AB399" s="18">
        <f t="shared" si="53"/>
        <v>0</v>
      </c>
      <c r="AC399" s="18" t="str">
        <f t="shared" si="54"/>
        <v/>
      </c>
      <c r="AD399" s="18" t="str">
        <f t="shared" si="55"/>
        <v/>
      </c>
      <c r="AF399" t="str">
        <f>IFERROR(INDEX('Task Master'!$D:$D,MATCH($F399,'Task Master'!$C:$C,0)),"")</f>
        <v/>
      </c>
    </row>
    <row r="400" spans="1:32" x14ac:dyDescent="0.25">
      <c r="A400" t="str">
        <f t="shared" si="48"/>
        <v/>
      </c>
      <c r="B400" s="16"/>
      <c r="D400" t="str">
        <f>IF($C400="","",IFERROR(INDEX('Asset Register'!$B:$B,MATCH($C400,'Asset Register'!$A:$A,0)),""))</f>
        <v/>
      </c>
      <c r="H400" t="str">
        <f>IFERROR(INDEX('Task Master'!$E:$E,MATCH($F400&amp;"||"&amp;$G400,'Task Master'!$K:$K,0)),"")</f>
        <v/>
      </c>
      <c r="I400" t="str">
        <f>IFERROR(INDEX('Task Master'!$F:$F,MATCH($F400&amp;"||"&amp;$G400,'Task Master'!$K:$K,0)),"")</f>
        <v/>
      </c>
      <c r="J400" t="str">
        <f>IFERROR(INDEX('Task Master'!$H:$H,MATCH($F400&amp;"||"&amp;$G400,'Task Master'!$K:$K,0)),"")</f>
        <v/>
      </c>
      <c r="N400" s="18" t="str">
        <f t="shared" si="49"/>
        <v/>
      </c>
      <c r="R400" s="18">
        <f t="shared" si="50"/>
        <v>0</v>
      </c>
      <c r="V400" s="18">
        <f t="shared" si="51"/>
        <v>0</v>
      </c>
      <c r="Z400" s="18">
        <f t="shared" si="52"/>
        <v>0</v>
      </c>
      <c r="AA400" s="18"/>
      <c r="AB400" s="18">
        <f t="shared" si="53"/>
        <v>0</v>
      </c>
      <c r="AC400" s="18" t="str">
        <f t="shared" si="54"/>
        <v/>
      </c>
      <c r="AD400" s="18" t="str">
        <f t="shared" si="55"/>
        <v/>
      </c>
      <c r="AF400" t="str">
        <f>IFERROR(INDEX('Task Master'!$D:$D,MATCH($F400,'Task Master'!$C:$C,0)),"")</f>
        <v/>
      </c>
    </row>
    <row r="401" spans="1:32" x14ac:dyDescent="0.25">
      <c r="A401" t="str">
        <f t="shared" si="48"/>
        <v/>
      </c>
      <c r="B401" s="16"/>
      <c r="D401" t="str">
        <f>IF($C401="","",IFERROR(INDEX('Asset Register'!$B:$B,MATCH($C401,'Asset Register'!$A:$A,0)),""))</f>
        <v/>
      </c>
      <c r="H401" t="str">
        <f>IFERROR(INDEX('Task Master'!$E:$E,MATCH($F401&amp;"||"&amp;$G401,'Task Master'!$K:$K,0)),"")</f>
        <v/>
      </c>
      <c r="I401" t="str">
        <f>IFERROR(INDEX('Task Master'!$F:$F,MATCH($F401&amp;"||"&amp;$G401,'Task Master'!$K:$K,0)),"")</f>
        <v/>
      </c>
      <c r="J401" t="str">
        <f>IFERROR(INDEX('Task Master'!$H:$H,MATCH($F401&amp;"||"&amp;$G401,'Task Master'!$K:$K,0)),"")</f>
        <v/>
      </c>
      <c r="N401" s="18" t="str">
        <f t="shared" si="49"/>
        <v/>
      </c>
      <c r="R401" s="18">
        <f t="shared" si="50"/>
        <v>0</v>
      </c>
      <c r="V401" s="18">
        <f t="shared" si="51"/>
        <v>0</v>
      </c>
      <c r="Z401" s="18">
        <f t="shared" si="52"/>
        <v>0</v>
      </c>
      <c r="AA401" s="18"/>
      <c r="AB401" s="18">
        <f t="shared" si="53"/>
        <v>0</v>
      </c>
      <c r="AC401" s="18" t="str">
        <f t="shared" si="54"/>
        <v/>
      </c>
      <c r="AD401" s="18" t="str">
        <f t="shared" si="55"/>
        <v/>
      </c>
      <c r="AF401" t="str">
        <f>IFERROR(INDEX('Task Master'!$D:$D,MATCH($F401,'Task Master'!$C:$C,0)),"")</f>
        <v/>
      </c>
    </row>
    <row r="402" spans="1:32" x14ac:dyDescent="0.25">
      <c r="A402" t="str">
        <f t="shared" si="48"/>
        <v/>
      </c>
      <c r="B402" s="16"/>
      <c r="D402" t="str">
        <f>IF($C402="","",IFERROR(INDEX('Asset Register'!$B:$B,MATCH($C402,'Asset Register'!$A:$A,0)),""))</f>
        <v/>
      </c>
      <c r="H402" t="str">
        <f>IFERROR(INDEX('Task Master'!$E:$E,MATCH($F402&amp;"||"&amp;$G402,'Task Master'!$K:$K,0)),"")</f>
        <v/>
      </c>
      <c r="I402" t="str">
        <f>IFERROR(INDEX('Task Master'!$F:$F,MATCH($F402&amp;"||"&amp;$G402,'Task Master'!$K:$K,0)),"")</f>
        <v/>
      </c>
      <c r="J402" t="str">
        <f>IFERROR(INDEX('Task Master'!$H:$H,MATCH($F402&amp;"||"&amp;$G402,'Task Master'!$K:$K,0)),"")</f>
        <v/>
      </c>
      <c r="N402" s="18" t="str">
        <f t="shared" si="49"/>
        <v/>
      </c>
      <c r="R402" s="18">
        <f t="shared" si="50"/>
        <v>0</v>
      </c>
      <c r="V402" s="18">
        <f t="shared" si="51"/>
        <v>0</v>
      </c>
      <c r="Z402" s="18">
        <f t="shared" si="52"/>
        <v>0</v>
      </c>
      <c r="AA402" s="18"/>
      <c r="AB402" s="18">
        <f t="shared" si="53"/>
        <v>0</v>
      </c>
      <c r="AC402" s="18" t="str">
        <f t="shared" si="54"/>
        <v/>
      </c>
      <c r="AD402" s="18" t="str">
        <f t="shared" si="55"/>
        <v/>
      </c>
      <c r="AF402" t="str">
        <f>IFERROR(INDEX('Task Master'!$D:$D,MATCH($F402,'Task Master'!$C:$C,0)),"")</f>
        <v/>
      </c>
    </row>
    <row r="403" spans="1:32" x14ac:dyDescent="0.25">
      <c r="A403" t="str">
        <f t="shared" si="48"/>
        <v/>
      </c>
      <c r="B403" s="16"/>
      <c r="D403" t="str">
        <f>IF($C403="","",IFERROR(INDEX('Asset Register'!$B:$B,MATCH($C403,'Asset Register'!$A:$A,0)),""))</f>
        <v/>
      </c>
      <c r="H403" t="str">
        <f>IFERROR(INDEX('Task Master'!$E:$E,MATCH($F403&amp;"||"&amp;$G403,'Task Master'!$K:$K,0)),"")</f>
        <v/>
      </c>
      <c r="I403" t="str">
        <f>IFERROR(INDEX('Task Master'!$F:$F,MATCH($F403&amp;"||"&amp;$G403,'Task Master'!$K:$K,0)),"")</f>
        <v/>
      </c>
      <c r="J403" t="str">
        <f>IFERROR(INDEX('Task Master'!$H:$H,MATCH($F403&amp;"||"&amp;$G403,'Task Master'!$K:$K,0)),"")</f>
        <v/>
      </c>
      <c r="N403" s="18" t="str">
        <f t="shared" si="49"/>
        <v/>
      </c>
      <c r="R403" s="18">
        <f t="shared" si="50"/>
        <v>0</v>
      </c>
      <c r="V403" s="18">
        <f t="shared" si="51"/>
        <v>0</v>
      </c>
      <c r="Z403" s="18">
        <f t="shared" si="52"/>
        <v>0</v>
      </c>
      <c r="AA403" s="18"/>
      <c r="AB403" s="18">
        <f t="shared" si="53"/>
        <v>0</v>
      </c>
      <c r="AC403" s="18" t="str">
        <f t="shared" si="54"/>
        <v/>
      </c>
      <c r="AD403" s="18" t="str">
        <f t="shared" si="55"/>
        <v/>
      </c>
      <c r="AF403" t="str">
        <f>IFERROR(INDEX('Task Master'!$D:$D,MATCH($F403,'Task Master'!$C:$C,0)),"")</f>
        <v/>
      </c>
    </row>
    <row r="404" spans="1:32" x14ac:dyDescent="0.25">
      <c r="A404" t="str">
        <f t="shared" si="48"/>
        <v/>
      </c>
      <c r="B404" s="16"/>
      <c r="D404" t="str">
        <f>IF($C404="","",IFERROR(INDEX('Asset Register'!$B:$B,MATCH($C404,'Asset Register'!$A:$A,0)),""))</f>
        <v/>
      </c>
      <c r="H404" t="str">
        <f>IFERROR(INDEX('Task Master'!$E:$E,MATCH($F404&amp;"||"&amp;$G404,'Task Master'!$K:$K,0)),"")</f>
        <v/>
      </c>
      <c r="I404" t="str">
        <f>IFERROR(INDEX('Task Master'!$F:$F,MATCH($F404&amp;"||"&amp;$G404,'Task Master'!$K:$K,0)),"")</f>
        <v/>
      </c>
      <c r="J404" t="str">
        <f>IFERROR(INDEX('Task Master'!$H:$H,MATCH($F404&amp;"||"&amp;$G404,'Task Master'!$K:$K,0)),"")</f>
        <v/>
      </c>
      <c r="N404" s="18" t="str">
        <f t="shared" si="49"/>
        <v/>
      </c>
      <c r="R404" s="18">
        <f t="shared" si="50"/>
        <v>0</v>
      </c>
      <c r="V404" s="18">
        <f t="shared" si="51"/>
        <v>0</v>
      </c>
      <c r="Z404" s="18">
        <f t="shared" si="52"/>
        <v>0</v>
      </c>
      <c r="AA404" s="18"/>
      <c r="AB404" s="18">
        <f t="shared" si="53"/>
        <v>0</v>
      </c>
      <c r="AC404" s="18" t="str">
        <f t="shared" si="54"/>
        <v/>
      </c>
      <c r="AD404" s="18" t="str">
        <f t="shared" si="55"/>
        <v/>
      </c>
      <c r="AF404" t="str">
        <f>IFERROR(INDEX('Task Master'!$D:$D,MATCH($F404,'Task Master'!$C:$C,0)),"")</f>
        <v/>
      </c>
    </row>
    <row r="405" spans="1:32" x14ac:dyDescent="0.25">
      <c r="A405" t="str">
        <f t="shared" si="48"/>
        <v/>
      </c>
      <c r="B405" s="16"/>
      <c r="D405" t="str">
        <f>IF($C405="","",IFERROR(INDEX('Asset Register'!$B:$B,MATCH($C405,'Asset Register'!$A:$A,0)),""))</f>
        <v/>
      </c>
      <c r="H405" t="str">
        <f>IFERROR(INDEX('Task Master'!$E:$E,MATCH($F405&amp;"||"&amp;$G405,'Task Master'!$K:$K,0)),"")</f>
        <v/>
      </c>
      <c r="I405" t="str">
        <f>IFERROR(INDEX('Task Master'!$F:$F,MATCH($F405&amp;"||"&amp;$G405,'Task Master'!$K:$K,0)),"")</f>
        <v/>
      </c>
      <c r="J405" t="str">
        <f>IFERROR(INDEX('Task Master'!$H:$H,MATCH($F405&amp;"||"&amp;$G405,'Task Master'!$K:$K,0)),"")</f>
        <v/>
      </c>
      <c r="N405" s="18" t="str">
        <f t="shared" si="49"/>
        <v/>
      </c>
      <c r="R405" s="18">
        <f t="shared" si="50"/>
        <v>0</v>
      </c>
      <c r="V405" s="18">
        <f t="shared" si="51"/>
        <v>0</v>
      </c>
      <c r="Z405" s="18">
        <f t="shared" si="52"/>
        <v>0</v>
      </c>
      <c r="AA405" s="18"/>
      <c r="AB405" s="18">
        <f t="shared" si="53"/>
        <v>0</v>
      </c>
      <c r="AC405" s="18" t="str">
        <f t="shared" si="54"/>
        <v/>
      </c>
      <c r="AD405" s="18" t="str">
        <f t="shared" si="55"/>
        <v/>
      </c>
      <c r="AF405" t="str">
        <f>IFERROR(INDEX('Task Master'!$D:$D,MATCH($F405,'Task Master'!$C:$C,0)),"")</f>
        <v/>
      </c>
    </row>
    <row r="406" spans="1:32" x14ac:dyDescent="0.25">
      <c r="A406" t="str">
        <f t="shared" si="48"/>
        <v/>
      </c>
      <c r="B406" s="16"/>
      <c r="D406" t="str">
        <f>IF($C406="","",IFERROR(INDEX('Asset Register'!$B:$B,MATCH($C406,'Asset Register'!$A:$A,0)),""))</f>
        <v/>
      </c>
      <c r="H406" t="str">
        <f>IFERROR(INDEX('Task Master'!$E:$E,MATCH($F406&amp;"||"&amp;$G406,'Task Master'!$K:$K,0)),"")</f>
        <v/>
      </c>
      <c r="I406" t="str">
        <f>IFERROR(INDEX('Task Master'!$F:$F,MATCH($F406&amp;"||"&amp;$G406,'Task Master'!$K:$K,0)),"")</f>
        <v/>
      </c>
      <c r="J406" t="str">
        <f>IFERROR(INDEX('Task Master'!$H:$H,MATCH($F406&amp;"||"&amp;$G406,'Task Master'!$K:$K,0)),"")</f>
        <v/>
      </c>
      <c r="N406" s="18" t="str">
        <f t="shared" si="49"/>
        <v/>
      </c>
      <c r="R406" s="18">
        <f t="shared" si="50"/>
        <v>0</v>
      </c>
      <c r="V406" s="18">
        <f t="shared" si="51"/>
        <v>0</v>
      </c>
      <c r="Z406" s="18">
        <f t="shared" si="52"/>
        <v>0</v>
      </c>
      <c r="AA406" s="18"/>
      <c r="AB406" s="18">
        <f t="shared" si="53"/>
        <v>0</v>
      </c>
      <c r="AC406" s="18" t="str">
        <f t="shared" si="54"/>
        <v/>
      </c>
      <c r="AD406" s="18" t="str">
        <f t="shared" si="55"/>
        <v/>
      </c>
      <c r="AF406" t="str">
        <f>IFERROR(INDEX('Task Master'!$D:$D,MATCH($F406,'Task Master'!$C:$C,0)),"")</f>
        <v/>
      </c>
    </row>
    <row r="407" spans="1:32" x14ac:dyDescent="0.25">
      <c r="A407" t="str">
        <f t="shared" si="48"/>
        <v/>
      </c>
      <c r="B407" s="16"/>
      <c r="D407" t="str">
        <f>IF($C407="","",IFERROR(INDEX('Asset Register'!$B:$B,MATCH($C407,'Asset Register'!$A:$A,0)),""))</f>
        <v/>
      </c>
      <c r="H407" t="str">
        <f>IFERROR(INDEX('Task Master'!$E:$E,MATCH($F407&amp;"||"&amp;$G407,'Task Master'!$K:$K,0)),"")</f>
        <v/>
      </c>
      <c r="I407" t="str">
        <f>IFERROR(INDEX('Task Master'!$F:$F,MATCH($F407&amp;"||"&amp;$G407,'Task Master'!$K:$K,0)),"")</f>
        <v/>
      </c>
      <c r="J407" t="str">
        <f>IFERROR(INDEX('Task Master'!$H:$H,MATCH($F407&amp;"||"&amp;$G407,'Task Master'!$K:$K,0)),"")</f>
        <v/>
      </c>
      <c r="N407" s="18" t="str">
        <f t="shared" si="49"/>
        <v/>
      </c>
      <c r="R407" s="18">
        <f t="shared" si="50"/>
        <v>0</v>
      </c>
      <c r="V407" s="18">
        <f t="shared" si="51"/>
        <v>0</v>
      </c>
      <c r="Z407" s="18">
        <f t="shared" si="52"/>
        <v>0</v>
      </c>
      <c r="AA407" s="18"/>
      <c r="AB407" s="18">
        <f t="shared" si="53"/>
        <v>0</v>
      </c>
      <c r="AC407" s="18" t="str">
        <f t="shared" si="54"/>
        <v/>
      </c>
      <c r="AD407" s="18" t="str">
        <f t="shared" si="55"/>
        <v/>
      </c>
      <c r="AF407" t="str">
        <f>IFERROR(INDEX('Task Master'!$D:$D,MATCH($F407,'Task Master'!$C:$C,0)),"")</f>
        <v/>
      </c>
    </row>
    <row r="408" spans="1:32" x14ac:dyDescent="0.25">
      <c r="A408" t="str">
        <f t="shared" si="48"/>
        <v/>
      </c>
      <c r="B408" s="16"/>
      <c r="D408" t="str">
        <f>IF($C408="","",IFERROR(INDEX('Asset Register'!$B:$B,MATCH($C408,'Asset Register'!$A:$A,0)),""))</f>
        <v/>
      </c>
      <c r="H408" t="str">
        <f>IFERROR(INDEX('Task Master'!$E:$E,MATCH($F408&amp;"||"&amp;$G408,'Task Master'!$K:$K,0)),"")</f>
        <v/>
      </c>
      <c r="I408" t="str">
        <f>IFERROR(INDEX('Task Master'!$F:$F,MATCH($F408&amp;"||"&amp;$G408,'Task Master'!$K:$K,0)),"")</f>
        <v/>
      </c>
      <c r="J408" t="str">
        <f>IFERROR(INDEX('Task Master'!$H:$H,MATCH($F408&amp;"||"&amp;$G408,'Task Master'!$K:$K,0)),"")</f>
        <v/>
      </c>
      <c r="N408" s="18" t="str">
        <f t="shared" si="49"/>
        <v/>
      </c>
      <c r="R408" s="18">
        <f t="shared" si="50"/>
        <v>0</v>
      </c>
      <c r="V408" s="18">
        <f t="shared" si="51"/>
        <v>0</v>
      </c>
      <c r="Z408" s="18">
        <f t="shared" si="52"/>
        <v>0</v>
      </c>
      <c r="AA408" s="18"/>
      <c r="AB408" s="18">
        <f t="shared" si="53"/>
        <v>0</v>
      </c>
      <c r="AC408" s="18" t="str">
        <f t="shared" si="54"/>
        <v/>
      </c>
      <c r="AD408" s="18" t="str">
        <f t="shared" si="55"/>
        <v/>
      </c>
      <c r="AF408" t="str">
        <f>IFERROR(INDEX('Task Master'!$D:$D,MATCH($F408,'Task Master'!$C:$C,0)),"")</f>
        <v/>
      </c>
    </row>
    <row r="409" spans="1:32" x14ac:dyDescent="0.25">
      <c r="A409" t="str">
        <f t="shared" si="48"/>
        <v/>
      </c>
      <c r="B409" s="16"/>
      <c r="D409" t="str">
        <f>IF($C409="","",IFERROR(INDEX('Asset Register'!$B:$B,MATCH($C409,'Asset Register'!$A:$A,0)),""))</f>
        <v/>
      </c>
      <c r="H409" t="str">
        <f>IFERROR(INDEX('Task Master'!$E:$E,MATCH($F409&amp;"||"&amp;$G409,'Task Master'!$K:$K,0)),"")</f>
        <v/>
      </c>
      <c r="I409" t="str">
        <f>IFERROR(INDEX('Task Master'!$F:$F,MATCH($F409&amp;"||"&amp;$G409,'Task Master'!$K:$K,0)),"")</f>
        <v/>
      </c>
      <c r="J409" t="str">
        <f>IFERROR(INDEX('Task Master'!$H:$H,MATCH($F409&amp;"||"&amp;$G409,'Task Master'!$K:$K,0)),"")</f>
        <v/>
      </c>
      <c r="N409" s="18" t="str">
        <f t="shared" si="49"/>
        <v/>
      </c>
      <c r="R409" s="18">
        <f t="shared" si="50"/>
        <v>0</v>
      </c>
      <c r="V409" s="18">
        <f t="shared" si="51"/>
        <v>0</v>
      </c>
      <c r="Z409" s="18">
        <f t="shared" si="52"/>
        <v>0</v>
      </c>
      <c r="AA409" s="18"/>
      <c r="AB409" s="18">
        <f t="shared" si="53"/>
        <v>0</v>
      </c>
      <c r="AC409" s="18" t="str">
        <f t="shared" si="54"/>
        <v/>
      </c>
      <c r="AD409" s="18" t="str">
        <f t="shared" si="55"/>
        <v/>
      </c>
      <c r="AF409" t="str">
        <f>IFERROR(INDEX('Task Master'!$D:$D,MATCH($F409,'Task Master'!$C:$C,0)),"")</f>
        <v/>
      </c>
    </row>
    <row r="410" spans="1:32" x14ac:dyDescent="0.25">
      <c r="A410" t="str">
        <f t="shared" si="48"/>
        <v/>
      </c>
      <c r="B410" s="16"/>
      <c r="D410" t="str">
        <f>IF($C410="","",IFERROR(INDEX('Asset Register'!$B:$B,MATCH($C410,'Asset Register'!$A:$A,0)),""))</f>
        <v/>
      </c>
      <c r="H410" t="str">
        <f>IFERROR(INDEX('Task Master'!$E:$E,MATCH($F410&amp;"||"&amp;$G410,'Task Master'!$K:$K,0)),"")</f>
        <v/>
      </c>
      <c r="I410" t="str">
        <f>IFERROR(INDEX('Task Master'!$F:$F,MATCH($F410&amp;"||"&amp;$G410,'Task Master'!$K:$K,0)),"")</f>
        <v/>
      </c>
      <c r="J410" t="str">
        <f>IFERROR(INDEX('Task Master'!$H:$H,MATCH($F410&amp;"||"&amp;$G410,'Task Master'!$K:$K,0)),"")</f>
        <v/>
      </c>
      <c r="N410" s="18" t="str">
        <f t="shared" si="49"/>
        <v/>
      </c>
      <c r="R410" s="18">
        <f t="shared" si="50"/>
        <v>0</v>
      </c>
      <c r="V410" s="18">
        <f t="shared" si="51"/>
        <v>0</v>
      </c>
      <c r="Z410" s="18">
        <f t="shared" si="52"/>
        <v>0</v>
      </c>
      <c r="AA410" s="18"/>
      <c r="AB410" s="18">
        <f t="shared" si="53"/>
        <v>0</v>
      </c>
      <c r="AC410" s="18" t="str">
        <f t="shared" si="54"/>
        <v/>
      </c>
      <c r="AD410" s="18" t="str">
        <f t="shared" si="55"/>
        <v/>
      </c>
      <c r="AF410" t="str">
        <f>IFERROR(INDEX('Task Master'!$D:$D,MATCH($F410,'Task Master'!$C:$C,0)),"")</f>
        <v/>
      </c>
    </row>
    <row r="411" spans="1:32" x14ac:dyDescent="0.25">
      <c r="A411" t="str">
        <f t="shared" si="48"/>
        <v/>
      </c>
      <c r="B411" s="16"/>
      <c r="D411" t="str">
        <f>IF($C411="","",IFERROR(INDEX('Asset Register'!$B:$B,MATCH($C411,'Asset Register'!$A:$A,0)),""))</f>
        <v/>
      </c>
      <c r="H411" t="str">
        <f>IFERROR(INDEX('Task Master'!$E:$E,MATCH($F411&amp;"||"&amp;$G411,'Task Master'!$K:$K,0)),"")</f>
        <v/>
      </c>
      <c r="I411" t="str">
        <f>IFERROR(INDEX('Task Master'!$F:$F,MATCH($F411&amp;"||"&amp;$G411,'Task Master'!$K:$K,0)),"")</f>
        <v/>
      </c>
      <c r="J411" t="str">
        <f>IFERROR(INDEX('Task Master'!$H:$H,MATCH($F411&amp;"||"&amp;$G411,'Task Master'!$K:$K,0)),"")</f>
        <v/>
      </c>
      <c r="N411" s="18" t="str">
        <f t="shared" si="49"/>
        <v/>
      </c>
      <c r="R411" s="18">
        <f t="shared" si="50"/>
        <v>0</v>
      </c>
      <c r="V411" s="18">
        <f t="shared" si="51"/>
        <v>0</v>
      </c>
      <c r="Z411" s="18">
        <f t="shared" si="52"/>
        <v>0</v>
      </c>
      <c r="AA411" s="18"/>
      <c r="AB411" s="18">
        <f t="shared" si="53"/>
        <v>0</v>
      </c>
      <c r="AC411" s="18" t="str">
        <f t="shared" si="54"/>
        <v/>
      </c>
      <c r="AD411" s="18" t="str">
        <f t="shared" si="55"/>
        <v/>
      </c>
      <c r="AF411" t="str">
        <f>IFERROR(INDEX('Task Master'!$D:$D,MATCH($F411,'Task Master'!$C:$C,0)),"")</f>
        <v/>
      </c>
    </row>
    <row r="412" spans="1:32" x14ac:dyDescent="0.25">
      <c r="A412" t="str">
        <f t="shared" si="48"/>
        <v/>
      </c>
      <c r="B412" s="16"/>
      <c r="D412" t="str">
        <f>IF($C412="","",IFERROR(INDEX('Asset Register'!$B:$B,MATCH($C412,'Asset Register'!$A:$A,0)),""))</f>
        <v/>
      </c>
      <c r="H412" t="str">
        <f>IFERROR(INDEX('Task Master'!$E:$E,MATCH($F412&amp;"||"&amp;$G412,'Task Master'!$K:$K,0)),"")</f>
        <v/>
      </c>
      <c r="I412" t="str">
        <f>IFERROR(INDEX('Task Master'!$F:$F,MATCH($F412&amp;"||"&amp;$G412,'Task Master'!$K:$K,0)),"")</f>
        <v/>
      </c>
      <c r="J412" t="str">
        <f>IFERROR(INDEX('Task Master'!$H:$H,MATCH($F412&amp;"||"&amp;$G412,'Task Master'!$K:$K,0)),"")</f>
        <v/>
      </c>
      <c r="N412" s="18" t="str">
        <f t="shared" si="49"/>
        <v/>
      </c>
      <c r="R412" s="18">
        <f t="shared" si="50"/>
        <v>0</v>
      </c>
      <c r="V412" s="18">
        <f t="shared" si="51"/>
        <v>0</v>
      </c>
      <c r="Z412" s="18">
        <f t="shared" si="52"/>
        <v>0</v>
      </c>
      <c r="AA412" s="18"/>
      <c r="AB412" s="18">
        <f t="shared" si="53"/>
        <v>0</v>
      </c>
      <c r="AC412" s="18" t="str">
        <f t="shared" si="54"/>
        <v/>
      </c>
      <c r="AD412" s="18" t="str">
        <f t="shared" si="55"/>
        <v/>
      </c>
      <c r="AF412" t="str">
        <f>IFERROR(INDEX('Task Master'!$D:$D,MATCH($F412,'Task Master'!$C:$C,0)),"")</f>
        <v/>
      </c>
    </row>
    <row r="413" spans="1:32" x14ac:dyDescent="0.25">
      <c r="A413" t="str">
        <f t="shared" si="48"/>
        <v/>
      </c>
      <c r="B413" s="16"/>
      <c r="D413" t="str">
        <f>IF($C413="","",IFERROR(INDEX('Asset Register'!$B:$B,MATCH($C413,'Asset Register'!$A:$A,0)),""))</f>
        <v/>
      </c>
      <c r="H413" t="str">
        <f>IFERROR(INDEX('Task Master'!$E:$E,MATCH($F413&amp;"||"&amp;$G413,'Task Master'!$K:$K,0)),"")</f>
        <v/>
      </c>
      <c r="I413" t="str">
        <f>IFERROR(INDEX('Task Master'!$F:$F,MATCH($F413&amp;"||"&amp;$G413,'Task Master'!$K:$K,0)),"")</f>
        <v/>
      </c>
      <c r="J413" t="str">
        <f>IFERROR(INDEX('Task Master'!$H:$H,MATCH($F413&amp;"||"&amp;$G413,'Task Master'!$K:$K,0)),"")</f>
        <v/>
      </c>
      <c r="N413" s="18" t="str">
        <f t="shared" si="49"/>
        <v/>
      </c>
      <c r="R413" s="18">
        <f t="shared" si="50"/>
        <v>0</v>
      </c>
      <c r="V413" s="18">
        <f t="shared" si="51"/>
        <v>0</v>
      </c>
      <c r="Z413" s="18">
        <f t="shared" si="52"/>
        <v>0</v>
      </c>
      <c r="AA413" s="18"/>
      <c r="AB413" s="18">
        <f t="shared" si="53"/>
        <v>0</v>
      </c>
      <c r="AC413" s="18" t="str">
        <f t="shared" si="54"/>
        <v/>
      </c>
      <c r="AD413" s="18" t="str">
        <f t="shared" si="55"/>
        <v/>
      </c>
      <c r="AF413" t="str">
        <f>IFERROR(INDEX('Task Master'!$D:$D,MATCH($F413,'Task Master'!$C:$C,0)),"")</f>
        <v/>
      </c>
    </row>
    <row r="414" spans="1:32" x14ac:dyDescent="0.25">
      <c r="A414" t="str">
        <f t="shared" si="48"/>
        <v/>
      </c>
      <c r="B414" s="16"/>
      <c r="D414" t="str">
        <f>IF($C414="","",IFERROR(INDEX('Asset Register'!$B:$B,MATCH($C414,'Asset Register'!$A:$A,0)),""))</f>
        <v/>
      </c>
      <c r="H414" t="str">
        <f>IFERROR(INDEX('Task Master'!$E:$E,MATCH($F414&amp;"||"&amp;$G414,'Task Master'!$K:$K,0)),"")</f>
        <v/>
      </c>
      <c r="I414" t="str">
        <f>IFERROR(INDEX('Task Master'!$F:$F,MATCH($F414&amp;"||"&amp;$G414,'Task Master'!$K:$K,0)),"")</f>
        <v/>
      </c>
      <c r="J414" t="str">
        <f>IFERROR(INDEX('Task Master'!$H:$H,MATCH($F414&amp;"||"&amp;$G414,'Task Master'!$K:$K,0)),"")</f>
        <v/>
      </c>
      <c r="N414" s="18" t="str">
        <f t="shared" si="49"/>
        <v/>
      </c>
      <c r="R414" s="18">
        <f t="shared" si="50"/>
        <v>0</v>
      </c>
      <c r="V414" s="18">
        <f t="shared" si="51"/>
        <v>0</v>
      </c>
      <c r="Z414" s="18">
        <f t="shared" si="52"/>
        <v>0</v>
      </c>
      <c r="AA414" s="18"/>
      <c r="AB414" s="18">
        <f t="shared" si="53"/>
        <v>0</v>
      </c>
      <c r="AC414" s="18" t="str">
        <f t="shared" si="54"/>
        <v/>
      </c>
      <c r="AD414" s="18" t="str">
        <f t="shared" si="55"/>
        <v/>
      </c>
      <c r="AF414" t="str">
        <f>IFERROR(INDEX('Task Master'!$D:$D,MATCH($F414,'Task Master'!$C:$C,0)),"")</f>
        <v/>
      </c>
    </row>
    <row r="415" spans="1:32" x14ac:dyDescent="0.25">
      <c r="A415" t="str">
        <f t="shared" si="48"/>
        <v/>
      </c>
      <c r="B415" s="16"/>
      <c r="D415" t="str">
        <f>IF($C415="","",IFERROR(INDEX('Asset Register'!$B:$B,MATCH($C415,'Asset Register'!$A:$A,0)),""))</f>
        <v/>
      </c>
      <c r="H415" t="str">
        <f>IFERROR(INDEX('Task Master'!$E:$E,MATCH($F415&amp;"||"&amp;$G415,'Task Master'!$K:$K,0)),"")</f>
        <v/>
      </c>
      <c r="I415" t="str">
        <f>IFERROR(INDEX('Task Master'!$F:$F,MATCH($F415&amp;"||"&amp;$G415,'Task Master'!$K:$K,0)),"")</f>
        <v/>
      </c>
      <c r="J415" t="str">
        <f>IFERROR(INDEX('Task Master'!$H:$H,MATCH($F415&amp;"||"&amp;$G415,'Task Master'!$K:$K,0)),"")</f>
        <v/>
      </c>
      <c r="N415" s="18" t="str">
        <f t="shared" si="49"/>
        <v/>
      </c>
      <c r="R415" s="18">
        <f t="shared" si="50"/>
        <v>0</v>
      </c>
      <c r="V415" s="18">
        <f t="shared" si="51"/>
        <v>0</v>
      </c>
      <c r="Z415" s="18">
        <f t="shared" si="52"/>
        <v>0</v>
      </c>
      <c r="AA415" s="18"/>
      <c r="AB415" s="18">
        <f t="shared" si="53"/>
        <v>0</v>
      </c>
      <c r="AC415" s="18" t="str">
        <f t="shared" si="54"/>
        <v/>
      </c>
      <c r="AD415" s="18" t="str">
        <f t="shared" si="55"/>
        <v/>
      </c>
      <c r="AF415" t="str">
        <f>IFERROR(INDEX('Task Master'!$D:$D,MATCH($F415,'Task Master'!$C:$C,0)),"")</f>
        <v/>
      </c>
    </row>
    <row r="416" spans="1:32" x14ac:dyDescent="0.25">
      <c r="A416" t="str">
        <f t="shared" si="48"/>
        <v/>
      </c>
      <c r="B416" s="16"/>
      <c r="D416" t="str">
        <f>IF($C416="","",IFERROR(INDEX('Asset Register'!$B:$B,MATCH($C416,'Asset Register'!$A:$A,0)),""))</f>
        <v/>
      </c>
      <c r="H416" t="str">
        <f>IFERROR(INDEX('Task Master'!$E:$E,MATCH($F416&amp;"||"&amp;$G416,'Task Master'!$K:$K,0)),"")</f>
        <v/>
      </c>
      <c r="I416" t="str">
        <f>IFERROR(INDEX('Task Master'!$F:$F,MATCH($F416&amp;"||"&amp;$G416,'Task Master'!$K:$K,0)),"")</f>
        <v/>
      </c>
      <c r="J416" t="str">
        <f>IFERROR(INDEX('Task Master'!$H:$H,MATCH($F416&amp;"||"&amp;$G416,'Task Master'!$K:$K,0)),"")</f>
        <v/>
      </c>
      <c r="N416" s="18" t="str">
        <f t="shared" si="49"/>
        <v/>
      </c>
      <c r="R416" s="18">
        <f t="shared" si="50"/>
        <v>0</v>
      </c>
      <c r="V416" s="18">
        <f t="shared" si="51"/>
        <v>0</v>
      </c>
      <c r="Z416" s="18">
        <f t="shared" si="52"/>
        <v>0</v>
      </c>
      <c r="AA416" s="18"/>
      <c r="AB416" s="18">
        <f t="shared" si="53"/>
        <v>0</v>
      </c>
      <c r="AC416" s="18" t="str">
        <f t="shared" si="54"/>
        <v/>
      </c>
      <c r="AD416" s="18" t="str">
        <f t="shared" si="55"/>
        <v/>
      </c>
      <c r="AF416" t="str">
        <f>IFERROR(INDEX('Task Master'!$D:$D,MATCH($F416,'Task Master'!$C:$C,0)),"")</f>
        <v/>
      </c>
    </row>
    <row r="417" spans="1:32" x14ac:dyDescent="0.25">
      <c r="A417" t="str">
        <f t="shared" si="48"/>
        <v/>
      </c>
      <c r="B417" s="16"/>
      <c r="D417" t="str">
        <f>IF($C417="","",IFERROR(INDEX('Asset Register'!$B:$B,MATCH($C417,'Asset Register'!$A:$A,0)),""))</f>
        <v/>
      </c>
      <c r="H417" t="str">
        <f>IFERROR(INDEX('Task Master'!$E:$E,MATCH($F417&amp;"||"&amp;$G417,'Task Master'!$K:$K,0)),"")</f>
        <v/>
      </c>
      <c r="I417" t="str">
        <f>IFERROR(INDEX('Task Master'!$F:$F,MATCH($F417&amp;"||"&amp;$G417,'Task Master'!$K:$K,0)),"")</f>
        <v/>
      </c>
      <c r="J417" t="str">
        <f>IFERROR(INDEX('Task Master'!$H:$H,MATCH($F417&amp;"||"&amp;$G417,'Task Master'!$K:$K,0)),"")</f>
        <v/>
      </c>
      <c r="N417" s="18" t="str">
        <f t="shared" si="49"/>
        <v/>
      </c>
      <c r="R417" s="18">
        <f t="shared" si="50"/>
        <v>0</v>
      </c>
      <c r="V417" s="18">
        <f t="shared" si="51"/>
        <v>0</v>
      </c>
      <c r="Z417" s="18">
        <f t="shared" si="52"/>
        <v>0</v>
      </c>
      <c r="AA417" s="18"/>
      <c r="AB417" s="18">
        <f t="shared" si="53"/>
        <v>0</v>
      </c>
      <c r="AC417" s="18" t="str">
        <f t="shared" si="54"/>
        <v/>
      </c>
      <c r="AD417" s="18" t="str">
        <f t="shared" si="55"/>
        <v/>
      </c>
      <c r="AF417" t="str">
        <f>IFERROR(INDEX('Task Master'!$D:$D,MATCH($F417,'Task Master'!$C:$C,0)),"")</f>
        <v/>
      </c>
    </row>
    <row r="418" spans="1:32" x14ac:dyDescent="0.25">
      <c r="A418" t="str">
        <f t="shared" si="48"/>
        <v/>
      </c>
      <c r="B418" s="16"/>
      <c r="D418" t="str">
        <f>IF($C418="","",IFERROR(INDEX('Asset Register'!$B:$B,MATCH($C418,'Asset Register'!$A:$A,0)),""))</f>
        <v/>
      </c>
      <c r="H418" t="str">
        <f>IFERROR(INDEX('Task Master'!$E:$E,MATCH($F418&amp;"||"&amp;$G418,'Task Master'!$K:$K,0)),"")</f>
        <v/>
      </c>
      <c r="I418" t="str">
        <f>IFERROR(INDEX('Task Master'!$F:$F,MATCH($F418&amp;"||"&amp;$G418,'Task Master'!$K:$K,0)),"")</f>
        <v/>
      </c>
      <c r="J418" t="str">
        <f>IFERROR(INDEX('Task Master'!$H:$H,MATCH($F418&amp;"||"&amp;$G418,'Task Master'!$K:$K,0)),"")</f>
        <v/>
      </c>
      <c r="N418" s="18" t="str">
        <f t="shared" si="49"/>
        <v/>
      </c>
      <c r="R418" s="18">
        <f t="shared" si="50"/>
        <v>0</v>
      </c>
      <c r="V418" s="18">
        <f t="shared" si="51"/>
        <v>0</v>
      </c>
      <c r="Z418" s="18">
        <f t="shared" si="52"/>
        <v>0</v>
      </c>
      <c r="AA418" s="18"/>
      <c r="AB418" s="18">
        <f t="shared" si="53"/>
        <v>0</v>
      </c>
      <c r="AC418" s="18" t="str">
        <f t="shared" si="54"/>
        <v/>
      </c>
      <c r="AD418" s="18" t="str">
        <f t="shared" si="55"/>
        <v/>
      </c>
      <c r="AF418" t="str">
        <f>IFERROR(INDEX('Task Master'!$D:$D,MATCH($F418,'Task Master'!$C:$C,0)),"")</f>
        <v/>
      </c>
    </row>
    <row r="419" spans="1:32" x14ac:dyDescent="0.25">
      <c r="A419" t="str">
        <f t="shared" si="48"/>
        <v/>
      </c>
      <c r="B419" s="16"/>
      <c r="D419" t="str">
        <f>IF($C419="","",IFERROR(INDEX('Asset Register'!$B:$B,MATCH($C419,'Asset Register'!$A:$A,0)),""))</f>
        <v/>
      </c>
      <c r="H419" t="str">
        <f>IFERROR(INDEX('Task Master'!$E:$E,MATCH($F419&amp;"||"&amp;$G419,'Task Master'!$K:$K,0)),"")</f>
        <v/>
      </c>
      <c r="I419" t="str">
        <f>IFERROR(INDEX('Task Master'!$F:$F,MATCH($F419&amp;"||"&amp;$G419,'Task Master'!$K:$K,0)),"")</f>
        <v/>
      </c>
      <c r="J419" t="str">
        <f>IFERROR(INDEX('Task Master'!$H:$H,MATCH($F419&amp;"||"&amp;$G419,'Task Master'!$K:$K,0)),"")</f>
        <v/>
      </c>
      <c r="N419" s="18" t="str">
        <f t="shared" si="49"/>
        <v/>
      </c>
      <c r="R419" s="18">
        <f t="shared" si="50"/>
        <v>0</v>
      </c>
      <c r="V419" s="18">
        <f t="shared" si="51"/>
        <v>0</v>
      </c>
      <c r="Z419" s="18">
        <f t="shared" si="52"/>
        <v>0</v>
      </c>
      <c r="AA419" s="18"/>
      <c r="AB419" s="18">
        <f t="shared" si="53"/>
        <v>0</v>
      </c>
      <c r="AC419" s="18" t="str">
        <f t="shared" si="54"/>
        <v/>
      </c>
      <c r="AD419" s="18" t="str">
        <f t="shared" si="55"/>
        <v/>
      </c>
      <c r="AF419" t="str">
        <f>IFERROR(INDEX('Task Master'!$D:$D,MATCH($F419,'Task Master'!$C:$C,0)),"")</f>
        <v/>
      </c>
    </row>
    <row r="420" spans="1:32" x14ac:dyDescent="0.25">
      <c r="A420" t="str">
        <f t="shared" si="48"/>
        <v/>
      </c>
      <c r="B420" s="16"/>
      <c r="D420" t="str">
        <f>IF($C420="","",IFERROR(INDEX('Asset Register'!$B:$B,MATCH($C420,'Asset Register'!$A:$A,0)),""))</f>
        <v/>
      </c>
      <c r="H420" t="str">
        <f>IFERROR(INDEX('Task Master'!$E:$E,MATCH($F420&amp;"||"&amp;$G420,'Task Master'!$K:$K,0)),"")</f>
        <v/>
      </c>
      <c r="I420" t="str">
        <f>IFERROR(INDEX('Task Master'!$F:$F,MATCH($F420&amp;"||"&amp;$G420,'Task Master'!$K:$K,0)),"")</f>
        <v/>
      </c>
      <c r="J420" t="str">
        <f>IFERROR(INDEX('Task Master'!$H:$H,MATCH($F420&amp;"||"&amp;$G420,'Task Master'!$K:$K,0)),"")</f>
        <v/>
      </c>
      <c r="N420" s="18" t="str">
        <f t="shared" si="49"/>
        <v/>
      </c>
      <c r="R420" s="18">
        <f t="shared" si="50"/>
        <v>0</v>
      </c>
      <c r="V420" s="18">
        <f t="shared" si="51"/>
        <v>0</v>
      </c>
      <c r="Z420" s="18">
        <f t="shared" si="52"/>
        <v>0</v>
      </c>
      <c r="AA420" s="18"/>
      <c r="AB420" s="18">
        <f t="shared" si="53"/>
        <v>0</v>
      </c>
      <c r="AC420" s="18" t="str">
        <f t="shared" si="54"/>
        <v/>
      </c>
      <c r="AD420" s="18" t="str">
        <f t="shared" si="55"/>
        <v/>
      </c>
      <c r="AF420" t="str">
        <f>IFERROR(INDEX('Task Master'!$D:$D,MATCH($F420,'Task Master'!$C:$C,0)),"")</f>
        <v/>
      </c>
    </row>
    <row r="421" spans="1:32" x14ac:dyDescent="0.25">
      <c r="A421" t="str">
        <f t="shared" si="48"/>
        <v/>
      </c>
      <c r="B421" s="16"/>
      <c r="D421" t="str">
        <f>IF($C421="","",IFERROR(INDEX('Asset Register'!$B:$B,MATCH($C421,'Asset Register'!$A:$A,0)),""))</f>
        <v/>
      </c>
      <c r="H421" t="str">
        <f>IFERROR(INDEX('Task Master'!$E:$E,MATCH($F421&amp;"||"&amp;$G421,'Task Master'!$K:$K,0)),"")</f>
        <v/>
      </c>
      <c r="I421" t="str">
        <f>IFERROR(INDEX('Task Master'!$F:$F,MATCH($F421&amp;"||"&amp;$G421,'Task Master'!$K:$K,0)),"")</f>
        <v/>
      </c>
      <c r="J421" t="str">
        <f>IFERROR(INDEX('Task Master'!$H:$H,MATCH($F421&amp;"||"&amp;$G421,'Task Master'!$K:$K,0)),"")</f>
        <v/>
      </c>
      <c r="N421" s="18" t="str">
        <f t="shared" si="49"/>
        <v/>
      </c>
      <c r="R421" s="18">
        <f t="shared" si="50"/>
        <v>0</v>
      </c>
      <c r="V421" s="18">
        <f t="shared" si="51"/>
        <v>0</v>
      </c>
      <c r="Z421" s="18">
        <f t="shared" si="52"/>
        <v>0</v>
      </c>
      <c r="AA421" s="18"/>
      <c r="AB421" s="18">
        <f t="shared" si="53"/>
        <v>0</v>
      </c>
      <c r="AC421" s="18" t="str">
        <f t="shared" si="54"/>
        <v/>
      </c>
      <c r="AD421" s="18" t="str">
        <f t="shared" si="55"/>
        <v/>
      </c>
      <c r="AF421" t="str">
        <f>IFERROR(INDEX('Task Master'!$D:$D,MATCH($F421,'Task Master'!$C:$C,0)),"")</f>
        <v/>
      </c>
    </row>
    <row r="422" spans="1:32" x14ac:dyDescent="0.25">
      <c r="A422" t="str">
        <f t="shared" si="48"/>
        <v/>
      </c>
      <c r="B422" s="16"/>
      <c r="D422" t="str">
        <f>IF($C422="","",IFERROR(INDEX('Asset Register'!$B:$B,MATCH($C422,'Asset Register'!$A:$A,0)),""))</f>
        <v/>
      </c>
      <c r="H422" t="str">
        <f>IFERROR(INDEX('Task Master'!$E:$E,MATCH($F422&amp;"||"&amp;$G422,'Task Master'!$K:$K,0)),"")</f>
        <v/>
      </c>
      <c r="I422" t="str">
        <f>IFERROR(INDEX('Task Master'!$F:$F,MATCH($F422&amp;"||"&amp;$G422,'Task Master'!$K:$K,0)),"")</f>
        <v/>
      </c>
      <c r="J422" t="str">
        <f>IFERROR(INDEX('Task Master'!$H:$H,MATCH($F422&amp;"||"&amp;$G422,'Task Master'!$K:$K,0)),"")</f>
        <v/>
      </c>
      <c r="N422" s="18" t="str">
        <f t="shared" si="49"/>
        <v/>
      </c>
      <c r="R422" s="18">
        <f t="shared" si="50"/>
        <v>0</v>
      </c>
      <c r="V422" s="18">
        <f t="shared" si="51"/>
        <v>0</v>
      </c>
      <c r="Z422" s="18">
        <f t="shared" si="52"/>
        <v>0</v>
      </c>
      <c r="AA422" s="18"/>
      <c r="AB422" s="18">
        <f t="shared" si="53"/>
        <v>0</v>
      </c>
      <c r="AC422" s="18" t="str">
        <f t="shared" si="54"/>
        <v/>
      </c>
      <c r="AD422" s="18" t="str">
        <f t="shared" si="55"/>
        <v/>
      </c>
      <c r="AF422" t="str">
        <f>IFERROR(INDEX('Task Master'!$D:$D,MATCH($F422,'Task Master'!$C:$C,0)),"")</f>
        <v/>
      </c>
    </row>
    <row r="423" spans="1:32" x14ac:dyDescent="0.25">
      <c r="A423" t="str">
        <f t="shared" si="48"/>
        <v/>
      </c>
      <c r="B423" s="16"/>
      <c r="D423" t="str">
        <f>IF($C423="","",IFERROR(INDEX('Asset Register'!$B:$B,MATCH($C423,'Asset Register'!$A:$A,0)),""))</f>
        <v/>
      </c>
      <c r="H423" t="str">
        <f>IFERROR(INDEX('Task Master'!$E:$E,MATCH($F423&amp;"||"&amp;$G423,'Task Master'!$K:$K,0)),"")</f>
        <v/>
      </c>
      <c r="I423" t="str">
        <f>IFERROR(INDEX('Task Master'!$F:$F,MATCH($F423&amp;"||"&amp;$G423,'Task Master'!$K:$K,0)),"")</f>
        <v/>
      </c>
      <c r="J423" t="str">
        <f>IFERROR(INDEX('Task Master'!$H:$H,MATCH($F423&amp;"||"&amp;$G423,'Task Master'!$K:$K,0)),"")</f>
        <v/>
      </c>
      <c r="N423" s="18" t="str">
        <f t="shared" si="49"/>
        <v/>
      </c>
      <c r="R423" s="18">
        <f t="shared" si="50"/>
        <v>0</v>
      </c>
      <c r="V423" s="18">
        <f t="shared" si="51"/>
        <v>0</v>
      </c>
      <c r="Z423" s="18">
        <f t="shared" si="52"/>
        <v>0</v>
      </c>
      <c r="AA423" s="18"/>
      <c r="AB423" s="18">
        <f t="shared" si="53"/>
        <v>0</v>
      </c>
      <c r="AC423" s="18" t="str">
        <f t="shared" si="54"/>
        <v/>
      </c>
      <c r="AD423" s="18" t="str">
        <f t="shared" si="55"/>
        <v/>
      </c>
      <c r="AF423" t="str">
        <f>IFERROR(INDEX('Task Master'!$D:$D,MATCH($F423,'Task Master'!$C:$C,0)),"")</f>
        <v/>
      </c>
    </row>
    <row r="424" spans="1:32" x14ac:dyDescent="0.25">
      <c r="A424" t="str">
        <f t="shared" si="48"/>
        <v/>
      </c>
      <c r="B424" s="16"/>
      <c r="D424" t="str">
        <f>IF($C424="","",IFERROR(INDEX('Asset Register'!$B:$B,MATCH($C424,'Asset Register'!$A:$A,0)),""))</f>
        <v/>
      </c>
      <c r="H424" t="str">
        <f>IFERROR(INDEX('Task Master'!$E:$E,MATCH($F424&amp;"||"&amp;$G424,'Task Master'!$K:$K,0)),"")</f>
        <v/>
      </c>
      <c r="I424" t="str">
        <f>IFERROR(INDEX('Task Master'!$F:$F,MATCH($F424&amp;"||"&amp;$G424,'Task Master'!$K:$K,0)),"")</f>
        <v/>
      </c>
      <c r="J424" t="str">
        <f>IFERROR(INDEX('Task Master'!$H:$H,MATCH($F424&amp;"||"&amp;$G424,'Task Master'!$K:$K,0)),"")</f>
        <v/>
      </c>
      <c r="N424" s="18" t="str">
        <f t="shared" si="49"/>
        <v/>
      </c>
      <c r="R424" s="18">
        <f t="shared" si="50"/>
        <v>0</v>
      </c>
      <c r="V424" s="18">
        <f t="shared" si="51"/>
        <v>0</v>
      </c>
      <c r="Z424" s="18">
        <f t="shared" si="52"/>
        <v>0</v>
      </c>
      <c r="AA424" s="18"/>
      <c r="AB424" s="18">
        <f t="shared" si="53"/>
        <v>0</v>
      </c>
      <c r="AC424" s="18" t="str">
        <f t="shared" si="54"/>
        <v/>
      </c>
      <c r="AD424" s="18" t="str">
        <f t="shared" si="55"/>
        <v/>
      </c>
      <c r="AF424" t="str">
        <f>IFERROR(INDEX('Task Master'!$D:$D,MATCH($F424,'Task Master'!$C:$C,0)),"")</f>
        <v/>
      </c>
    </row>
    <row r="425" spans="1:32" x14ac:dyDescent="0.25">
      <c r="A425" t="str">
        <f t="shared" si="48"/>
        <v/>
      </c>
      <c r="B425" s="16"/>
      <c r="D425" t="str">
        <f>IF($C425="","",IFERROR(INDEX('Asset Register'!$B:$B,MATCH($C425,'Asset Register'!$A:$A,0)),""))</f>
        <v/>
      </c>
      <c r="H425" t="str">
        <f>IFERROR(INDEX('Task Master'!$E:$E,MATCH($F425&amp;"||"&amp;$G425,'Task Master'!$K:$K,0)),"")</f>
        <v/>
      </c>
      <c r="I425" t="str">
        <f>IFERROR(INDEX('Task Master'!$F:$F,MATCH($F425&amp;"||"&amp;$G425,'Task Master'!$K:$K,0)),"")</f>
        <v/>
      </c>
      <c r="J425" t="str">
        <f>IFERROR(INDEX('Task Master'!$H:$H,MATCH($F425&amp;"||"&amp;$G425,'Task Master'!$K:$K,0)),"")</f>
        <v/>
      </c>
      <c r="N425" s="18" t="str">
        <f t="shared" si="49"/>
        <v/>
      </c>
      <c r="R425" s="18">
        <f t="shared" si="50"/>
        <v>0</v>
      </c>
      <c r="V425" s="18">
        <f t="shared" si="51"/>
        <v>0</v>
      </c>
      <c r="Z425" s="18">
        <f t="shared" si="52"/>
        <v>0</v>
      </c>
      <c r="AA425" s="18"/>
      <c r="AB425" s="18">
        <f t="shared" si="53"/>
        <v>0</v>
      </c>
      <c r="AC425" s="18" t="str">
        <f t="shared" si="54"/>
        <v/>
      </c>
      <c r="AD425" s="18" t="str">
        <f t="shared" si="55"/>
        <v/>
      </c>
      <c r="AF425" t="str">
        <f>IFERROR(INDEX('Task Master'!$D:$D,MATCH($F425,'Task Master'!$C:$C,0)),"")</f>
        <v/>
      </c>
    </row>
    <row r="426" spans="1:32" x14ac:dyDescent="0.25">
      <c r="A426" t="str">
        <f t="shared" si="48"/>
        <v/>
      </c>
      <c r="B426" s="16"/>
      <c r="D426" t="str">
        <f>IF($C426="","",IFERROR(INDEX('Asset Register'!$B:$B,MATCH($C426,'Asset Register'!$A:$A,0)),""))</f>
        <v/>
      </c>
      <c r="H426" t="str">
        <f>IFERROR(INDEX('Task Master'!$E:$E,MATCH($F426&amp;"||"&amp;$G426,'Task Master'!$K:$K,0)),"")</f>
        <v/>
      </c>
      <c r="I426" t="str">
        <f>IFERROR(INDEX('Task Master'!$F:$F,MATCH($F426&amp;"||"&amp;$G426,'Task Master'!$K:$K,0)),"")</f>
        <v/>
      </c>
      <c r="J426" t="str">
        <f>IFERROR(INDEX('Task Master'!$H:$H,MATCH($F426&amp;"||"&amp;$G426,'Task Master'!$K:$K,0)),"")</f>
        <v/>
      </c>
      <c r="N426" s="18" t="str">
        <f t="shared" si="49"/>
        <v/>
      </c>
      <c r="R426" s="18">
        <f t="shared" si="50"/>
        <v>0</v>
      </c>
      <c r="V426" s="18">
        <f t="shared" si="51"/>
        <v>0</v>
      </c>
      <c r="Z426" s="18">
        <f t="shared" si="52"/>
        <v>0</v>
      </c>
      <c r="AA426" s="18"/>
      <c r="AB426" s="18">
        <f t="shared" si="53"/>
        <v>0</v>
      </c>
      <c r="AC426" s="18" t="str">
        <f t="shared" si="54"/>
        <v/>
      </c>
      <c r="AD426" s="18" t="str">
        <f t="shared" si="55"/>
        <v/>
      </c>
      <c r="AF426" t="str">
        <f>IFERROR(INDEX('Task Master'!$D:$D,MATCH($F426,'Task Master'!$C:$C,0)),"")</f>
        <v/>
      </c>
    </row>
    <row r="427" spans="1:32" x14ac:dyDescent="0.25">
      <c r="A427" t="str">
        <f t="shared" si="48"/>
        <v/>
      </c>
      <c r="B427" s="16"/>
      <c r="D427" t="str">
        <f>IF($C427="","",IFERROR(INDEX('Asset Register'!$B:$B,MATCH($C427,'Asset Register'!$A:$A,0)),""))</f>
        <v/>
      </c>
      <c r="H427" t="str">
        <f>IFERROR(INDEX('Task Master'!$E:$E,MATCH($F427&amp;"||"&amp;$G427,'Task Master'!$K:$K,0)),"")</f>
        <v/>
      </c>
      <c r="I427" t="str">
        <f>IFERROR(INDEX('Task Master'!$F:$F,MATCH($F427&amp;"||"&amp;$G427,'Task Master'!$K:$K,0)),"")</f>
        <v/>
      </c>
      <c r="J427" t="str">
        <f>IFERROR(INDEX('Task Master'!$H:$H,MATCH($F427&amp;"||"&amp;$G427,'Task Master'!$K:$K,0)),"")</f>
        <v/>
      </c>
      <c r="N427" s="18" t="str">
        <f t="shared" si="49"/>
        <v/>
      </c>
      <c r="R427" s="18">
        <f t="shared" si="50"/>
        <v>0</v>
      </c>
      <c r="V427" s="18">
        <f t="shared" si="51"/>
        <v>0</v>
      </c>
      <c r="Z427" s="18">
        <f t="shared" si="52"/>
        <v>0</v>
      </c>
      <c r="AA427" s="18"/>
      <c r="AB427" s="18">
        <f t="shared" si="53"/>
        <v>0</v>
      </c>
      <c r="AC427" s="18" t="str">
        <f t="shared" si="54"/>
        <v/>
      </c>
      <c r="AD427" s="18" t="str">
        <f t="shared" si="55"/>
        <v/>
      </c>
      <c r="AF427" t="str">
        <f>IFERROR(INDEX('Task Master'!$D:$D,MATCH($F427,'Task Master'!$C:$C,0)),"")</f>
        <v/>
      </c>
    </row>
    <row r="428" spans="1:32" x14ac:dyDescent="0.25">
      <c r="A428" t="str">
        <f t="shared" si="48"/>
        <v/>
      </c>
      <c r="B428" s="16"/>
      <c r="D428" t="str">
        <f>IF($C428="","",IFERROR(INDEX('Asset Register'!$B:$B,MATCH($C428,'Asset Register'!$A:$A,0)),""))</f>
        <v/>
      </c>
      <c r="H428" t="str">
        <f>IFERROR(INDEX('Task Master'!$E:$E,MATCH($F428&amp;"||"&amp;$G428,'Task Master'!$K:$K,0)),"")</f>
        <v/>
      </c>
      <c r="I428" t="str">
        <f>IFERROR(INDEX('Task Master'!$F:$F,MATCH($F428&amp;"||"&amp;$G428,'Task Master'!$K:$K,0)),"")</f>
        <v/>
      </c>
      <c r="J428" t="str">
        <f>IFERROR(INDEX('Task Master'!$H:$H,MATCH($F428&amp;"||"&amp;$G428,'Task Master'!$K:$K,0)),"")</f>
        <v/>
      </c>
      <c r="N428" s="18" t="str">
        <f t="shared" si="49"/>
        <v/>
      </c>
      <c r="R428" s="18">
        <f t="shared" si="50"/>
        <v>0</v>
      </c>
      <c r="V428" s="18">
        <f t="shared" si="51"/>
        <v>0</v>
      </c>
      <c r="Z428" s="18">
        <f t="shared" si="52"/>
        <v>0</v>
      </c>
      <c r="AA428" s="18"/>
      <c r="AB428" s="18">
        <f t="shared" si="53"/>
        <v>0</v>
      </c>
      <c r="AC428" s="18" t="str">
        <f t="shared" si="54"/>
        <v/>
      </c>
      <c r="AD428" s="18" t="str">
        <f t="shared" si="55"/>
        <v/>
      </c>
      <c r="AF428" t="str">
        <f>IFERROR(INDEX('Task Master'!$D:$D,MATCH($F428,'Task Master'!$C:$C,0)),"")</f>
        <v/>
      </c>
    </row>
    <row r="429" spans="1:32" x14ac:dyDescent="0.25">
      <c r="A429" t="str">
        <f t="shared" si="48"/>
        <v/>
      </c>
      <c r="B429" s="16"/>
      <c r="D429" t="str">
        <f>IF($C429="","",IFERROR(INDEX('Asset Register'!$B:$B,MATCH($C429,'Asset Register'!$A:$A,0)),""))</f>
        <v/>
      </c>
      <c r="H429" t="str">
        <f>IFERROR(INDEX('Task Master'!$E:$E,MATCH($F429&amp;"||"&amp;$G429,'Task Master'!$K:$K,0)),"")</f>
        <v/>
      </c>
      <c r="I429" t="str">
        <f>IFERROR(INDEX('Task Master'!$F:$F,MATCH($F429&amp;"||"&amp;$G429,'Task Master'!$K:$K,0)),"")</f>
        <v/>
      </c>
      <c r="J429" t="str">
        <f>IFERROR(INDEX('Task Master'!$H:$H,MATCH($F429&amp;"||"&amp;$G429,'Task Master'!$K:$K,0)),"")</f>
        <v/>
      </c>
      <c r="N429" s="18" t="str">
        <f t="shared" si="49"/>
        <v/>
      </c>
      <c r="R429" s="18">
        <f t="shared" si="50"/>
        <v>0</v>
      </c>
      <c r="V429" s="18">
        <f t="shared" si="51"/>
        <v>0</v>
      </c>
      <c r="Z429" s="18">
        <f t="shared" si="52"/>
        <v>0</v>
      </c>
      <c r="AA429" s="18"/>
      <c r="AB429" s="18">
        <f t="shared" si="53"/>
        <v>0</v>
      </c>
      <c r="AC429" s="18" t="str">
        <f t="shared" si="54"/>
        <v/>
      </c>
      <c r="AD429" s="18" t="str">
        <f t="shared" si="55"/>
        <v/>
      </c>
      <c r="AF429" t="str">
        <f>IFERROR(INDEX('Task Master'!$D:$D,MATCH($F429,'Task Master'!$C:$C,0)),"")</f>
        <v/>
      </c>
    </row>
    <row r="430" spans="1:32" x14ac:dyDescent="0.25">
      <c r="A430" t="str">
        <f t="shared" si="48"/>
        <v/>
      </c>
      <c r="B430" s="16"/>
      <c r="D430" t="str">
        <f>IF($C430="","",IFERROR(INDEX('Asset Register'!$B:$B,MATCH($C430,'Asset Register'!$A:$A,0)),""))</f>
        <v/>
      </c>
      <c r="H430" t="str">
        <f>IFERROR(INDEX('Task Master'!$E:$E,MATCH($F430&amp;"||"&amp;$G430,'Task Master'!$K:$K,0)),"")</f>
        <v/>
      </c>
      <c r="I430" t="str">
        <f>IFERROR(INDEX('Task Master'!$F:$F,MATCH($F430&amp;"||"&amp;$G430,'Task Master'!$K:$K,0)),"")</f>
        <v/>
      </c>
      <c r="J430" t="str">
        <f>IFERROR(INDEX('Task Master'!$H:$H,MATCH($F430&amp;"||"&amp;$G430,'Task Master'!$K:$K,0)),"")</f>
        <v/>
      </c>
      <c r="N430" s="18" t="str">
        <f t="shared" si="49"/>
        <v/>
      </c>
      <c r="R430" s="18">
        <f t="shared" si="50"/>
        <v>0</v>
      </c>
      <c r="V430" s="18">
        <f t="shared" si="51"/>
        <v>0</v>
      </c>
      <c r="Z430" s="18">
        <f t="shared" si="52"/>
        <v>0</v>
      </c>
      <c r="AA430" s="18"/>
      <c r="AB430" s="18">
        <f t="shared" si="53"/>
        <v>0</v>
      </c>
      <c r="AC430" s="18" t="str">
        <f t="shared" si="54"/>
        <v/>
      </c>
      <c r="AD430" s="18" t="str">
        <f t="shared" si="55"/>
        <v/>
      </c>
      <c r="AF430" t="str">
        <f>IFERROR(INDEX('Task Master'!$D:$D,MATCH($F430,'Task Master'!$C:$C,0)),"")</f>
        <v/>
      </c>
    </row>
    <row r="431" spans="1:32" x14ac:dyDescent="0.25">
      <c r="A431" t="str">
        <f t="shared" si="48"/>
        <v/>
      </c>
      <c r="B431" s="16"/>
      <c r="D431" t="str">
        <f>IF($C431="","",IFERROR(INDEX('Asset Register'!$B:$B,MATCH($C431,'Asset Register'!$A:$A,0)),""))</f>
        <v/>
      </c>
      <c r="H431" t="str">
        <f>IFERROR(INDEX('Task Master'!$E:$E,MATCH($F431&amp;"||"&amp;$G431,'Task Master'!$K:$K,0)),"")</f>
        <v/>
      </c>
      <c r="I431" t="str">
        <f>IFERROR(INDEX('Task Master'!$F:$F,MATCH($F431&amp;"||"&amp;$G431,'Task Master'!$K:$K,0)),"")</f>
        <v/>
      </c>
      <c r="J431" t="str">
        <f>IFERROR(INDEX('Task Master'!$H:$H,MATCH($F431&amp;"||"&amp;$G431,'Task Master'!$K:$K,0)),"")</f>
        <v/>
      </c>
      <c r="N431" s="18" t="str">
        <f t="shared" si="49"/>
        <v/>
      </c>
      <c r="R431" s="18">
        <f t="shared" si="50"/>
        <v>0</v>
      </c>
      <c r="V431" s="18">
        <f t="shared" si="51"/>
        <v>0</v>
      </c>
      <c r="Z431" s="18">
        <f t="shared" si="52"/>
        <v>0</v>
      </c>
      <c r="AA431" s="18"/>
      <c r="AB431" s="18">
        <f t="shared" si="53"/>
        <v>0</v>
      </c>
      <c r="AC431" s="18" t="str">
        <f t="shared" si="54"/>
        <v/>
      </c>
      <c r="AD431" s="18" t="str">
        <f t="shared" si="55"/>
        <v/>
      </c>
      <c r="AF431" t="str">
        <f>IFERROR(INDEX('Task Master'!$D:$D,MATCH($F431,'Task Master'!$C:$C,0)),"")</f>
        <v/>
      </c>
    </row>
    <row r="432" spans="1:32" x14ac:dyDescent="0.25">
      <c r="A432" t="str">
        <f t="shared" si="48"/>
        <v/>
      </c>
      <c r="B432" s="16"/>
      <c r="D432" t="str">
        <f>IF($C432="","",IFERROR(INDEX('Asset Register'!$B:$B,MATCH($C432,'Asset Register'!$A:$A,0)),""))</f>
        <v/>
      </c>
      <c r="H432" t="str">
        <f>IFERROR(INDEX('Task Master'!$E:$E,MATCH($F432&amp;"||"&amp;$G432,'Task Master'!$K:$K,0)),"")</f>
        <v/>
      </c>
      <c r="I432" t="str">
        <f>IFERROR(INDEX('Task Master'!$F:$F,MATCH($F432&amp;"||"&amp;$G432,'Task Master'!$K:$K,0)),"")</f>
        <v/>
      </c>
      <c r="J432" t="str">
        <f>IFERROR(INDEX('Task Master'!$H:$H,MATCH($F432&amp;"||"&amp;$G432,'Task Master'!$K:$K,0)),"")</f>
        <v/>
      </c>
      <c r="N432" s="18" t="str">
        <f t="shared" si="49"/>
        <v/>
      </c>
      <c r="R432" s="18">
        <f t="shared" si="50"/>
        <v>0</v>
      </c>
      <c r="V432" s="18">
        <f t="shared" si="51"/>
        <v>0</v>
      </c>
      <c r="Z432" s="18">
        <f t="shared" si="52"/>
        <v>0</v>
      </c>
      <c r="AA432" s="18"/>
      <c r="AB432" s="18">
        <f t="shared" si="53"/>
        <v>0</v>
      </c>
      <c r="AC432" s="18" t="str">
        <f t="shared" si="54"/>
        <v/>
      </c>
      <c r="AD432" s="18" t="str">
        <f t="shared" si="55"/>
        <v/>
      </c>
      <c r="AF432" t="str">
        <f>IFERROR(INDEX('Task Master'!$D:$D,MATCH($F432,'Task Master'!$C:$C,0)),"")</f>
        <v/>
      </c>
    </row>
    <row r="433" spans="1:32" x14ac:dyDescent="0.25">
      <c r="A433" t="str">
        <f t="shared" si="48"/>
        <v/>
      </c>
      <c r="B433" s="16"/>
      <c r="D433" t="str">
        <f>IF($C433="","",IFERROR(INDEX('Asset Register'!$B:$B,MATCH($C433,'Asset Register'!$A:$A,0)),""))</f>
        <v/>
      </c>
      <c r="H433" t="str">
        <f>IFERROR(INDEX('Task Master'!$E:$E,MATCH($F433&amp;"||"&amp;$G433,'Task Master'!$K:$K,0)),"")</f>
        <v/>
      </c>
      <c r="I433" t="str">
        <f>IFERROR(INDEX('Task Master'!$F:$F,MATCH($F433&amp;"||"&amp;$G433,'Task Master'!$K:$K,0)),"")</f>
        <v/>
      </c>
      <c r="J433" t="str">
        <f>IFERROR(INDEX('Task Master'!$H:$H,MATCH($F433&amp;"||"&amp;$G433,'Task Master'!$K:$K,0)),"")</f>
        <v/>
      </c>
      <c r="N433" s="18" t="str">
        <f t="shared" si="49"/>
        <v/>
      </c>
      <c r="R433" s="18">
        <f t="shared" si="50"/>
        <v>0</v>
      </c>
      <c r="V433" s="18">
        <f t="shared" si="51"/>
        <v>0</v>
      </c>
      <c r="Z433" s="18">
        <f t="shared" si="52"/>
        <v>0</v>
      </c>
      <c r="AA433" s="18"/>
      <c r="AB433" s="18">
        <f t="shared" si="53"/>
        <v>0</v>
      </c>
      <c r="AC433" s="18" t="str">
        <f t="shared" si="54"/>
        <v/>
      </c>
      <c r="AD433" s="18" t="str">
        <f t="shared" si="55"/>
        <v/>
      </c>
      <c r="AF433" t="str">
        <f>IFERROR(INDEX('Task Master'!$D:$D,MATCH($F433,'Task Master'!$C:$C,0)),"")</f>
        <v/>
      </c>
    </row>
    <row r="434" spans="1:32" x14ac:dyDescent="0.25">
      <c r="A434" t="str">
        <f t="shared" si="48"/>
        <v/>
      </c>
      <c r="B434" s="16"/>
      <c r="D434" t="str">
        <f>IF($C434="","",IFERROR(INDEX('Asset Register'!$B:$B,MATCH($C434,'Asset Register'!$A:$A,0)),""))</f>
        <v/>
      </c>
      <c r="H434" t="str">
        <f>IFERROR(INDEX('Task Master'!$E:$E,MATCH($F434&amp;"||"&amp;$G434,'Task Master'!$K:$K,0)),"")</f>
        <v/>
      </c>
      <c r="I434" t="str">
        <f>IFERROR(INDEX('Task Master'!$F:$F,MATCH($F434&amp;"||"&amp;$G434,'Task Master'!$K:$K,0)),"")</f>
        <v/>
      </c>
      <c r="J434" t="str">
        <f>IFERROR(INDEX('Task Master'!$H:$H,MATCH($F434&amp;"||"&amp;$G434,'Task Master'!$K:$K,0)),"")</f>
        <v/>
      </c>
      <c r="N434" s="18" t="str">
        <f t="shared" si="49"/>
        <v/>
      </c>
      <c r="R434" s="18">
        <f t="shared" si="50"/>
        <v>0</v>
      </c>
      <c r="V434" s="18">
        <f t="shared" si="51"/>
        <v>0</v>
      </c>
      <c r="Z434" s="18">
        <f t="shared" si="52"/>
        <v>0</v>
      </c>
      <c r="AA434" s="18"/>
      <c r="AB434" s="18">
        <f t="shared" si="53"/>
        <v>0</v>
      </c>
      <c r="AC434" s="18" t="str">
        <f t="shared" si="54"/>
        <v/>
      </c>
      <c r="AD434" s="18" t="str">
        <f t="shared" si="55"/>
        <v/>
      </c>
      <c r="AF434" t="str">
        <f>IFERROR(INDEX('Task Master'!$D:$D,MATCH($F434,'Task Master'!$C:$C,0)),"")</f>
        <v/>
      </c>
    </row>
    <row r="435" spans="1:32" x14ac:dyDescent="0.25">
      <c r="A435" t="str">
        <f t="shared" si="48"/>
        <v/>
      </c>
      <c r="B435" s="16"/>
      <c r="D435" t="str">
        <f>IF($C435="","",IFERROR(INDEX('Asset Register'!$B:$B,MATCH($C435,'Asset Register'!$A:$A,0)),""))</f>
        <v/>
      </c>
      <c r="H435" t="str">
        <f>IFERROR(INDEX('Task Master'!$E:$E,MATCH($F435&amp;"||"&amp;$G435,'Task Master'!$K:$K,0)),"")</f>
        <v/>
      </c>
      <c r="I435" t="str">
        <f>IFERROR(INDEX('Task Master'!$F:$F,MATCH($F435&amp;"||"&amp;$G435,'Task Master'!$K:$K,0)),"")</f>
        <v/>
      </c>
      <c r="J435" t="str">
        <f>IFERROR(INDEX('Task Master'!$H:$H,MATCH($F435&amp;"||"&amp;$G435,'Task Master'!$K:$K,0)),"")</f>
        <v/>
      </c>
      <c r="N435" s="18" t="str">
        <f t="shared" si="49"/>
        <v/>
      </c>
      <c r="R435" s="18">
        <f t="shared" si="50"/>
        <v>0</v>
      </c>
      <c r="V435" s="18">
        <f t="shared" si="51"/>
        <v>0</v>
      </c>
      <c r="Z435" s="18">
        <f t="shared" si="52"/>
        <v>0</v>
      </c>
      <c r="AA435" s="18"/>
      <c r="AB435" s="18">
        <f t="shared" si="53"/>
        <v>0</v>
      </c>
      <c r="AC435" s="18" t="str">
        <f t="shared" si="54"/>
        <v/>
      </c>
      <c r="AD435" s="18" t="str">
        <f t="shared" si="55"/>
        <v/>
      </c>
      <c r="AF435" t="str">
        <f>IFERROR(INDEX('Task Master'!$D:$D,MATCH($F435,'Task Master'!$C:$C,0)),"")</f>
        <v/>
      </c>
    </row>
    <row r="436" spans="1:32" x14ac:dyDescent="0.25">
      <c r="A436" t="str">
        <f t="shared" si="48"/>
        <v/>
      </c>
      <c r="B436" s="16"/>
      <c r="D436" t="str">
        <f>IF($C436="","",IFERROR(INDEX('Asset Register'!$B:$B,MATCH($C436,'Asset Register'!$A:$A,0)),""))</f>
        <v/>
      </c>
      <c r="H436" t="str">
        <f>IFERROR(INDEX('Task Master'!$E:$E,MATCH($F436&amp;"||"&amp;$G436,'Task Master'!$K:$K,0)),"")</f>
        <v/>
      </c>
      <c r="I436" t="str">
        <f>IFERROR(INDEX('Task Master'!$F:$F,MATCH($F436&amp;"||"&amp;$G436,'Task Master'!$K:$K,0)),"")</f>
        <v/>
      </c>
      <c r="J436" t="str">
        <f>IFERROR(INDEX('Task Master'!$H:$H,MATCH($F436&amp;"||"&amp;$G436,'Task Master'!$K:$K,0)),"")</f>
        <v/>
      </c>
      <c r="N436" s="18" t="str">
        <f t="shared" si="49"/>
        <v/>
      </c>
      <c r="R436" s="18">
        <f t="shared" si="50"/>
        <v>0</v>
      </c>
      <c r="V436" s="18">
        <f t="shared" si="51"/>
        <v>0</v>
      </c>
      <c r="Z436" s="18">
        <f t="shared" si="52"/>
        <v>0</v>
      </c>
      <c r="AA436" s="18"/>
      <c r="AB436" s="18">
        <f t="shared" si="53"/>
        <v>0</v>
      </c>
      <c r="AC436" s="18" t="str">
        <f t="shared" si="54"/>
        <v/>
      </c>
      <c r="AD436" s="18" t="str">
        <f t="shared" si="55"/>
        <v/>
      </c>
      <c r="AF436" t="str">
        <f>IFERROR(INDEX('Task Master'!$D:$D,MATCH($F436,'Task Master'!$C:$C,0)),"")</f>
        <v/>
      </c>
    </row>
    <row r="437" spans="1:32" x14ac:dyDescent="0.25">
      <c r="A437" t="str">
        <f t="shared" si="48"/>
        <v/>
      </c>
      <c r="B437" s="16"/>
      <c r="D437" t="str">
        <f>IF($C437="","",IFERROR(INDEX('Asset Register'!$B:$B,MATCH($C437,'Asset Register'!$A:$A,0)),""))</f>
        <v/>
      </c>
      <c r="H437" t="str">
        <f>IFERROR(INDEX('Task Master'!$E:$E,MATCH($F437&amp;"||"&amp;$G437,'Task Master'!$K:$K,0)),"")</f>
        <v/>
      </c>
      <c r="I437" t="str">
        <f>IFERROR(INDEX('Task Master'!$F:$F,MATCH($F437&amp;"||"&amp;$G437,'Task Master'!$K:$K,0)),"")</f>
        <v/>
      </c>
      <c r="J437" t="str">
        <f>IFERROR(INDEX('Task Master'!$H:$H,MATCH($F437&amp;"||"&amp;$G437,'Task Master'!$K:$K,0)),"")</f>
        <v/>
      </c>
      <c r="N437" s="18" t="str">
        <f t="shared" si="49"/>
        <v/>
      </c>
      <c r="R437" s="18">
        <f t="shared" si="50"/>
        <v>0</v>
      </c>
      <c r="V437" s="18">
        <f t="shared" si="51"/>
        <v>0</v>
      </c>
      <c r="Z437" s="18">
        <f t="shared" si="52"/>
        <v>0</v>
      </c>
      <c r="AA437" s="18"/>
      <c r="AB437" s="18">
        <f t="shared" si="53"/>
        <v>0</v>
      </c>
      <c r="AC437" s="18" t="str">
        <f t="shared" si="54"/>
        <v/>
      </c>
      <c r="AD437" s="18" t="str">
        <f t="shared" si="55"/>
        <v/>
      </c>
      <c r="AF437" t="str">
        <f>IFERROR(INDEX('Task Master'!$D:$D,MATCH($F437,'Task Master'!$C:$C,0)),"")</f>
        <v/>
      </c>
    </row>
    <row r="438" spans="1:32" x14ac:dyDescent="0.25">
      <c r="A438" t="str">
        <f t="shared" si="48"/>
        <v/>
      </c>
      <c r="B438" s="16"/>
      <c r="D438" t="str">
        <f>IF($C438="","",IFERROR(INDEX('Asset Register'!$B:$B,MATCH($C438,'Asset Register'!$A:$A,0)),""))</f>
        <v/>
      </c>
      <c r="H438" t="str">
        <f>IFERROR(INDEX('Task Master'!$E:$E,MATCH($F438&amp;"||"&amp;$G438,'Task Master'!$K:$K,0)),"")</f>
        <v/>
      </c>
      <c r="I438" t="str">
        <f>IFERROR(INDEX('Task Master'!$F:$F,MATCH($F438&amp;"||"&amp;$G438,'Task Master'!$K:$K,0)),"")</f>
        <v/>
      </c>
      <c r="J438" t="str">
        <f>IFERROR(INDEX('Task Master'!$H:$H,MATCH($F438&amp;"||"&amp;$G438,'Task Master'!$K:$K,0)),"")</f>
        <v/>
      </c>
      <c r="N438" s="18" t="str">
        <f t="shared" si="49"/>
        <v/>
      </c>
      <c r="R438" s="18">
        <f t="shared" si="50"/>
        <v>0</v>
      </c>
      <c r="V438" s="18">
        <f t="shared" si="51"/>
        <v>0</v>
      </c>
      <c r="Z438" s="18">
        <f t="shared" si="52"/>
        <v>0</v>
      </c>
      <c r="AA438" s="18"/>
      <c r="AB438" s="18">
        <f t="shared" si="53"/>
        <v>0</v>
      </c>
      <c r="AC438" s="18" t="str">
        <f t="shared" si="54"/>
        <v/>
      </c>
      <c r="AD438" s="18" t="str">
        <f t="shared" si="55"/>
        <v/>
      </c>
      <c r="AF438" t="str">
        <f>IFERROR(INDEX('Task Master'!$D:$D,MATCH($F438,'Task Master'!$C:$C,0)),"")</f>
        <v/>
      </c>
    </row>
    <row r="439" spans="1:32" x14ac:dyDescent="0.25">
      <c r="A439" t="str">
        <f t="shared" si="48"/>
        <v/>
      </c>
      <c r="B439" s="16"/>
      <c r="D439" t="str">
        <f>IF($C439="","",IFERROR(INDEX('Asset Register'!$B:$B,MATCH($C439,'Asset Register'!$A:$A,0)),""))</f>
        <v/>
      </c>
      <c r="H439" t="str">
        <f>IFERROR(INDEX('Task Master'!$E:$E,MATCH($F439&amp;"||"&amp;$G439,'Task Master'!$K:$K,0)),"")</f>
        <v/>
      </c>
      <c r="I439" t="str">
        <f>IFERROR(INDEX('Task Master'!$F:$F,MATCH($F439&amp;"||"&amp;$G439,'Task Master'!$K:$K,0)),"")</f>
        <v/>
      </c>
      <c r="J439" t="str">
        <f>IFERROR(INDEX('Task Master'!$H:$H,MATCH($F439&amp;"||"&amp;$G439,'Task Master'!$K:$K,0)),"")</f>
        <v/>
      </c>
      <c r="N439" s="18" t="str">
        <f t="shared" si="49"/>
        <v/>
      </c>
      <c r="R439" s="18">
        <f t="shared" si="50"/>
        <v>0</v>
      </c>
      <c r="V439" s="18">
        <f t="shared" si="51"/>
        <v>0</v>
      </c>
      <c r="Z439" s="18">
        <f t="shared" si="52"/>
        <v>0</v>
      </c>
      <c r="AA439" s="18"/>
      <c r="AB439" s="18">
        <f t="shared" si="53"/>
        <v>0</v>
      </c>
      <c r="AC439" s="18" t="str">
        <f t="shared" si="54"/>
        <v/>
      </c>
      <c r="AD439" s="18" t="str">
        <f t="shared" si="55"/>
        <v/>
      </c>
      <c r="AF439" t="str">
        <f>IFERROR(INDEX('Task Master'!$D:$D,MATCH($F439,'Task Master'!$C:$C,0)),"")</f>
        <v/>
      </c>
    </row>
    <row r="440" spans="1:32" x14ac:dyDescent="0.25">
      <c r="A440" t="str">
        <f t="shared" si="48"/>
        <v/>
      </c>
      <c r="B440" s="16"/>
      <c r="D440" t="str">
        <f>IF($C440="","",IFERROR(INDEX('Asset Register'!$B:$B,MATCH($C440,'Asset Register'!$A:$A,0)),""))</f>
        <v/>
      </c>
      <c r="H440" t="str">
        <f>IFERROR(INDEX('Task Master'!$E:$E,MATCH($F440&amp;"||"&amp;$G440,'Task Master'!$K:$K,0)),"")</f>
        <v/>
      </c>
      <c r="I440" t="str">
        <f>IFERROR(INDEX('Task Master'!$F:$F,MATCH($F440&amp;"||"&amp;$G440,'Task Master'!$K:$K,0)),"")</f>
        <v/>
      </c>
      <c r="J440" t="str">
        <f>IFERROR(INDEX('Task Master'!$H:$H,MATCH($F440&amp;"||"&amp;$G440,'Task Master'!$K:$K,0)),"")</f>
        <v/>
      </c>
      <c r="N440" s="18" t="str">
        <f t="shared" si="49"/>
        <v/>
      </c>
      <c r="R440" s="18">
        <f t="shared" si="50"/>
        <v>0</v>
      </c>
      <c r="V440" s="18">
        <f t="shared" si="51"/>
        <v>0</v>
      </c>
      <c r="Z440" s="18">
        <f t="shared" si="52"/>
        <v>0</v>
      </c>
      <c r="AA440" s="18"/>
      <c r="AB440" s="18">
        <f t="shared" si="53"/>
        <v>0</v>
      </c>
      <c r="AC440" s="18" t="str">
        <f t="shared" si="54"/>
        <v/>
      </c>
      <c r="AD440" s="18" t="str">
        <f t="shared" si="55"/>
        <v/>
      </c>
      <c r="AF440" t="str">
        <f>IFERROR(INDEX('Task Master'!$D:$D,MATCH($F440,'Task Master'!$C:$C,0)),"")</f>
        <v/>
      </c>
    </row>
    <row r="441" spans="1:32" x14ac:dyDescent="0.25">
      <c r="A441" t="str">
        <f t="shared" si="48"/>
        <v/>
      </c>
      <c r="B441" s="16"/>
      <c r="D441" t="str">
        <f>IF($C441="","",IFERROR(INDEX('Asset Register'!$B:$B,MATCH($C441,'Asset Register'!$A:$A,0)),""))</f>
        <v/>
      </c>
      <c r="H441" t="str">
        <f>IFERROR(INDEX('Task Master'!$E:$E,MATCH($F441&amp;"||"&amp;$G441,'Task Master'!$K:$K,0)),"")</f>
        <v/>
      </c>
      <c r="I441" t="str">
        <f>IFERROR(INDEX('Task Master'!$F:$F,MATCH($F441&amp;"||"&amp;$G441,'Task Master'!$K:$K,0)),"")</f>
        <v/>
      </c>
      <c r="J441" t="str">
        <f>IFERROR(INDEX('Task Master'!$H:$H,MATCH($F441&amp;"||"&amp;$G441,'Task Master'!$K:$K,0)),"")</f>
        <v/>
      </c>
      <c r="N441" s="18" t="str">
        <f t="shared" si="49"/>
        <v/>
      </c>
      <c r="R441" s="18">
        <f t="shared" si="50"/>
        <v>0</v>
      </c>
      <c r="V441" s="18">
        <f t="shared" si="51"/>
        <v>0</v>
      </c>
      <c r="Z441" s="18">
        <f t="shared" si="52"/>
        <v>0</v>
      </c>
      <c r="AA441" s="18"/>
      <c r="AB441" s="18">
        <f t="shared" si="53"/>
        <v>0</v>
      </c>
      <c r="AC441" s="18" t="str">
        <f t="shared" si="54"/>
        <v/>
      </c>
      <c r="AD441" s="18" t="str">
        <f t="shared" si="55"/>
        <v/>
      </c>
      <c r="AF441" t="str">
        <f>IFERROR(INDEX('Task Master'!$D:$D,MATCH($F441,'Task Master'!$C:$C,0)),"")</f>
        <v/>
      </c>
    </row>
    <row r="442" spans="1:32" x14ac:dyDescent="0.25">
      <c r="A442" t="str">
        <f t="shared" si="48"/>
        <v/>
      </c>
      <c r="B442" s="16"/>
      <c r="D442" t="str">
        <f>IF($C442="","",IFERROR(INDEX('Asset Register'!$B:$B,MATCH($C442,'Asset Register'!$A:$A,0)),""))</f>
        <v/>
      </c>
      <c r="H442" t="str">
        <f>IFERROR(INDEX('Task Master'!$E:$E,MATCH($F442&amp;"||"&amp;$G442,'Task Master'!$K:$K,0)),"")</f>
        <v/>
      </c>
      <c r="I442" t="str">
        <f>IFERROR(INDEX('Task Master'!$F:$F,MATCH($F442&amp;"||"&amp;$G442,'Task Master'!$K:$K,0)),"")</f>
        <v/>
      </c>
      <c r="J442" t="str">
        <f>IFERROR(INDEX('Task Master'!$H:$H,MATCH($F442&amp;"||"&amp;$G442,'Task Master'!$K:$K,0)),"")</f>
        <v/>
      </c>
      <c r="N442" s="18" t="str">
        <f t="shared" si="49"/>
        <v/>
      </c>
      <c r="R442" s="18">
        <f t="shared" si="50"/>
        <v>0</v>
      </c>
      <c r="V442" s="18">
        <f t="shared" si="51"/>
        <v>0</v>
      </c>
      <c r="Z442" s="18">
        <f t="shared" si="52"/>
        <v>0</v>
      </c>
      <c r="AA442" s="18"/>
      <c r="AB442" s="18">
        <f t="shared" si="53"/>
        <v>0</v>
      </c>
      <c r="AC442" s="18" t="str">
        <f t="shared" si="54"/>
        <v/>
      </c>
      <c r="AD442" s="18" t="str">
        <f t="shared" si="55"/>
        <v/>
      </c>
      <c r="AF442" t="str">
        <f>IFERROR(INDEX('Task Master'!$D:$D,MATCH($F442,'Task Master'!$C:$C,0)),"")</f>
        <v/>
      </c>
    </row>
    <row r="443" spans="1:32" x14ac:dyDescent="0.25">
      <c r="A443" t="str">
        <f t="shared" si="48"/>
        <v/>
      </c>
      <c r="B443" s="16"/>
      <c r="D443" t="str">
        <f>IF($C443="","",IFERROR(INDEX('Asset Register'!$B:$B,MATCH($C443,'Asset Register'!$A:$A,0)),""))</f>
        <v/>
      </c>
      <c r="H443" t="str">
        <f>IFERROR(INDEX('Task Master'!$E:$E,MATCH($F443&amp;"||"&amp;$G443,'Task Master'!$K:$K,0)),"")</f>
        <v/>
      </c>
      <c r="I443" t="str">
        <f>IFERROR(INDEX('Task Master'!$F:$F,MATCH($F443&amp;"||"&amp;$G443,'Task Master'!$K:$K,0)),"")</f>
        <v/>
      </c>
      <c r="J443" t="str">
        <f>IFERROR(INDEX('Task Master'!$H:$H,MATCH($F443&amp;"||"&amp;$G443,'Task Master'!$K:$K,0)),"")</f>
        <v/>
      </c>
      <c r="N443" s="18" t="str">
        <f t="shared" si="49"/>
        <v/>
      </c>
      <c r="R443" s="18">
        <f t="shared" si="50"/>
        <v>0</v>
      </c>
      <c r="V443" s="18">
        <f t="shared" si="51"/>
        <v>0</v>
      </c>
      <c r="Z443" s="18">
        <f t="shared" si="52"/>
        <v>0</v>
      </c>
      <c r="AA443" s="18"/>
      <c r="AB443" s="18">
        <f t="shared" si="53"/>
        <v>0</v>
      </c>
      <c r="AC443" s="18" t="str">
        <f t="shared" si="54"/>
        <v/>
      </c>
      <c r="AD443" s="18" t="str">
        <f t="shared" si="55"/>
        <v/>
      </c>
      <c r="AF443" t="str">
        <f>IFERROR(INDEX('Task Master'!$D:$D,MATCH($F443,'Task Master'!$C:$C,0)),"")</f>
        <v/>
      </c>
    </row>
    <row r="444" spans="1:32" x14ac:dyDescent="0.25">
      <c r="A444" t="str">
        <f t="shared" si="48"/>
        <v/>
      </c>
      <c r="B444" s="16"/>
      <c r="D444" t="str">
        <f>IF($C444="","",IFERROR(INDEX('Asset Register'!$B:$B,MATCH($C444,'Asset Register'!$A:$A,0)),""))</f>
        <v/>
      </c>
      <c r="H444" t="str">
        <f>IFERROR(INDEX('Task Master'!$E:$E,MATCH($F444&amp;"||"&amp;$G444,'Task Master'!$K:$K,0)),"")</f>
        <v/>
      </c>
      <c r="I444" t="str">
        <f>IFERROR(INDEX('Task Master'!$F:$F,MATCH($F444&amp;"||"&amp;$G444,'Task Master'!$K:$K,0)),"")</f>
        <v/>
      </c>
      <c r="J444" t="str">
        <f>IFERROR(INDEX('Task Master'!$H:$H,MATCH($F444&amp;"||"&amp;$G444,'Task Master'!$K:$K,0)),"")</f>
        <v/>
      </c>
      <c r="N444" s="18" t="str">
        <f t="shared" si="49"/>
        <v/>
      </c>
      <c r="R444" s="18">
        <f t="shared" si="50"/>
        <v>0</v>
      </c>
      <c r="V444" s="18">
        <f t="shared" si="51"/>
        <v>0</v>
      </c>
      <c r="Z444" s="18">
        <f t="shared" si="52"/>
        <v>0</v>
      </c>
      <c r="AA444" s="18"/>
      <c r="AB444" s="18">
        <f t="shared" si="53"/>
        <v>0</v>
      </c>
      <c r="AC444" s="18" t="str">
        <f t="shared" si="54"/>
        <v/>
      </c>
      <c r="AD444" s="18" t="str">
        <f t="shared" si="55"/>
        <v/>
      </c>
      <c r="AF444" t="str">
        <f>IFERROR(INDEX('Task Master'!$D:$D,MATCH($F444,'Task Master'!$C:$C,0)),"")</f>
        <v/>
      </c>
    </row>
    <row r="445" spans="1:32" x14ac:dyDescent="0.25">
      <c r="A445" t="str">
        <f t="shared" si="48"/>
        <v/>
      </c>
      <c r="B445" s="16"/>
      <c r="D445" t="str">
        <f>IF($C445="","",IFERROR(INDEX('Asset Register'!$B:$B,MATCH($C445,'Asset Register'!$A:$A,0)),""))</f>
        <v/>
      </c>
      <c r="H445" t="str">
        <f>IFERROR(INDEX('Task Master'!$E:$E,MATCH($F445&amp;"||"&amp;$G445,'Task Master'!$K:$K,0)),"")</f>
        <v/>
      </c>
      <c r="I445" t="str">
        <f>IFERROR(INDEX('Task Master'!$F:$F,MATCH($F445&amp;"||"&amp;$G445,'Task Master'!$K:$K,0)),"")</f>
        <v/>
      </c>
      <c r="J445" t="str">
        <f>IFERROR(INDEX('Task Master'!$H:$H,MATCH($F445&amp;"||"&amp;$G445,'Task Master'!$K:$K,0)),"")</f>
        <v/>
      </c>
      <c r="N445" s="18" t="str">
        <f t="shared" si="49"/>
        <v/>
      </c>
      <c r="R445" s="18">
        <f t="shared" si="50"/>
        <v>0</v>
      </c>
      <c r="V445" s="18">
        <f t="shared" si="51"/>
        <v>0</v>
      </c>
      <c r="Z445" s="18">
        <f t="shared" si="52"/>
        <v>0</v>
      </c>
      <c r="AA445" s="18"/>
      <c r="AB445" s="18">
        <f t="shared" si="53"/>
        <v>0</v>
      </c>
      <c r="AC445" s="18" t="str">
        <f t="shared" si="54"/>
        <v/>
      </c>
      <c r="AD445" s="18" t="str">
        <f t="shared" si="55"/>
        <v/>
      </c>
      <c r="AF445" t="str">
        <f>IFERROR(INDEX('Task Master'!$D:$D,MATCH($F445,'Task Master'!$C:$C,0)),"")</f>
        <v/>
      </c>
    </row>
    <row r="446" spans="1:32" x14ac:dyDescent="0.25">
      <c r="A446" t="str">
        <f t="shared" si="48"/>
        <v/>
      </c>
      <c r="B446" s="16"/>
      <c r="D446" t="str">
        <f>IF($C446="","",IFERROR(INDEX('Asset Register'!$B:$B,MATCH($C446,'Asset Register'!$A:$A,0)),""))</f>
        <v/>
      </c>
      <c r="H446" t="str">
        <f>IFERROR(INDEX('Task Master'!$E:$E,MATCH($F446&amp;"||"&amp;$G446,'Task Master'!$K:$K,0)),"")</f>
        <v/>
      </c>
      <c r="I446" t="str">
        <f>IFERROR(INDEX('Task Master'!$F:$F,MATCH($F446&amp;"||"&amp;$G446,'Task Master'!$K:$K,0)),"")</f>
        <v/>
      </c>
      <c r="J446" t="str">
        <f>IFERROR(INDEX('Task Master'!$H:$H,MATCH($F446&amp;"||"&amp;$G446,'Task Master'!$K:$K,0)),"")</f>
        <v/>
      </c>
      <c r="N446" s="18" t="str">
        <f t="shared" si="49"/>
        <v/>
      </c>
      <c r="R446" s="18">
        <f t="shared" si="50"/>
        <v>0</v>
      </c>
      <c r="V446" s="18">
        <f t="shared" si="51"/>
        <v>0</v>
      </c>
      <c r="Z446" s="18">
        <f t="shared" si="52"/>
        <v>0</v>
      </c>
      <c r="AA446" s="18"/>
      <c r="AB446" s="18">
        <f t="shared" si="53"/>
        <v>0</v>
      </c>
      <c r="AC446" s="18" t="str">
        <f t="shared" si="54"/>
        <v/>
      </c>
      <c r="AD446" s="18" t="str">
        <f t="shared" si="55"/>
        <v/>
      </c>
      <c r="AF446" t="str">
        <f>IFERROR(INDEX('Task Master'!$D:$D,MATCH($F446,'Task Master'!$C:$C,0)),"")</f>
        <v/>
      </c>
    </row>
    <row r="447" spans="1:32" x14ac:dyDescent="0.25">
      <c r="A447" t="str">
        <f t="shared" si="48"/>
        <v/>
      </c>
      <c r="B447" s="16"/>
      <c r="D447" t="str">
        <f>IF($C447="","",IFERROR(INDEX('Asset Register'!$B:$B,MATCH($C447,'Asset Register'!$A:$A,0)),""))</f>
        <v/>
      </c>
      <c r="H447" t="str">
        <f>IFERROR(INDEX('Task Master'!$E:$E,MATCH($F447&amp;"||"&amp;$G447,'Task Master'!$K:$K,0)),"")</f>
        <v/>
      </c>
      <c r="I447" t="str">
        <f>IFERROR(INDEX('Task Master'!$F:$F,MATCH($F447&amp;"||"&amp;$G447,'Task Master'!$K:$K,0)),"")</f>
        <v/>
      </c>
      <c r="J447" t="str">
        <f>IFERROR(INDEX('Task Master'!$H:$H,MATCH($F447&amp;"||"&amp;$G447,'Task Master'!$K:$K,0)),"")</f>
        <v/>
      </c>
      <c r="N447" s="18" t="str">
        <f t="shared" si="49"/>
        <v/>
      </c>
      <c r="R447" s="18">
        <f t="shared" si="50"/>
        <v>0</v>
      </c>
      <c r="V447" s="18">
        <f t="shared" si="51"/>
        <v>0</v>
      </c>
      <c r="Z447" s="18">
        <f t="shared" si="52"/>
        <v>0</v>
      </c>
      <c r="AA447" s="18"/>
      <c r="AB447" s="18">
        <f t="shared" si="53"/>
        <v>0</v>
      </c>
      <c r="AC447" s="18" t="str">
        <f t="shared" si="54"/>
        <v/>
      </c>
      <c r="AD447" s="18" t="str">
        <f t="shared" si="55"/>
        <v/>
      </c>
      <c r="AF447" t="str">
        <f>IFERROR(INDEX('Task Master'!$D:$D,MATCH($F447,'Task Master'!$C:$C,0)),"")</f>
        <v/>
      </c>
    </row>
    <row r="448" spans="1:32" x14ac:dyDescent="0.25">
      <c r="A448" t="str">
        <f t="shared" si="48"/>
        <v/>
      </c>
      <c r="B448" s="16"/>
      <c r="D448" t="str">
        <f>IF($C448="","",IFERROR(INDEX('Asset Register'!$B:$B,MATCH($C448,'Asset Register'!$A:$A,0)),""))</f>
        <v/>
      </c>
      <c r="H448" t="str">
        <f>IFERROR(INDEX('Task Master'!$E:$E,MATCH($F448&amp;"||"&amp;$G448,'Task Master'!$K:$K,0)),"")</f>
        <v/>
      </c>
      <c r="I448" t="str">
        <f>IFERROR(INDEX('Task Master'!$F:$F,MATCH($F448&amp;"||"&amp;$G448,'Task Master'!$K:$K,0)),"")</f>
        <v/>
      </c>
      <c r="J448" t="str">
        <f>IFERROR(INDEX('Task Master'!$H:$H,MATCH($F448&amp;"||"&amp;$G448,'Task Master'!$K:$K,0)),"")</f>
        <v/>
      </c>
      <c r="N448" s="18" t="str">
        <f t="shared" si="49"/>
        <v/>
      </c>
      <c r="R448" s="18">
        <f t="shared" si="50"/>
        <v>0</v>
      </c>
      <c r="V448" s="18">
        <f t="shared" si="51"/>
        <v>0</v>
      </c>
      <c r="Z448" s="18">
        <f t="shared" si="52"/>
        <v>0</v>
      </c>
      <c r="AA448" s="18"/>
      <c r="AB448" s="18">
        <f t="shared" si="53"/>
        <v>0</v>
      </c>
      <c r="AC448" s="18" t="str">
        <f t="shared" si="54"/>
        <v/>
      </c>
      <c r="AD448" s="18" t="str">
        <f t="shared" si="55"/>
        <v/>
      </c>
      <c r="AF448" t="str">
        <f>IFERROR(INDEX('Task Master'!$D:$D,MATCH($F448,'Task Master'!$C:$C,0)),"")</f>
        <v/>
      </c>
    </row>
    <row r="449" spans="1:32" x14ac:dyDescent="0.25">
      <c r="A449" t="str">
        <f t="shared" si="48"/>
        <v/>
      </c>
      <c r="B449" s="16"/>
      <c r="D449" t="str">
        <f>IF($C449="","",IFERROR(INDEX('Asset Register'!$B:$B,MATCH($C449,'Asset Register'!$A:$A,0)),""))</f>
        <v/>
      </c>
      <c r="H449" t="str">
        <f>IFERROR(INDEX('Task Master'!$E:$E,MATCH($F449&amp;"||"&amp;$G449,'Task Master'!$K:$K,0)),"")</f>
        <v/>
      </c>
      <c r="I449" t="str">
        <f>IFERROR(INDEX('Task Master'!$F:$F,MATCH($F449&amp;"||"&amp;$G449,'Task Master'!$K:$K,0)),"")</f>
        <v/>
      </c>
      <c r="J449" t="str">
        <f>IFERROR(INDEX('Task Master'!$H:$H,MATCH($F449&amp;"||"&amp;$G449,'Task Master'!$K:$K,0)),"")</f>
        <v/>
      </c>
      <c r="N449" s="18" t="str">
        <f t="shared" si="49"/>
        <v/>
      </c>
      <c r="R449" s="18">
        <f t="shared" si="50"/>
        <v>0</v>
      </c>
      <c r="V449" s="18">
        <f t="shared" si="51"/>
        <v>0</v>
      </c>
      <c r="Z449" s="18">
        <f t="shared" si="52"/>
        <v>0</v>
      </c>
      <c r="AA449" s="18"/>
      <c r="AB449" s="18">
        <f t="shared" si="53"/>
        <v>0</v>
      </c>
      <c r="AC449" s="18" t="str">
        <f t="shared" si="54"/>
        <v/>
      </c>
      <c r="AD449" s="18" t="str">
        <f t="shared" si="55"/>
        <v/>
      </c>
      <c r="AF449" t="str">
        <f>IFERROR(INDEX('Task Master'!$D:$D,MATCH($F449,'Task Master'!$C:$C,0)),"")</f>
        <v/>
      </c>
    </row>
    <row r="450" spans="1:32" x14ac:dyDescent="0.25">
      <c r="A450" t="str">
        <f t="shared" ref="A450:A513" si="56">IF(B450="","",ROW()-1)</f>
        <v/>
      </c>
      <c r="B450" s="16"/>
      <c r="D450" t="str">
        <f>IF($C450="","",IFERROR(INDEX('Asset Register'!$B:$B,MATCH($C450,'Asset Register'!$A:$A,0)),""))</f>
        <v/>
      </c>
      <c r="H450" t="str">
        <f>IFERROR(INDEX('Task Master'!$E:$E,MATCH($F450&amp;"||"&amp;$G450,'Task Master'!$K:$K,0)),"")</f>
        <v/>
      </c>
      <c r="I450" t="str">
        <f>IFERROR(INDEX('Task Master'!$F:$F,MATCH($F450&amp;"||"&amp;$G450,'Task Master'!$K:$K,0)),"")</f>
        <v/>
      </c>
      <c r="J450" t="str">
        <f>IFERROR(INDEX('Task Master'!$H:$H,MATCH($F450&amp;"||"&amp;$G450,'Task Master'!$K:$K,0)),"")</f>
        <v/>
      </c>
      <c r="N450" s="18" t="str">
        <f t="shared" ref="N450:N513" si="57">IF(OR($K450="",$L450="",$M450=""),"",$K450*$L450*$M450)</f>
        <v/>
      </c>
      <c r="R450" s="18">
        <f t="shared" ref="R450:R513" si="58">IF(OR($P450="",$Q450=""),0,$P450*$Q450)</f>
        <v>0</v>
      </c>
      <c r="V450" s="18">
        <f t="shared" ref="V450:V513" si="59">IF(OR($T450="",$U450=""),0,$T450*$U450)</f>
        <v>0</v>
      </c>
      <c r="Z450" s="18">
        <f t="shared" ref="Z450:Z513" si="60">IF(OR($X450="",$Y450=""),0,$X450*$Y450)</f>
        <v>0</v>
      </c>
      <c r="AA450" s="18"/>
      <c r="AB450" s="18">
        <f t="shared" ref="AB450:AB513" si="61">$R450+$V450+$Z450</f>
        <v>0</v>
      </c>
      <c r="AC450" s="18" t="str">
        <f t="shared" ref="AC450:AC513" si="62">IF($B450="","",$AB450+$AA450+$N450)</f>
        <v/>
      </c>
      <c r="AD450" s="18" t="str">
        <f t="shared" ref="AD450:AD513" si="63">IF(OR($K450="",$K450=0,$AC450=""),"",$AC450/$K450)</f>
        <v/>
      </c>
      <c r="AF450" t="str">
        <f>IFERROR(INDEX('Task Master'!$D:$D,MATCH($F450,'Task Master'!$C:$C,0)),"")</f>
        <v/>
      </c>
    </row>
    <row r="451" spans="1:32" x14ac:dyDescent="0.25">
      <c r="A451" t="str">
        <f t="shared" si="56"/>
        <v/>
      </c>
      <c r="B451" s="16"/>
      <c r="D451" t="str">
        <f>IF($C451="","",IFERROR(INDEX('Asset Register'!$B:$B,MATCH($C451,'Asset Register'!$A:$A,0)),""))</f>
        <v/>
      </c>
      <c r="H451" t="str">
        <f>IFERROR(INDEX('Task Master'!$E:$E,MATCH($F451&amp;"||"&amp;$G451,'Task Master'!$K:$K,0)),"")</f>
        <v/>
      </c>
      <c r="I451" t="str">
        <f>IFERROR(INDEX('Task Master'!$F:$F,MATCH($F451&amp;"||"&amp;$G451,'Task Master'!$K:$K,0)),"")</f>
        <v/>
      </c>
      <c r="J451" t="str">
        <f>IFERROR(INDEX('Task Master'!$H:$H,MATCH($F451&amp;"||"&amp;$G451,'Task Master'!$K:$K,0)),"")</f>
        <v/>
      </c>
      <c r="N451" s="18" t="str">
        <f t="shared" si="57"/>
        <v/>
      </c>
      <c r="R451" s="18">
        <f t="shared" si="58"/>
        <v>0</v>
      </c>
      <c r="V451" s="18">
        <f t="shared" si="59"/>
        <v>0</v>
      </c>
      <c r="Z451" s="18">
        <f t="shared" si="60"/>
        <v>0</v>
      </c>
      <c r="AA451" s="18"/>
      <c r="AB451" s="18">
        <f t="shared" si="61"/>
        <v>0</v>
      </c>
      <c r="AC451" s="18" t="str">
        <f t="shared" si="62"/>
        <v/>
      </c>
      <c r="AD451" s="18" t="str">
        <f t="shared" si="63"/>
        <v/>
      </c>
      <c r="AF451" t="str">
        <f>IFERROR(INDEX('Task Master'!$D:$D,MATCH($F451,'Task Master'!$C:$C,0)),"")</f>
        <v/>
      </c>
    </row>
    <row r="452" spans="1:32" x14ac:dyDescent="0.25">
      <c r="A452" t="str">
        <f t="shared" si="56"/>
        <v/>
      </c>
      <c r="B452" s="16"/>
      <c r="D452" t="str">
        <f>IF($C452="","",IFERROR(INDEX('Asset Register'!$B:$B,MATCH($C452,'Asset Register'!$A:$A,0)),""))</f>
        <v/>
      </c>
      <c r="H452" t="str">
        <f>IFERROR(INDEX('Task Master'!$E:$E,MATCH($F452&amp;"||"&amp;$G452,'Task Master'!$K:$K,0)),"")</f>
        <v/>
      </c>
      <c r="I452" t="str">
        <f>IFERROR(INDEX('Task Master'!$F:$F,MATCH($F452&amp;"||"&amp;$G452,'Task Master'!$K:$K,0)),"")</f>
        <v/>
      </c>
      <c r="J452" t="str">
        <f>IFERROR(INDEX('Task Master'!$H:$H,MATCH($F452&amp;"||"&amp;$G452,'Task Master'!$K:$K,0)),"")</f>
        <v/>
      </c>
      <c r="N452" s="18" t="str">
        <f t="shared" si="57"/>
        <v/>
      </c>
      <c r="R452" s="18">
        <f t="shared" si="58"/>
        <v>0</v>
      </c>
      <c r="V452" s="18">
        <f t="shared" si="59"/>
        <v>0</v>
      </c>
      <c r="Z452" s="18">
        <f t="shared" si="60"/>
        <v>0</v>
      </c>
      <c r="AA452" s="18"/>
      <c r="AB452" s="18">
        <f t="shared" si="61"/>
        <v>0</v>
      </c>
      <c r="AC452" s="18" t="str">
        <f t="shared" si="62"/>
        <v/>
      </c>
      <c r="AD452" s="18" t="str">
        <f t="shared" si="63"/>
        <v/>
      </c>
      <c r="AF452" t="str">
        <f>IFERROR(INDEX('Task Master'!$D:$D,MATCH($F452,'Task Master'!$C:$C,0)),"")</f>
        <v/>
      </c>
    </row>
    <row r="453" spans="1:32" x14ac:dyDescent="0.25">
      <c r="A453" t="str">
        <f t="shared" si="56"/>
        <v/>
      </c>
      <c r="B453" s="16"/>
      <c r="D453" t="str">
        <f>IF($C453="","",IFERROR(INDEX('Asset Register'!$B:$B,MATCH($C453,'Asset Register'!$A:$A,0)),""))</f>
        <v/>
      </c>
      <c r="H453" t="str">
        <f>IFERROR(INDEX('Task Master'!$E:$E,MATCH($F453&amp;"||"&amp;$G453,'Task Master'!$K:$K,0)),"")</f>
        <v/>
      </c>
      <c r="I453" t="str">
        <f>IFERROR(INDEX('Task Master'!$F:$F,MATCH($F453&amp;"||"&amp;$G453,'Task Master'!$K:$K,0)),"")</f>
        <v/>
      </c>
      <c r="J453" t="str">
        <f>IFERROR(INDEX('Task Master'!$H:$H,MATCH($F453&amp;"||"&amp;$G453,'Task Master'!$K:$K,0)),"")</f>
        <v/>
      </c>
      <c r="N453" s="18" t="str">
        <f t="shared" si="57"/>
        <v/>
      </c>
      <c r="R453" s="18">
        <f t="shared" si="58"/>
        <v>0</v>
      </c>
      <c r="V453" s="18">
        <f t="shared" si="59"/>
        <v>0</v>
      </c>
      <c r="Z453" s="18">
        <f t="shared" si="60"/>
        <v>0</v>
      </c>
      <c r="AA453" s="18"/>
      <c r="AB453" s="18">
        <f t="shared" si="61"/>
        <v>0</v>
      </c>
      <c r="AC453" s="18" t="str">
        <f t="shared" si="62"/>
        <v/>
      </c>
      <c r="AD453" s="18" t="str">
        <f t="shared" si="63"/>
        <v/>
      </c>
      <c r="AF453" t="str">
        <f>IFERROR(INDEX('Task Master'!$D:$D,MATCH($F453,'Task Master'!$C:$C,0)),"")</f>
        <v/>
      </c>
    </row>
    <row r="454" spans="1:32" x14ac:dyDescent="0.25">
      <c r="A454" t="str">
        <f t="shared" si="56"/>
        <v/>
      </c>
      <c r="B454" s="16"/>
      <c r="D454" t="str">
        <f>IF($C454="","",IFERROR(INDEX('Asset Register'!$B:$B,MATCH($C454,'Asset Register'!$A:$A,0)),""))</f>
        <v/>
      </c>
      <c r="H454" t="str">
        <f>IFERROR(INDEX('Task Master'!$E:$E,MATCH($F454&amp;"||"&amp;$G454,'Task Master'!$K:$K,0)),"")</f>
        <v/>
      </c>
      <c r="I454" t="str">
        <f>IFERROR(INDEX('Task Master'!$F:$F,MATCH($F454&amp;"||"&amp;$G454,'Task Master'!$K:$K,0)),"")</f>
        <v/>
      </c>
      <c r="J454" t="str">
        <f>IFERROR(INDEX('Task Master'!$H:$H,MATCH($F454&amp;"||"&amp;$G454,'Task Master'!$K:$K,0)),"")</f>
        <v/>
      </c>
      <c r="N454" s="18" t="str">
        <f t="shared" si="57"/>
        <v/>
      </c>
      <c r="R454" s="18">
        <f t="shared" si="58"/>
        <v>0</v>
      </c>
      <c r="V454" s="18">
        <f t="shared" si="59"/>
        <v>0</v>
      </c>
      <c r="Z454" s="18">
        <f t="shared" si="60"/>
        <v>0</v>
      </c>
      <c r="AA454" s="18"/>
      <c r="AB454" s="18">
        <f t="shared" si="61"/>
        <v>0</v>
      </c>
      <c r="AC454" s="18" t="str">
        <f t="shared" si="62"/>
        <v/>
      </c>
      <c r="AD454" s="18" t="str">
        <f t="shared" si="63"/>
        <v/>
      </c>
      <c r="AF454" t="str">
        <f>IFERROR(INDEX('Task Master'!$D:$D,MATCH($F454,'Task Master'!$C:$C,0)),"")</f>
        <v/>
      </c>
    </row>
    <row r="455" spans="1:32" x14ac:dyDescent="0.25">
      <c r="A455" t="str">
        <f t="shared" si="56"/>
        <v/>
      </c>
      <c r="B455" s="16"/>
      <c r="D455" t="str">
        <f>IF($C455="","",IFERROR(INDEX('Asset Register'!$B:$B,MATCH($C455,'Asset Register'!$A:$A,0)),""))</f>
        <v/>
      </c>
      <c r="H455" t="str">
        <f>IFERROR(INDEX('Task Master'!$E:$E,MATCH($F455&amp;"||"&amp;$G455,'Task Master'!$K:$K,0)),"")</f>
        <v/>
      </c>
      <c r="I455" t="str">
        <f>IFERROR(INDEX('Task Master'!$F:$F,MATCH($F455&amp;"||"&amp;$G455,'Task Master'!$K:$K,0)),"")</f>
        <v/>
      </c>
      <c r="J455" t="str">
        <f>IFERROR(INDEX('Task Master'!$H:$H,MATCH($F455&amp;"||"&amp;$G455,'Task Master'!$K:$K,0)),"")</f>
        <v/>
      </c>
      <c r="N455" s="18" t="str">
        <f t="shared" si="57"/>
        <v/>
      </c>
      <c r="R455" s="18">
        <f t="shared" si="58"/>
        <v>0</v>
      </c>
      <c r="V455" s="18">
        <f t="shared" si="59"/>
        <v>0</v>
      </c>
      <c r="Z455" s="18">
        <f t="shared" si="60"/>
        <v>0</v>
      </c>
      <c r="AA455" s="18"/>
      <c r="AB455" s="18">
        <f t="shared" si="61"/>
        <v>0</v>
      </c>
      <c r="AC455" s="18" t="str">
        <f t="shared" si="62"/>
        <v/>
      </c>
      <c r="AD455" s="18" t="str">
        <f t="shared" si="63"/>
        <v/>
      </c>
      <c r="AF455" t="str">
        <f>IFERROR(INDEX('Task Master'!$D:$D,MATCH($F455,'Task Master'!$C:$C,0)),"")</f>
        <v/>
      </c>
    </row>
    <row r="456" spans="1:32" x14ac:dyDescent="0.25">
      <c r="A456" t="str">
        <f t="shared" si="56"/>
        <v/>
      </c>
      <c r="B456" s="16"/>
      <c r="D456" t="str">
        <f>IF($C456="","",IFERROR(INDEX('Asset Register'!$B:$B,MATCH($C456,'Asset Register'!$A:$A,0)),""))</f>
        <v/>
      </c>
      <c r="H456" t="str">
        <f>IFERROR(INDEX('Task Master'!$E:$E,MATCH($F456&amp;"||"&amp;$G456,'Task Master'!$K:$K,0)),"")</f>
        <v/>
      </c>
      <c r="I456" t="str">
        <f>IFERROR(INDEX('Task Master'!$F:$F,MATCH($F456&amp;"||"&amp;$G456,'Task Master'!$K:$K,0)),"")</f>
        <v/>
      </c>
      <c r="J456" t="str">
        <f>IFERROR(INDEX('Task Master'!$H:$H,MATCH($F456&amp;"||"&amp;$G456,'Task Master'!$K:$K,0)),"")</f>
        <v/>
      </c>
      <c r="N456" s="18" t="str">
        <f t="shared" si="57"/>
        <v/>
      </c>
      <c r="R456" s="18">
        <f t="shared" si="58"/>
        <v>0</v>
      </c>
      <c r="V456" s="18">
        <f t="shared" si="59"/>
        <v>0</v>
      </c>
      <c r="Z456" s="18">
        <f t="shared" si="60"/>
        <v>0</v>
      </c>
      <c r="AA456" s="18"/>
      <c r="AB456" s="18">
        <f t="shared" si="61"/>
        <v>0</v>
      </c>
      <c r="AC456" s="18" t="str">
        <f t="shared" si="62"/>
        <v/>
      </c>
      <c r="AD456" s="18" t="str">
        <f t="shared" si="63"/>
        <v/>
      </c>
      <c r="AF456" t="str">
        <f>IFERROR(INDEX('Task Master'!$D:$D,MATCH($F456,'Task Master'!$C:$C,0)),"")</f>
        <v/>
      </c>
    </row>
    <row r="457" spans="1:32" x14ac:dyDescent="0.25">
      <c r="A457" t="str">
        <f t="shared" si="56"/>
        <v/>
      </c>
      <c r="B457" s="16"/>
      <c r="D457" t="str">
        <f>IF($C457="","",IFERROR(INDEX('Asset Register'!$B:$B,MATCH($C457,'Asset Register'!$A:$A,0)),""))</f>
        <v/>
      </c>
      <c r="H457" t="str">
        <f>IFERROR(INDEX('Task Master'!$E:$E,MATCH($F457&amp;"||"&amp;$G457,'Task Master'!$K:$K,0)),"")</f>
        <v/>
      </c>
      <c r="I457" t="str">
        <f>IFERROR(INDEX('Task Master'!$F:$F,MATCH($F457&amp;"||"&amp;$G457,'Task Master'!$K:$K,0)),"")</f>
        <v/>
      </c>
      <c r="J457" t="str">
        <f>IFERROR(INDEX('Task Master'!$H:$H,MATCH($F457&amp;"||"&amp;$G457,'Task Master'!$K:$K,0)),"")</f>
        <v/>
      </c>
      <c r="N457" s="18" t="str">
        <f t="shared" si="57"/>
        <v/>
      </c>
      <c r="R457" s="18">
        <f t="shared" si="58"/>
        <v>0</v>
      </c>
      <c r="V457" s="18">
        <f t="shared" si="59"/>
        <v>0</v>
      </c>
      <c r="Z457" s="18">
        <f t="shared" si="60"/>
        <v>0</v>
      </c>
      <c r="AA457" s="18"/>
      <c r="AB457" s="18">
        <f t="shared" si="61"/>
        <v>0</v>
      </c>
      <c r="AC457" s="18" t="str">
        <f t="shared" si="62"/>
        <v/>
      </c>
      <c r="AD457" s="18" t="str">
        <f t="shared" si="63"/>
        <v/>
      </c>
      <c r="AF457" t="str">
        <f>IFERROR(INDEX('Task Master'!$D:$D,MATCH($F457,'Task Master'!$C:$C,0)),"")</f>
        <v/>
      </c>
    </row>
    <row r="458" spans="1:32" x14ac:dyDescent="0.25">
      <c r="A458" t="str">
        <f t="shared" si="56"/>
        <v/>
      </c>
      <c r="B458" s="16"/>
      <c r="D458" t="str">
        <f>IF($C458="","",IFERROR(INDEX('Asset Register'!$B:$B,MATCH($C458,'Asset Register'!$A:$A,0)),""))</f>
        <v/>
      </c>
      <c r="H458" t="str">
        <f>IFERROR(INDEX('Task Master'!$E:$E,MATCH($F458&amp;"||"&amp;$G458,'Task Master'!$K:$K,0)),"")</f>
        <v/>
      </c>
      <c r="I458" t="str">
        <f>IFERROR(INDEX('Task Master'!$F:$F,MATCH($F458&amp;"||"&amp;$G458,'Task Master'!$K:$K,0)),"")</f>
        <v/>
      </c>
      <c r="J458" t="str">
        <f>IFERROR(INDEX('Task Master'!$H:$H,MATCH($F458&amp;"||"&amp;$G458,'Task Master'!$K:$K,0)),"")</f>
        <v/>
      </c>
      <c r="N458" s="18" t="str">
        <f t="shared" si="57"/>
        <v/>
      </c>
      <c r="R458" s="18">
        <f t="shared" si="58"/>
        <v>0</v>
      </c>
      <c r="V458" s="18">
        <f t="shared" si="59"/>
        <v>0</v>
      </c>
      <c r="Z458" s="18">
        <f t="shared" si="60"/>
        <v>0</v>
      </c>
      <c r="AA458" s="18"/>
      <c r="AB458" s="18">
        <f t="shared" si="61"/>
        <v>0</v>
      </c>
      <c r="AC458" s="18" t="str">
        <f t="shared" si="62"/>
        <v/>
      </c>
      <c r="AD458" s="18" t="str">
        <f t="shared" si="63"/>
        <v/>
      </c>
      <c r="AF458" t="str">
        <f>IFERROR(INDEX('Task Master'!$D:$D,MATCH($F458,'Task Master'!$C:$C,0)),"")</f>
        <v/>
      </c>
    </row>
    <row r="459" spans="1:32" x14ac:dyDescent="0.25">
      <c r="A459" t="str">
        <f t="shared" si="56"/>
        <v/>
      </c>
      <c r="B459" s="16"/>
      <c r="D459" t="str">
        <f>IF($C459="","",IFERROR(INDEX('Asset Register'!$B:$B,MATCH($C459,'Asset Register'!$A:$A,0)),""))</f>
        <v/>
      </c>
      <c r="H459" t="str">
        <f>IFERROR(INDEX('Task Master'!$E:$E,MATCH($F459&amp;"||"&amp;$G459,'Task Master'!$K:$K,0)),"")</f>
        <v/>
      </c>
      <c r="I459" t="str">
        <f>IFERROR(INDEX('Task Master'!$F:$F,MATCH($F459&amp;"||"&amp;$G459,'Task Master'!$K:$K,0)),"")</f>
        <v/>
      </c>
      <c r="J459" t="str">
        <f>IFERROR(INDEX('Task Master'!$H:$H,MATCH($F459&amp;"||"&amp;$G459,'Task Master'!$K:$K,0)),"")</f>
        <v/>
      </c>
      <c r="N459" s="18" t="str">
        <f t="shared" si="57"/>
        <v/>
      </c>
      <c r="R459" s="18">
        <f t="shared" si="58"/>
        <v>0</v>
      </c>
      <c r="V459" s="18">
        <f t="shared" si="59"/>
        <v>0</v>
      </c>
      <c r="Z459" s="18">
        <f t="shared" si="60"/>
        <v>0</v>
      </c>
      <c r="AA459" s="18"/>
      <c r="AB459" s="18">
        <f t="shared" si="61"/>
        <v>0</v>
      </c>
      <c r="AC459" s="18" t="str">
        <f t="shared" si="62"/>
        <v/>
      </c>
      <c r="AD459" s="18" t="str">
        <f t="shared" si="63"/>
        <v/>
      </c>
      <c r="AF459" t="str">
        <f>IFERROR(INDEX('Task Master'!$D:$D,MATCH($F459,'Task Master'!$C:$C,0)),"")</f>
        <v/>
      </c>
    </row>
    <row r="460" spans="1:32" x14ac:dyDescent="0.25">
      <c r="A460" t="str">
        <f t="shared" si="56"/>
        <v/>
      </c>
      <c r="B460" s="16"/>
      <c r="D460" t="str">
        <f>IF($C460="","",IFERROR(INDEX('Asset Register'!$B:$B,MATCH($C460,'Asset Register'!$A:$A,0)),""))</f>
        <v/>
      </c>
      <c r="H460" t="str">
        <f>IFERROR(INDEX('Task Master'!$E:$E,MATCH($F460&amp;"||"&amp;$G460,'Task Master'!$K:$K,0)),"")</f>
        <v/>
      </c>
      <c r="I460" t="str">
        <f>IFERROR(INDEX('Task Master'!$F:$F,MATCH($F460&amp;"||"&amp;$G460,'Task Master'!$K:$K,0)),"")</f>
        <v/>
      </c>
      <c r="J460" t="str">
        <f>IFERROR(INDEX('Task Master'!$H:$H,MATCH($F460&amp;"||"&amp;$G460,'Task Master'!$K:$K,0)),"")</f>
        <v/>
      </c>
      <c r="N460" s="18" t="str">
        <f t="shared" si="57"/>
        <v/>
      </c>
      <c r="R460" s="18">
        <f t="shared" si="58"/>
        <v>0</v>
      </c>
      <c r="V460" s="18">
        <f t="shared" si="59"/>
        <v>0</v>
      </c>
      <c r="Z460" s="18">
        <f t="shared" si="60"/>
        <v>0</v>
      </c>
      <c r="AA460" s="18"/>
      <c r="AB460" s="18">
        <f t="shared" si="61"/>
        <v>0</v>
      </c>
      <c r="AC460" s="18" t="str">
        <f t="shared" si="62"/>
        <v/>
      </c>
      <c r="AD460" s="18" t="str">
        <f t="shared" si="63"/>
        <v/>
      </c>
      <c r="AF460" t="str">
        <f>IFERROR(INDEX('Task Master'!$D:$D,MATCH($F460,'Task Master'!$C:$C,0)),"")</f>
        <v/>
      </c>
    </row>
    <row r="461" spans="1:32" x14ac:dyDescent="0.25">
      <c r="A461" t="str">
        <f t="shared" si="56"/>
        <v/>
      </c>
      <c r="B461" s="16"/>
      <c r="D461" t="str">
        <f>IF($C461="","",IFERROR(INDEX('Asset Register'!$B:$B,MATCH($C461,'Asset Register'!$A:$A,0)),""))</f>
        <v/>
      </c>
      <c r="H461" t="str">
        <f>IFERROR(INDEX('Task Master'!$E:$E,MATCH($F461&amp;"||"&amp;$G461,'Task Master'!$K:$K,0)),"")</f>
        <v/>
      </c>
      <c r="I461" t="str">
        <f>IFERROR(INDEX('Task Master'!$F:$F,MATCH($F461&amp;"||"&amp;$G461,'Task Master'!$K:$K,0)),"")</f>
        <v/>
      </c>
      <c r="J461" t="str">
        <f>IFERROR(INDEX('Task Master'!$H:$H,MATCH($F461&amp;"||"&amp;$G461,'Task Master'!$K:$K,0)),"")</f>
        <v/>
      </c>
      <c r="N461" s="18" t="str">
        <f t="shared" si="57"/>
        <v/>
      </c>
      <c r="R461" s="18">
        <f t="shared" si="58"/>
        <v>0</v>
      </c>
      <c r="V461" s="18">
        <f t="shared" si="59"/>
        <v>0</v>
      </c>
      <c r="Z461" s="18">
        <f t="shared" si="60"/>
        <v>0</v>
      </c>
      <c r="AA461" s="18"/>
      <c r="AB461" s="18">
        <f t="shared" si="61"/>
        <v>0</v>
      </c>
      <c r="AC461" s="18" t="str">
        <f t="shared" si="62"/>
        <v/>
      </c>
      <c r="AD461" s="18" t="str">
        <f t="shared" si="63"/>
        <v/>
      </c>
      <c r="AF461" t="str">
        <f>IFERROR(INDEX('Task Master'!$D:$D,MATCH($F461,'Task Master'!$C:$C,0)),"")</f>
        <v/>
      </c>
    </row>
    <row r="462" spans="1:32" x14ac:dyDescent="0.25">
      <c r="A462" t="str">
        <f t="shared" si="56"/>
        <v/>
      </c>
      <c r="B462" s="16"/>
      <c r="D462" t="str">
        <f>IF($C462="","",IFERROR(INDEX('Asset Register'!$B:$B,MATCH($C462,'Asset Register'!$A:$A,0)),""))</f>
        <v/>
      </c>
      <c r="H462" t="str">
        <f>IFERROR(INDEX('Task Master'!$E:$E,MATCH($F462&amp;"||"&amp;$G462,'Task Master'!$K:$K,0)),"")</f>
        <v/>
      </c>
      <c r="I462" t="str">
        <f>IFERROR(INDEX('Task Master'!$F:$F,MATCH($F462&amp;"||"&amp;$G462,'Task Master'!$K:$K,0)),"")</f>
        <v/>
      </c>
      <c r="J462" t="str">
        <f>IFERROR(INDEX('Task Master'!$H:$H,MATCH($F462&amp;"||"&amp;$G462,'Task Master'!$K:$K,0)),"")</f>
        <v/>
      </c>
      <c r="N462" s="18" t="str">
        <f t="shared" si="57"/>
        <v/>
      </c>
      <c r="R462" s="18">
        <f t="shared" si="58"/>
        <v>0</v>
      </c>
      <c r="V462" s="18">
        <f t="shared" si="59"/>
        <v>0</v>
      </c>
      <c r="Z462" s="18">
        <f t="shared" si="60"/>
        <v>0</v>
      </c>
      <c r="AA462" s="18"/>
      <c r="AB462" s="18">
        <f t="shared" si="61"/>
        <v>0</v>
      </c>
      <c r="AC462" s="18" t="str">
        <f t="shared" si="62"/>
        <v/>
      </c>
      <c r="AD462" s="18" t="str">
        <f t="shared" si="63"/>
        <v/>
      </c>
      <c r="AF462" t="str">
        <f>IFERROR(INDEX('Task Master'!$D:$D,MATCH($F462,'Task Master'!$C:$C,0)),"")</f>
        <v/>
      </c>
    </row>
    <row r="463" spans="1:32" x14ac:dyDescent="0.25">
      <c r="A463" t="str">
        <f t="shared" si="56"/>
        <v/>
      </c>
      <c r="B463" s="16"/>
      <c r="D463" t="str">
        <f>IF($C463="","",IFERROR(INDEX('Asset Register'!$B:$B,MATCH($C463,'Asset Register'!$A:$A,0)),""))</f>
        <v/>
      </c>
      <c r="H463" t="str">
        <f>IFERROR(INDEX('Task Master'!$E:$E,MATCH($F463&amp;"||"&amp;$G463,'Task Master'!$K:$K,0)),"")</f>
        <v/>
      </c>
      <c r="I463" t="str">
        <f>IFERROR(INDEX('Task Master'!$F:$F,MATCH($F463&amp;"||"&amp;$G463,'Task Master'!$K:$K,0)),"")</f>
        <v/>
      </c>
      <c r="J463" t="str">
        <f>IFERROR(INDEX('Task Master'!$H:$H,MATCH($F463&amp;"||"&amp;$G463,'Task Master'!$K:$K,0)),"")</f>
        <v/>
      </c>
      <c r="N463" s="18" t="str">
        <f t="shared" si="57"/>
        <v/>
      </c>
      <c r="R463" s="18">
        <f t="shared" si="58"/>
        <v>0</v>
      </c>
      <c r="V463" s="18">
        <f t="shared" si="59"/>
        <v>0</v>
      </c>
      <c r="Z463" s="18">
        <f t="shared" si="60"/>
        <v>0</v>
      </c>
      <c r="AA463" s="18"/>
      <c r="AB463" s="18">
        <f t="shared" si="61"/>
        <v>0</v>
      </c>
      <c r="AC463" s="18" t="str">
        <f t="shared" si="62"/>
        <v/>
      </c>
      <c r="AD463" s="18" t="str">
        <f t="shared" si="63"/>
        <v/>
      </c>
      <c r="AF463" t="str">
        <f>IFERROR(INDEX('Task Master'!$D:$D,MATCH($F463,'Task Master'!$C:$C,0)),"")</f>
        <v/>
      </c>
    </row>
    <row r="464" spans="1:32" x14ac:dyDescent="0.25">
      <c r="A464" t="str">
        <f t="shared" si="56"/>
        <v/>
      </c>
      <c r="B464" s="16"/>
      <c r="D464" t="str">
        <f>IF($C464="","",IFERROR(INDEX('Asset Register'!$B:$B,MATCH($C464,'Asset Register'!$A:$A,0)),""))</f>
        <v/>
      </c>
      <c r="H464" t="str">
        <f>IFERROR(INDEX('Task Master'!$E:$E,MATCH($F464&amp;"||"&amp;$G464,'Task Master'!$K:$K,0)),"")</f>
        <v/>
      </c>
      <c r="I464" t="str">
        <f>IFERROR(INDEX('Task Master'!$F:$F,MATCH($F464&amp;"||"&amp;$G464,'Task Master'!$K:$K,0)),"")</f>
        <v/>
      </c>
      <c r="J464" t="str">
        <f>IFERROR(INDEX('Task Master'!$H:$H,MATCH($F464&amp;"||"&amp;$G464,'Task Master'!$K:$K,0)),"")</f>
        <v/>
      </c>
      <c r="N464" s="18" t="str">
        <f t="shared" si="57"/>
        <v/>
      </c>
      <c r="R464" s="18">
        <f t="shared" si="58"/>
        <v>0</v>
      </c>
      <c r="V464" s="18">
        <f t="shared" si="59"/>
        <v>0</v>
      </c>
      <c r="Z464" s="18">
        <f t="shared" si="60"/>
        <v>0</v>
      </c>
      <c r="AA464" s="18"/>
      <c r="AB464" s="18">
        <f t="shared" si="61"/>
        <v>0</v>
      </c>
      <c r="AC464" s="18" t="str">
        <f t="shared" si="62"/>
        <v/>
      </c>
      <c r="AD464" s="18" t="str">
        <f t="shared" si="63"/>
        <v/>
      </c>
      <c r="AF464" t="str">
        <f>IFERROR(INDEX('Task Master'!$D:$D,MATCH($F464,'Task Master'!$C:$C,0)),"")</f>
        <v/>
      </c>
    </row>
    <row r="465" spans="1:32" x14ac:dyDescent="0.25">
      <c r="A465" t="str">
        <f t="shared" si="56"/>
        <v/>
      </c>
      <c r="B465" s="16"/>
      <c r="D465" t="str">
        <f>IF($C465="","",IFERROR(INDEX('Asset Register'!$B:$B,MATCH($C465,'Asset Register'!$A:$A,0)),""))</f>
        <v/>
      </c>
      <c r="H465" t="str">
        <f>IFERROR(INDEX('Task Master'!$E:$E,MATCH($F465&amp;"||"&amp;$G465,'Task Master'!$K:$K,0)),"")</f>
        <v/>
      </c>
      <c r="I465" t="str">
        <f>IFERROR(INDEX('Task Master'!$F:$F,MATCH($F465&amp;"||"&amp;$G465,'Task Master'!$K:$K,0)),"")</f>
        <v/>
      </c>
      <c r="J465" t="str">
        <f>IFERROR(INDEX('Task Master'!$H:$H,MATCH($F465&amp;"||"&amp;$G465,'Task Master'!$K:$K,0)),"")</f>
        <v/>
      </c>
      <c r="N465" s="18" t="str">
        <f t="shared" si="57"/>
        <v/>
      </c>
      <c r="R465" s="18">
        <f t="shared" si="58"/>
        <v>0</v>
      </c>
      <c r="V465" s="18">
        <f t="shared" si="59"/>
        <v>0</v>
      </c>
      <c r="Z465" s="18">
        <f t="shared" si="60"/>
        <v>0</v>
      </c>
      <c r="AA465" s="18"/>
      <c r="AB465" s="18">
        <f t="shared" si="61"/>
        <v>0</v>
      </c>
      <c r="AC465" s="18" t="str">
        <f t="shared" si="62"/>
        <v/>
      </c>
      <c r="AD465" s="18" t="str">
        <f t="shared" si="63"/>
        <v/>
      </c>
      <c r="AF465" t="str">
        <f>IFERROR(INDEX('Task Master'!$D:$D,MATCH($F465,'Task Master'!$C:$C,0)),"")</f>
        <v/>
      </c>
    </row>
    <row r="466" spans="1:32" x14ac:dyDescent="0.25">
      <c r="A466" t="str">
        <f t="shared" si="56"/>
        <v/>
      </c>
      <c r="B466" s="16"/>
      <c r="D466" t="str">
        <f>IF($C466="","",IFERROR(INDEX('Asset Register'!$B:$B,MATCH($C466,'Asset Register'!$A:$A,0)),""))</f>
        <v/>
      </c>
      <c r="H466" t="str">
        <f>IFERROR(INDEX('Task Master'!$E:$E,MATCH($F466&amp;"||"&amp;$G466,'Task Master'!$K:$K,0)),"")</f>
        <v/>
      </c>
      <c r="I466" t="str">
        <f>IFERROR(INDEX('Task Master'!$F:$F,MATCH($F466&amp;"||"&amp;$G466,'Task Master'!$K:$K,0)),"")</f>
        <v/>
      </c>
      <c r="J466" t="str">
        <f>IFERROR(INDEX('Task Master'!$H:$H,MATCH($F466&amp;"||"&amp;$G466,'Task Master'!$K:$K,0)),"")</f>
        <v/>
      </c>
      <c r="N466" s="18" t="str">
        <f t="shared" si="57"/>
        <v/>
      </c>
      <c r="R466" s="18">
        <f t="shared" si="58"/>
        <v>0</v>
      </c>
      <c r="V466" s="18">
        <f t="shared" si="59"/>
        <v>0</v>
      </c>
      <c r="Z466" s="18">
        <f t="shared" si="60"/>
        <v>0</v>
      </c>
      <c r="AA466" s="18"/>
      <c r="AB466" s="18">
        <f t="shared" si="61"/>
        <v>0</v>
      </c>
      <c r="AC466" s="18" t="str">
        <f t="shared" si="62"/>
        <v/>
      </c>
      <c r="AD466" s="18" t="str">
        <f t="shared" si="63"/>
        <v/>
      </c>
      <c r="AF466" t="str">
        <f>IFERROR(INDEX('Task Master'!$D:$D,MATCH($F466,'Task Master'!$C:$C,0)),"")</f>
        <v/>
      </c>
    </row>
    <row r="467" spans="1:32" x14ac:dyDescent="0.25">
      <c r="A467" t="str">
        <f t="shared" si="56"/>
        <v/>
      </c>
      <c r="B467" s="16"/>
      <c r="D467" t="str">
        <f>IF($C467="","",IFERROR(INDEX('Asset Register'!$B:$B,MATCH($C467,'Asset Register'!$A:$A,0)),""))</f>
        <v/>
      </c>
      <c r="H467" t="str">
        <f>IFERROR(INDEX('Task Master'!$E:$E,MATCH($F467&amp;"||"&amp;$G467,'Task Master'!$K:$K,0)),"")</f>
        <v/>
      </c>
      <c r="I467" t="str">
        <f>IFERROR(INDEX('Task Master'!$F:$F,MATCH($F467&amp;"||"&amp;$G467,'Task Master'!$K:$K,0)),"")</f>
        <v/>
      </c>
      <c r="J467" t="str">
        <f>IFERROR(INDEX('Task Master'!$H:$H,MATCH($F467&amp;"||"&amp;$G467,'Task Master'!$K:$K,0)),"")</f>
        <v/>
      </c>
      <c r="N467" s="18" t="str">
        <f t="shared" si="57"/>
        <v/>
      </c>
      <c r="R467" s="18">
        <f t="shared" si="58"/>
        <v>0</v>
      </c>
      <c r="V467" s="18">
        <f t="shared" si="59"/>
        <v>0</v>
      </c>
      <c r="Z467" s="18">
        <f t="shared" si="60"/>
        <v>0</v>
      </c>
      <c r="AA467" s="18"/>
      <c r="AB467" s="18">
        <f t="shared" si="61"/>
        <v>0</v>
      </c>
      <c r="AC467" s="18" t="str">
        <f t="shared" si="62"/>
        <v/>
      </c>
      <c r="AD467" s="18" t="str">
        <f t="shared" si="63"/>
        <v/>
      </c>
      <c r="AF467" t="str">
        <f>IFERROR(INDEX('Task Master'!$D:$D,MATCH($F467,'Task Master'!$C:$C,0)),"")</f>
        <v/>
      </c>
    </row>
    <row r="468" spans="1:32" x14ac:dyDescent="0.25">
      <c r="A468" t="str">
        <f t="shared" si="56"/>
        <v/>
      </c>
      <c r="B468" s="16"/>
      <c r="D468" t="str">
        <f>IF($C468="","",IFERROR(INDEX('Asset Register'!$B:$B,MATCH($C468,'Asset Register'!$A:$A,0)),""))</f>
        <v/>
      </c>
      <c r="H468" t="str">
        <f>IFERROR(INDEX('Task Master'!$E:$E,MATCH($F468&amp;"||"&amp;$G468,'Task Master'!$K:$K,0)),"")</f>
        <v/>
      </c>
      <c r="I468" t="str">
        <f>IFERROR(INDEX('Task Master'!$F:$F,MATCH($F468&amp;"||"&amp;$G468,'Task Master'!$K:$K,0)),"")</f>
        <v/>
      </c>
      <c r="J468" t="str">
        <f>IFERROR(INDEX('Task Master'!$H:$H,MATCH($F468&amp;"||"&amp;$G468,'Task Master'!$K:$K,0)),"")</f>
        <v/>
      </c>
      <c r="N468" s="18" t="str">
        <f t="shared" si="57"/>
        <v/>
      </c>
      <c r="R468" s="18">
        <f t="shared" si="58"/>
        <v>0</v>
      </c>
      <c r="V468" s="18">
        <f t="shared" si="59"/>
        <v>0</v>
      </c>
      <c r="Z468" s="18">
        <f t="shared" si="60"/>
        <v>0</v>
      </c>
      <c r="AA468" s="18"/>
      <c r="AB468" s="18">
        <f t="shared" si="61"/>
        <v>0</v>
      </c>
      <c r="AC468" s="18" t="str">
        <f t="shared" si="62"/>
        <v/>
      </c>
      <c r="AD468" s="18" t="str">
        <f t="shared" si="63"/>
        <v/>
      </c>
      <c r="AF468" t="str">
        <f>IFERROR(INDEX('Task Master'!$D:$D,MATCH($F468,'Task Master'!$C:$C,0)),"")</f>
        <v/>
      </c>
    </row>
    <row r="469" spans="1:32" x14ac:dyDescent="0.25">
      <c r="A469" t="str">
        <f t="shared" si="56"/>
        <v/>
      </c>
      <c r="B469" s="16"/>
      <c r="D469" t="str">
        <f>IF($C469="","",IFERROR(INDEX('Asset Register'!$B:$B,MATCH($C469,'Asset Register'!$A:$A,0)),""))</f>
        <v/>
      </c>
      <c r="H469" t="str">
        <f>IFERROR(INDEX('Task Master'!$E:$E,MATCH($F469&amp;"||"&amp;$G469,'Task Master'!$K:$K,0)),"")</f>
        <v/>
      </c>
      <c r="I469" t="str">
        <f>IFERROR(INDEX('Task Master'!$F:$F,MATCH($F469&amp;"||"&amp;$G469,'Task Master'!$K:$K,0)),"")</f>
        <v/>
      </c>
      <c r="J469" t="str">
        <f>IFERROR(INDEX('Task Master'!$H:$H,MATCH($F469&amp;"||"&amp;$G469,'Task Master'!$K:$K,0)),"")</f>
        <v/>
      </c>
      <c r="N469" s="18" t="str">
        <f t="shared" si="57"/>
        <v/>
      </c>
      <c r="R469" s="18">
        <f t="shared" si="58"/>
        <v>0</v>
      </c>
      <c r="V469" s="18">
        <f t="shared" si="59"/>
        <v>0</v>
      </c>
      <c r="Z469" s="18">
        <f t="shared" si="60"/>
        <v>0</v>
      </c>
      <c r="AA469" s="18"/>
      <c r="AB469" s="18">
        <f t="shared" si="61"/>
        <v>0</v>
      </c>
      <c r="AC469" s="18" t="str">
        <f t="shared" si="62"/>
        <v/>
      </c>
      <c r="AD469" s="18" t="str">
        <f t="shared" si="63"/>
        <v/>
      </c>
      <c r="AF469" t="str">
        <f>IFERROR(INDEX('Task Master'!$D:$D,MATCH($F469,'Task Master'!$C:$C,0)),"")</f>
        <v/>
      </c>
    </row>
    <row r="470" spans="1:32" x14ac:dyDescent="0.25">
      <c r="A470" t="str">
        <f t="shared" si="56"/>
        <v/>
      </c>
      <c r="B470" s="16"/>
      <c r="D470" t="str">
        <f>IF($C470="","",IFERROR(INDEX('Asset Register'!$B:$B,MATCH($C470,'Asset Register'!$A:$A,0)),""))</f>
        <v/>
      </c>
      <c r="H470" t="str">
        <f>IFERROR(INDEX('Task Master'!$E:$E,MATCH($F470&amp;"||"&amp;$G470,'Task Master'!$K:$K,0)),"")</f>
        <v/>
      </c>
      <c r="I470" t="str">
        <f>IFERROR(INDEX('Task Master'!$F:$F,MATCH($F470&amp;"||"&amp;$G470,'Task Master'!$K:$K,0)),"")</f>
        <v/>
      </c>
      <c r="J470" t="str">
        <f>IFERROR(INDEX('Task Master'!$H:$H,MATCH($F470&amp;"||"&amp;$G470,'Task Master'!$K:$K,0)),"")</f>
        <v/>
      </c>
      <c r="N470" s="18" t="str">
        <f t="shared" si="57"/>
        <v/>
      </c>
      <c r="R470" s="18">
        <f t="shared" si="58"/>
        <v>0</v>
      </c>
      <c r="V470" s="18">
        <f t="shared" si="59"/>
        <v>0</v>
      </c>
      <c r="Z470" s="18">
        <f t="shared" si="60"/>
        <v>0</v>
      </c>
      <c r="AA470" s="18"/>
      <c r="AB470" s="18">
        <f t="shared" si="61"/>
        <v>0</v>
      </c>
      <c r="AC470" s="18" t="str">
        <f t="shared" si="62"/>
        <v/>
      </c>
      <c r="AD470" s="18" t="str">
        <f t="shared" si="63"/>
        <v/>
      </c>
      <c r="AF470" t="str">
        <f>IFERROR(INDEX('Task Master'!$D:$D,MATCH($F470,'Task Master'!$C:$C,0)),"")</f>
        <v/>
      </c>
    </row>
    <row r="471" spans="1:32" x14ac:dyDescent="0.25">
      <c r="A471" t="str">
        <f t="shared" si="56"/>
        <v/>
      </c>
      <c r="B471" s="16"/>
      <c r="D471" t="str">
        <f>IF($C471="","",IFERROR(INDEX('Asset Register'!$B:$B,MATCH($C471,'Asset Register'!$A:$A,0)),""))</f>
        <v/>
      </c>
      <c r="H471" t="str">
        <f>IFERROR(INDEX('Task Master'!$E:$E,MATCH($F471&amp;"||"&amp;$G471,'Task Master'!$K:$K,0)),"")</f>
        <v/>
      </c>
      <c r="I471" t="str">
        <f>IFERROR(INDEX('Task Master'!$F:$F,MATCH($F471&amp;"||"&amp;$G471,'Task Master'!$K:$K,0)),"")</f>
        <v/>
      </c>
      <c r="J471" t="str">
        <f>IFERROR(INDEX('Task Master'!$H:$H,MATCH($F471&amp;"||"&amp;$G471,'Task Master'!$K:$K,0)),"")</f>
        <v/>
      </c>
      <c r="N471" s="18" t="str">
        <f t="shared" si="57"/>
        <v/>
      </c>
      <c r="R471" s="18">
        <f t="shared" si="58"/>
        <v>0</v>
      </c>
      <c r="V471" s="18">
        <f t="shared" si="59"/>
        <v>0</v>
      </c>
      <c r="Z471" s="18">
        <f t="shared" si="60"/>
        <v>0</v>
      </c>
      <c r="AA471" s="18"/>
      <c r="AB471" s="18">
        <f t="shared" si="61"/>
        <v>0</v>
      </c>
      <c r="AC471" s="18" t="str">
        <f t="shared" si="62"/>
        <v/>
      </c>
      <c r="AD471" s="18" t="str">
        <f t="shared" si="63"/>
        <v/>
      </c>
      <c r="AF471" t="str">
        <f>IFERROR(INDEX('Task Master'!$D:$D,MATCH($F471,'Task Master'!$C:$C,0)),"")</f>
        <v/>
      </c>
    </row>
    <row r="472" spans="1:32" x14ac:dyDescent="0.25">
      <c r="A472" t="str">
        <f t="shared" si="56"/>
        <v/>
      </c>
      <c r="B472" s="16"/>
      <c r="D472" t="str">
        <f>IF($C472="","",IFERROR(INDEX('Asset Register'!$B:$B,MATCH($C472,'Asset Register'!$A:$A,0)),""))</f>
        <v/>
      </c>
      <c r="H472" t="str">
        <f>IFERROR(INDEX('Task Master'!$E:$E,MATCH($F472&amp;"||"&amp;$G472,'Task Master'!$K:$K,0)),"")</f>
        <v/>
      </c>
      <c r="I472" t="str">
        <f>IFERROR(INDEX('Task Master'!$F:$F,MATCH($F472&amp;"||"&amp;$G472,'Task Master'!$K:$K,0)),"")</f>
        <v/>
      </c>
      <c r="J472" t="str">
        <f>IFERROR(INDEX('Task Master'!$H:$H,MATCH($F472&amp;"||"&amp;$G472,'Task Master'!$K:$K,0)),"")</f>
        <v/>
      </c>
      <c r="N472" s="18" t="str">
        <f t="shared" si="57"/>
        <v/>
      </c>
      <c r="R472" s="18">
        <f t="shared" si="58"/>
        <v>0</v>
      </c>
      <c r="V472" s="18">
        <f t="shared" si="59"/>
        <v>0</v>
      </c>
      <c r="Z472" s="18">
        <f t="shared" si="60"/>
        <v>0</v>
      </c>
      <c r="AA472" s="18"/>
      <c r="AB472" s="18">
        <f t="shared" si="61"/>
        <v>0</v>
      </c>
      <c r="AC472" s="18" t="str">
        <f t="shared" si="62"/>
        <v/>
      </c>
      <c r="AD472" s="18" t="str">
        <f t="shared" si="63"/>
        <v/>
      </c>
      <c r="AF472" t="str">
        <f>IFERROR(INDEX('Task Master'!$D:$D,MATCH($F472,'Task Master'!$C:$C,0)),"")</f>
        <v/>
      </c>
    </row>
    <row r="473" spans="1:32" x14ac:dyDescent="0.25">
      <c r="A473" t="str">
        <f t="shared" si="56"/>
        <v/>
      </c>
      <c r="B473" s="16"/>
      <c r="D473" t="str">
        <f>IF($C473="","",IFERROR(INDEX('Asset Register'!$B:$B,MATCH($C473,'Asset Register'!$A:$A,0)),""))</f>
        <v/>
      </c>
      <c r="H473" t="str">
        <f>IFERROR(INDEX('Task Master'!$E:$E,MATCH($F473&amp;"||"&amp;$G473,'Task Master'!$K:$K,0)),"")</f>
        <v/>
      </c>
      <c r="I473" t="str">
        <f>IFERROR(INDEX('Task Master'!$F:$F,MATCH($F473&amp;"||"&amp;$G473,'Task Master'!$K:$K,0)),"")</f>
        <v/>
      </c>
      <c r="J473" t="str">
        <f>IFERROR(INDEX('Task Master'!$H:$H,MATCH($F473&amp;"||"&amp;$G473,'Task Master'!$K:$K,0)),"")</f>
        <v/>
      </c>
      <c r="N473" s="18" t="str">
        <f t="shared" si="57"/>
        <v/>
      </c>
      <c r="R473" s="18">
        <f t="shared" si="58"/>
        <v>0</v>
      </c>
      <c r="V473" s="18">
        <f t="shared" si="59"/>
        <v>0</v>
      </c>
      <c r="Z473" s="18">
        <f t="shared" si="60"/>
        <v>0</v>
      </c>
      <c r="AA473" s="18"/>
      <c r="AB473" s="18">
        <f t="shared" si="61"/>
        <v>0</v>
      </c>
      <c r="AC473" s="18" t="str">
        <f t="shared" si="62"/>
        <v/>
      </c>
      <c r="AD473" s="18" t="str">
        <f t="shared" si="63"/>
        <v/>
      </c>
      <c r="AF473" t="str">
        <f>IFERROR(INDEX('Task Master'!$D:$D,MATCH($F473,'Task Master'!$C:$C,0)),"")</f>
        <v/>
      </c>
    </row>
    <row r="474" spans="1:32" x14ac:dyDescent="0.25">
      <c r="A474" t="str">
        <f t="shared" si="56"/>
        <v/>
      </c>
      <c r="B474" s="16"/>
      <c r="D474" t="str">
        <f>IF($C474="","",IFERROR(INDEX('Asset Register'!$B:$B,MATCH($C474,'Asset Register'!$A:$A,0)),""))</f>
        <v/>
      </c>
      <c r="H474" t="str">
        <f>IFERROR(INDEX('Task Master'!$E:$E,MATCH($F474&amp;"||"&amp;$G474,'Task Master'!$K:$K,0)),"")</f>
        <v/>
      </c>
      <c r="I474" t="str">
        <f>IFERROR(INDEX('Task Master'!$F:$F,MATCH($F474&amp;"||"&amp;$G474,'Task Master'!$K:$K,0)),"")</f>
        <v/>
      </c>
      <c r="J474" t="str">
        <f>IFERROR(INDEX('Task Master'!$H:$H,MATCH($F474&amp;"||"&amp;$G474,'Task Master'!$K:$K,0)),"")</f>
        <v/>
      </c>
      <c r="N474" s="18" t="str">
        <f t="shared" si="57"/>
        <v/>
      </c>
      <c r="R474" s="18">
        <f t="shared" si="58"/>
        <v>0</v>
      </c>
      <c r="V474" s="18">
        <f t="shared" si="59"/>
        <v>0</v>
      </c>
      <c r="Z474" s="18">
        <f t="shared" si="60"/>
        <v>0</v>
      </c>
      <c r="AA474" s="18"/>
      <c r="AB474" s="18">
        <f t="shared" si="61"/>
        <v>0</v>
      </c>
      <c r="AC474" s="18" t="str">
        <f t="shared" si="62"/>
        <v/>
      </c>
      <c r="AD474" s="18" t="str">
        <f t="shared" si="63"/>
        <v/>
      </c>
      <c r="AF474" t="str">
        <f>IFERROR(INDEX('Task Master'!$D:$D,MATCH($F474,'Task Master'!$C:$C,0)),"")</f>
        <v/>
      </c>
    </row>
    <row r="475" spans="1:32" x14ac:dyDescent="0.25">
      <c r="A475" t="str">
        <f t="shared" si="56"/>
        <v/>
      </c>
      <c r="B475" s="16"/>
      <c r="D475" t="str">
        <f>IF($C475="","",IFERROR(INDEX('Asset Register'!$B:$B,MATCH($C475,'Asset Register'!$A:$A,0)),""))</f>
        <v/>
      </c>
      <c r="H475" t="str">
        <f>IFERROR(INDEX('Task Master'!$E:$E,MATCH($F475&amp;"||"&amp;$G475,'Task Master'!$K:$K,0)),"")</f>
        <v/>
      </c>
      <c r="I475" t="str">
        <f>IFERROR(INDEX('Task Master'!$F:$F,MATCH($F475&amp;"||"&amp;$G475,'Task Master'!$K:$K,0)),"")</f>
        <v/>
      </c>
      <c r="J475" t="str">
        <f>IFERROR(INDEX('Task Master'!$H:$H,MATCH($F475&amp;"||"&amp;$G475,'Task Master'!$K:$K,0)),"")</f>
        <v/>
      </c>
      <c r="N475" s="18" t="str">
        <f t="shared" si="57"/>
        <v/>
      </c>
      <c r="R475" s="18">
        <f t="shared" si="58"/>
        <v>0</v>
      </c>
      <c r="V475" s="18">
        <f t="shared" si="59"/>
        <v>0</v>
      </c>
      <c r="Z475" s="18">
        <f t="shared" si="60"/>
        <v>0</v>
      </c>
      <c r="AA475" s="18"/>
      <c r="AB475" s="18">
        <f t="shared" si="61"/>
        <v>0</v>
      </c>
      <c r="AC475" s="18" t="str">
        <f t="shared" si="62"/>
        <v/>
      </c>
      <c r="AD475" s="18" t="str">
        <f t="shared" si="63"/>
        <v/>
      </c>
      <c r="AF475" t="str">
        <f>IFERROR(INDEX('Task Master'!$D:$D,MATCH($F475,'Task Master'!$C:$C,0)),"")</f>
        <v/>
      </c>
    </row>
    <row r="476" spans="1:32" x14ac:dyDescent="0.25">
      <c r="A476" t="str">
        <f t="shared" si="56"/>
        <v/>
      </c>
      <c r="B476" s="16"/>
      <c r="D476" t="str">
        <f>IF($C476="","",IFERROR(INDEX('Asset Register'!$B:$B,MATCH($C476,'Asset Register'!$A:$A,0)),""))</f>
        <v/>
      </c>
      <c r="H476" t="str">
        <f>IFERROR(INDEX('Task Master'!$E:$E,MATCH($F476&amp;"||"&amp;$G476,'Task Master'!$K:$K,0)),"")</f>
        <v/>
      </c>
      <c r="I476" t="str">
        <f>IFERROR(INDEX('Task Master'!$F:$F,MATCH($F476&amp;"||"&amp;$G476,'Task Master'!$K:$K,0)),"")</f>
        <v/>
      </c>
      <c r="J476" t="str">
        <f>IFERROR(INDEX('Task Master'!$H:$H,MATCH($F476&amp;"||"&amp;$G476,'Task Master'!$K:$K,0)),"")</f>
        <v/>
      </c>
      <c r="N476" s="18" t="str">
        <f t="shared" si="57"/>
        <v/>
      </c>
      <c r="R476" s="18">
        <f t="shared" si="58"/>
        <v>0</v>
      </c>
      <c r="V476" s="18">
        <f t="shared" si="59"/>
        <v>0</v>
      </c>
      <c r="Z476" s="18">
        <f t="shared" si="60"/>
        <v>0</v>
      </c>
      <c r="AA476" s="18"/>
      <c r="AB476" s="18">
        <f t="shared" si="61"/>
        <v>0</v>
      </c>
      <c r="AC476" s="18" t="str">
        <f t="shared" si="62"/>
        <v/>
      </c>
      <c r="AD476" s="18" t="str">
        <f t="shared" si="63"/>
        <v/>
      </c>
      <c r="AF476" t="str">
        <f>IFERROR(INDEX('Task Master'!$D:$D,MATCH($F476,'Task Master'!$C:$C,0)),"")</f>
        <v/>
      </c>
    </row>
    <row r="477" spans="1:32" x14ac:dyDescent="0.25">
      <c r="A477" t="str">
        <f t="shared" si="56"/>
        <v/>
      </c>
      <c r="B477" s="16"/>
      <c r="D477" t="str">
        <f>IF($C477="","",IFERROR(INDEX('Asset Register'!$B:$B,MATCH($C477,'Asset Register'!$A:$A,0)),""))</f>
        <v/>
      </c>
      <c r="H477" t="str">
        <f>IFERROR(INDEX('Task Master'!$E:$E,MATCH($F477&amp;"||"&amp;$G477,'Task Master'!$K:$K,0)),"")</f>
        <v/>
      </c>
      <c r="I477" t="str">
        <f>IFERROR(INDEX('Task Master'!$F:$F,MATCH($F477&amp;"||"&amp;$G477,'Task Master'!$K:$K,0)),"")</f>
        <v/>
      </c>
      <c r="J477" t="str">
        <f>IFERROR(INDEX('Task Master'!$H:$H,MATCH($F477&amp;"||"&amp;$G477,'Task Master'!$K:$K,0)),"")</f>
        <v/>
      </c>
      <c r="N477" s="18" t="str">
        <f t="shared" si="57"/>
        <v/>
      </c>
      <c r="R477" s="18">
        <f t="shared" si="58"/>
        <v>0</v>
      </c>
      <c r="V477" s="18">
        <f t="shared" si="59"/>
        <v>0</v>
      </c>
      <c r="Z477" s="18">
        <f t="shared" si="60"/>
        <v>0</v>
      </c>
      <c r="AA477" s="18"/>
      <c r="AB477" s="18">
        <f t="shared" si="61"/>
        <v>0</v>
      </c>
      <c r="AC477" s="18" t="str">
        <f t="shared" si="62"/>
        <v/>
      </c>
      <c r="AD477" s="18" t="str">
        <f t="shared" si="63"/>
        <v/>
      </c>
      <c r="AF477" t="str">
        <f>IFERROR(INDEX('Task Master'!$D:$D,MATCH($F477,'Task Master'!$C:$C,0)),"")</f>
        <v/>
      </c>
    </row>
    <row r="478" spans="1:32" x14ac:dyDescent="0.25">
      <c r="A478" t="str">
        <f t="shared" si="56"/>
        <v/>
      </c>
      <c r="B478" s="16"/>
      <c r="D478" t="str">
        <f>IF($C478="","",IFERROR(INDEX('Asset Register'!$B:$B,MATCH($C478,'Asset Register'!$A:$A,0)),""))</f>
        <v/>
      </c>
      <c r="H478" t="str">
        <f>IFERROR(INDEX('Task Master'!$E:$E,MATCH($F478&amp;"||"&amp;$G478,'Task Master'!$K:$K,0)),"")</f>
        <v/>
      </c>
      <c r="I478" t="str">
        <f>IFERROR(INDEX('Task Master'!$F:$F,MATCH($F478&amp;"||"&amp;$G478,'Task Master'!$K:$K,0)),"")</f>
        <v/>
      </c>
      <c r="J478" t="str">
        <f>IFERROR(INDEX('Task Master'!$H:$H,MATCH($F478&amp;"||"&amp;$G478,'Task Master'!$K:$K,0)),"")</f>
        <v/>
      </c>
      <c r="N478" s="18" t="str">
        <f t="shared" si="57"/>
        <v/>
      </c>
      <c r="R478" s="18">
        <f t="shared" si="58"/>
        <v>0</v>
      </c>
      <c r="V478" s="18">
        <f t="shared" si="59"/>
        <v>0</v>
      </c>
      <c r="Z478" s="18">
        <f t="shared" si="60"/>
        <v>0</v>
      </c>
      <c r="AA478" s="18"/>
      <c r="AB478" s="18">
        <f t="shared" si="61"/>
        <v>0</v>
      </c>
      <c r="AC478" s="18" t="str">
        <f t="shared" si="62"/>
        <v/>
      </c>
      <c r="AD478" s="18" t="str">
        <f t="shared" si="63"/>
        <v/>
      </c>
      <c r="AF478" t="str">
        <f>IFERROR(INDEX('Task Master'!$D:$D,MATCH($F478,'Task Master'!$C:$C,0)),"")</f>
        <v/>
      </c>
    </row>
    <row r="479" spans="1:32" x14ac:dyDescent="0.25">
      <c r="A479" t="str">
        <f t="shared" si="56"/>
        <v/>
      </c>
      <c r="B479" s="16"/>
      <c r="D479" t="str">
        <f>IF($C479="","",IFERROR(INDEX('Asset Register'!$B:$B,MATCH($C479,'Asset Register'!$A:$A,0)),""))</f>
        <v/>
      </c>
      <c r="H479" t="str">
        <f>IFERROR(INDEX('Task Master'!$E:$E,MATCH($F479&amp;"||"&amp;$G479,'Task Master'!$K:$K,0)),"")</f>
        <v/>
      </c>
      <c r="I479" t="str">
        <f>IFERROR(INDEX('Task Master'!$F:$F,MATCH($F479&amp;"||"&amp;$G479,'Task Master'!$K:$K,0)),"")</f>
        <v/>
      </c>
      <c r="J479" t="str">
        <f>IFERROR(INDEX('Task Master'!$H:$H,MATCH($F479&amp;"||"&amp;$G479,'Task Master'!$K:$K,0)),"")</f>
        <v/>
      </c>
      <c r="N479" s="18" t="str">
        <f t="shared" si="57"/>
        <v/>
      </c>
      <c r="R479" s="18">
        <f t="shared" si="58"/>
        <v>0</v>
      </c>
      <c r="V479" s="18">
        <f t="shared" si="59"/>
        <v>0</v>
      </c>
      <c r="Z479" s="18">
        <f t="shared" si="60"/>
        <v>0</v>
      </c>
      <c r="AA479" s="18"/>
      <c r="AB479" s="18">
        <f t="shared" si="61"/>
        <v>0</v>
      </c>
      <c r="AC479" s="18" t="str">
        <f t="shared" si="62"/>
        <v/>
      </c>
      <c r="AD479" s="18" t="str">
        <f t="shared" si="63"/>
        <v/>
      </c>
      <c r="AF479" t="str">
        <f>IFERROR(INDEX('Task Master'!$D:$D,MATCH($F479,'Task Master'!$C:$C,0)),"")</f>
        <v/>
      </c>
    </row>
    <row r="480" spans="1:32" x14ac:dyDescent="0.25">
      <c r="A480" t="str">
        <f t="shared" si="56"/>
        <v/>
      </c>
      <c r="B480" s="16"/>
      <c r="D480" t="str">
        <f>IF($C480="","",IFERROR(INDEX('Asset Register'!$B:$B,MATCH($C480,'Asset Register'!$A:$A,0)),""))</f>
        <v/>
      </c>
      <c r="H480" t="str">
        <f>IFERROR(INDEX('Task Master'!$E:$E,MATCH($F480&amp;"||"&amp;$G480,'Task Master'!$K:$K,0)),"")</f>
        <v/>
      </c>
      <c r="I480" t="str">
        <f>IFERROR(INDEX('Task Master'!$F:$F,MATCH($F480&amp;"||"&amp;$G480,'Task Master'!$K:$K,0)),"")</f>
        <v/>
      </c>
      <c r="J480" t="str">
        <f>IFERROR(INDEX('Task Master'!$H:$H,MATCH($F480&amp;"||"&amp;$G480,'Task Master'!$K:$K,0)),"")</f>
        <v/>
      </c>
      <c r="N480" s="18" t="str">
        <f t="shared" si="57"/>
        <v/>
      </c>
      <c r="R480" s="18">
        <f t="shared" si="58"/>
        <v>0</v>
      </c>
      <c r="V480" s="18">
        <f t="shared" si="59"/>
        <v>0</v>
      </c>
      <c r="Z480" s="18">
        <f t="shared" si="60"/>
        <v>0</v>
      </c>
      <c r="AA480" s="18"/>
      <c r="AB480" s="18">
        <f t="shared" si="61"/>
        <v>0</v>
      </c>
      <c r="AC480" s="18" t="str">
        <f t="shared" si="62"/>
        <v/>
      </c>
      <c r="AD480" s="18" t="str">
        <f t="shared" si="63"/>
        <v/>
      </c>
      <c r="AF480" t="str">
        <f>IFERROR(INDEX('Task Master'!$D:$D,MATCH($F480,'Task Master'!$C:$C,0)),"")</f>
        <v/>
      </c>
    </row>
    <row r="481" spans="1:32" x14ac:dyDescent="0.25">
      <c r="A481" t="str">
        <f t="shared" si="56"/>
        <v/>
      </c>
      <c r="B481" s="16"/>
      <c r="D481" t="str">
        <f>IF($C481="","",IFERROR(INDEX('Asset Register'!$B:$B,MATCH($C481,'Asset Register'!$A:$A,0)),""))</f>
        <v/>
      </c>
      <c r="H481" t="str">
        <f>IFERROR(INDEX('Task Master'!$E:$E,MATCH($F481&amp;"||"&amp;$G481,'Task Master'!$K:$K,0)),"")</f>
        <v/>
      </c>
      <c r="I481" t="str">
        <f>IFERROR(INDEX('Task Master'!$F:$F,MATCH($F481&amp;"||"&amp;$G481,'Task Master'!$K:$K,0)),"")</f>
        <v/>
      </c>
      <c r="J481" t="str">
        <f>IFERROR(INDEX('Task Master'!$H:$H,MATCH($F481&amp;"||"&amp;$G481,'Task Master'!$K:$K,0)),"")</f>
        <v/>
      </c>
      <c r="N481" s="18" t="str">
        <f t="shared" si="57"/>
        <v/>
      </c>
      <c r="R481" s="18">
        <f t="shared" si="58"/>
        <v>0</v>
      </c>
      <c r="V481" s="18">
        <f t="shared" si="59"/>
        <v>0</v>
      </c>
      <c r="Z481" s="18">
        <f t="shared" si="60"/>
        <v>0</v>
      </c>
      <c r="AA481" s="18"/>
      <c r="AB481" s="18">
        <f t="shared" si="61"/>
        <v>0</v>
      </c>
      <c r="AC481" s="18" t="str">
        <f t="shared" si="62"/>
        <v/>
      </c>
      <c r="AD481" s="18" t="str">
        <f t="shared" si="63"/>
        <v/>
      </c>
      <c r="AF481" t="str">
        <f>IFERROR(INDEX('Task Master'!$D:$D,MATCH($F481,'Task Master'!$C:$C,0)),"")</f>
        <v/>
      </c>
    </row>
    <row r="482" spans="1:32" x14ac:dyDescent="0.25">
      <c r="A482" t="str">
        <f t="shared" si="56"/>
        <v/>
      </c>
      <c r="B482" s="16"/>
      <c r="D482" t="str">
        <f>IF($C482="","",IFERROR(INDEX('Asset Register'!$B:$B,MATCH($C482,'Asset Register'!$A:$A,0)),""))</f>
        <v/>
      </c>
      <c r="H482" t="str">
        <f>IFERROR(INDEX('Task Master'!$E:$E,MATCH($F482&amp;"||"&amp;$G482,'Task Master'!$K:$K,0)),"")</f>
        <v/>
      </c>
      <c r="I482" t="str">
        <f>IFERROR(INDEX('Task Master'!$F:$F,MATCH($F482&amp;"||"&amp;$G482,'Task Master'!$K:$K,0)),"")</f>
        <v/>
      </c>
      <c r="J482" t="str">
        <f>IFERROR(INDEX('Task Master'!$H:$H,MATCH($F482&amp;"||"&amp;$G482,'Task Master'!$K:$K,0)),"")</f>
        <v/>
      </c>
      <c r="N482" s="18" t="str">
        <f t="shared" si="57"/>
        <v/>
      </c>
      <c r="R482" s="18">
        <f t="shared" si="58"/>
        <v>0</v>
      </c>
      <c r="V482" s="18">
        <f t="shared" si="59"/>
        <v>0</v>
      </c>
      <c r="Z482" s="18">
        <f t="shared" si="60"/>
        <v>0</v>
      </c>
      <c r="AA482" s="18"/>
      <c r="AB482" s="18">
        <f t="shared" si="61"/>
        <v>0</v>
      </c>
      <c r="AC482" s="18" t="str">
        <f t="shared" si="62"/>
        <v/>
      </c>
      <c r="AD482" s="18" t="str">
        <f t="shared" si="63"/>
        <v/>
      </c>
      <c r="AF482" t="str">
        <f>IFERROR(INDEX('Task Master'!$D:$D,MATCH($F482,'Task Master'!$C:$C,0)),"")</f>
        <v/>
      </c>
    </row>
    <row r="483" spans="1:32" x14ac:dyDescent="0.25">
      <c r="A483" t="str">
        <f t="shared" si="56"/>
        <v/>
      </c>
      <c r="B483" s="16"/>
      <c r="D483" t="str">
        <f>IF($C483="","",IFERROR(INDEX('Asset Register'!$B:$B,MATCH($C483,'Asset Register'!$A:$A,0)),""))</f>
        <v/>
      </c>
      <c r="H483" t="str">
        <f>IFERROR(INDEX('Task Master'!$E:$E,MATCH($F483&amp;"||"&amp;$G483,'Task Master'!$K:$K,0)),"")</f>
        <v/>
      </c>
      <c r="I483" t="str">
        <f>IFERROR(INDEX('Task Master'!$F:$F,MATCH($F483&amp;"||"&amp;$G483,'Task Master'!$K:$K,0)),"")</f>
        <v/>
      </c>
      <c r="J483" t="str">
        <f>IFERROR(INDEX('Task Master'!$H:$H,MATCH($F483&amp;"||"&amp;$G483,'Task Master'!$K:$K,0)),"")</f>
        <v/>
      </c>
      <c r="N483" s="18" t="str">
        <f t="shared" si="57"/>
        <v/>
      </c>
      <c r="R483" s="18">
        <f t="shared" si="58"/>
        <v>0</v>
      </c>
      <c r="V483" s="18">
        <f t="shared" si="59"/>
        <v>0</v>
      </c>
      <c r="Z483" s="18">
        <f t="shared" si="60"/>
        <v>0</v>
      </c>
      <c r="AA483" s="18"/>
      <c r="AB483" s="18">
        <f t="shared" si="61"/>
        <v>0</v>
      </c>
      <c r="AC483" s="18" t="str">
        <f t="shared" si="62"/>
        <v/>
      </c>
      <c r="AD483" s="18" t="str">
        <f t="shared" si="63"/>
        <v/>
      </c>
      <c r="AF483" t="str">
        <f>IFERROR(INDEX('Task Master'!$D:$D,MATCH($F483,'Task Master'!$C:$C,0)),"")</f>
        <v/>
      </c>
    </row>
    <row r="484" spans="1:32" x14ac:dyDescent="0.25">
      <c r="A484" t="str">
        <f t="shared" si="56"/>
        <v/>
      </c>
      <c r="B484" s="16"/>
      <c r="D484" t="str">
        <f>IF($C484="","",IFERROR(INDEX('Asset Register'!$B:$B,MATCH($C484,'Asset Register'!$A:$A,0)),""))</f>
        <v/>
      </c>
      <c r="H484" t="str">
        <f>IFERROR(INDEX('Task Master'!$E:$E,MATCH($F484&amp;"||"&amp;$G484,'Task Master'!$K:$K,0)),"")</f>
        <v/>
      </c>
      <c r="I484" t="str">
        <f>IFERROR(INDEX('Task Master'!$F:$F,MATCH($F484&amp;"||"&amp;$G484,'Task Master'!$K:$K,0)),"")</f>
        <v/>
      </c>
      <c r="J484" t="str">
        <f>IFERROR(INDEX('Task Master'!$H:$H,MATCH($F484&amp;"||"&amp;$G484,'Task Master'!$K:$K,0)),"")</f>
        <v/>
      </c>
      <c r="N484" s="18" t="str">
        <f t="shared" si="57"/>
        <v/>
      </c>
      <c r="R484" s="18">
        <f t="shared" si="58"/>
        <v>0</v>
      </c>
      <c r="V484" s="18">
        <f t="shared" si="59"/>
        <v>0</v>
      </c>
      <c r="Z484" s="18">
        <f t="shared" si="60"/>
        <v>0</v>
      </c>
      <c r="AA484" s="18"/>
      <c r="AB484" s="18">
        <f t="shared" si="61"/>
        <v>0</v>
      </c>
      <c r="AC484" s="18" t="str">
        <f t="shared" si="62"/>
        <v/>
      </c>
      <c r="AD484" s="18" t="str">
        <f t="shared" si="63"/>
        <v/>
      </c>
      <c r="AF484" t="str">
        <f>IFERROR(INDEX('Task Master'!$D:$D,MATCH($F484,'Task Master'!$C:$C,0)),"")</f>
        <v/>
      </c>
    </row>
    <row r="485" spans="1:32" x14ac:dyDescent="0.25">
      <c r="A485" t="str">
        <f t="shared" si="56"/>
        <v/>
      </c>
      <c r="B485" s="16"/>
      <c r="D485" t="str">
        <f>IF($C485="","",IFERROR(INDEX('Asset Register'!$B:$B,MATCH($C485,'Asset Register'!$A:$A,0)),""))</f>
        <v/>
      </c>
      <c r="H485" t="str">
        <f>IFERROR(INDEX('Task Master'!$E:$E,MATCH($F485&amp;"||"&amp;$G485,'Task Master'!$K:$K,0)),"")</f>
        <v/>
      </c>
      <c r="I485" t="str">
        <f>IFERROR(INDEX('Task Master'!$F:$F,MATCH($F485&amp;"||"&amp;$G485,'Task Master'!$K:$K,0)),"")</f>
        <v/>
      </c>
      <c r="J485" t="str">
        <f>IFERROR(INDEX('Task Master'!$H:$H,MATCH($F485&amp;"||"&amp;$G485,'Task Master'!$K:$K,0)),"")</f>
        <v/>
      </c>
      <c r="N485" s="18" t="str">
        <f t="shared" si="57"/>
        <v/>
      </c>
      <c r="R485" s="18">
        <f t="shared" si="58"/>
        <v>0</v>
      </c>
      <c r="V485" s="18">
        <f t="shared" si="59"/>
        <v>0</v>
      </c>
      <c r="Z485" s="18">
        <f t="shared" si="60"/>
        <v>0</v>
      </c>
      <c r="AA485" s="18"/>
      <c r="AB485" s="18">
        <f t="shared" si="61"/>
        <v>0</v>
      </c>
      <c r="AC485" s="18" t="str">
        <f t="shared" si="62"/>
        <v/>
      </c>
      <c r="AD485" s="18" t="str">
        <f t="shared" si="63"/>
        <v/>
      </c>
      <c r="AF485" t="str">
        <f>IFERROR(INDEX('Task Master'!$D:$D,MATCH($F485,'Task Master'!$C:$C,0)),"")</f>
        <v/>
      </c>
    </row>
    <row r="486" spans="1:32" x14ac:dyDescent="0.25">
      <c r="A486" t="str">
        <f t="shared" si="56"/>
        <v/>
      </c>
      <c r="B486" s="16"/>
      <c r="D486" t="str">
        <f>IF($C486="","",IFERROR(INDEX('Asset Register'!$B:$B,MATCH($C486,'Asset Register'!$A:$A,0)),""))</f>
        <v/>
      </c>
      <c r="H486" t="str">
        <f>IFERROR(INDEX('Task Master'!$E:$E,MATCH($F486&amp;"||"&amp;$G486,'Task Master'!$K:$K,0)),"")</f>
        <v/>
      </c>
      <c r="I486" t="str">
        <f>IFERROR(INDEX('Task Master'!$F:$F,MATCH($F486&amp;"||"&amp;$G486,'Task Master'!$K:$K,0)),"")</f>
        <v/>
      </c>
      <c r="J486" t="str">
        <f>IFERROR(INDEX('Task Master'!$H:$H,MATCH($F486&amp;"||"&amp;$G486,'Task Master'!$K:$K,0)),"")</f>
        <v/>
      </c>
      <c r="N486" s="18" t="str">
        <f t="shared" si="57"/>
        <v/>
      </c>
      <c r="R486" s="18">
        <f t="shared" si="58"/>
        <v>0</v>
      </c>
      <c r="V486" s="18">
        <f t="shared" si="59"/>
        <v>0</v>
      </c>
      <c r="Z486" s="18">
        <f t="shared" si="60"/>
        <v>0</v>
      </c>
      <c r="AA486" s="18"/>
      <c r="AB486" s="18">
        <f t="shared" si="61"/>
        <v>0</v>
      </c>
      <c r="AC486" s="18" t="str">
        <f t="shared" si="62"/>
        <v/>
      </c>
      <c r="AD486" s="18" t="str">
        <f t="shared" si="63"/>
        <v/>
      </c>
      <c r="AF486" t="str">
        <f>IFERROR(INDEX('Task Master'!$D:$D,MATCH($F486,'Task Master'!$C:$C,0)),"")</f>
        <v/>
      </c>
    </row>
    <row r="487" spans="1:32" x14ac:dyDescent="0.25">
      <c r="A487" t="str">
        <f t="shared" si="56"/>
        <v/>
      </c>
      <c r="B487" s="16"/>
      <c r="D487" t="str">
        <f>IF($C487="","",IFERROR(INDEX('Asset Register'!$B:$B,MATCH($C487,'Asset Register'!$A:$A,0)),""))</f>
        <v/>
      </c>
      <c r="H487" t="str">
        <f>IFERROR(INDEX('Task Master'!$E:$E,MATCH($F487&amp;"||"&amp;$G487,'Task Master'!$K:$K,0)),"")</f>
        <v/>
      </c>
      <c r="I487" t="str">
        <f>IFERROR(INDEX('Task Master'!$F:$F,MATCH($F487&amp;"||"&amp;$G487,'Task Master'!$K:$K,0)),"")</f>
        <v/>
      </c>
      <c r="J487" t="str">
        <f>IFERROR(INDEX('Task Master'!$H:$H,MATCH($F487&amp;"||"&amp;$G487,'Task Master'!$K:$K,0)),"")</f>
        <v/>
      </c>
      <c r="N487" s="18" t="str">
        <f t="shared" si="57"/>
        <v/>
      </c>
      <c r="R487" s="18">
        <f t="shared" si="58"/>
        <v>0</v>
      </c>
      <c r="V487" s="18">
        <f t="shared" si="59"/>
        <v>0</v>
      </c>
      <c r="Z487" s="18">
        <f t="shared" si="60"/>
        <v>0</v>
      </c>
      <c r="AA487" s="18"/>
      <c r="AB487" s="18">
        <f t="shared" si="61"/>
        <v>0</v>
      </c>
      <c r="AC487" s="18" t="str">
        <f t="shared" si="62"/>
        <v/>
      </c>
      <c r="AD487" s="18" t="str">
        <f t="shared" si="63"/>
        <v/>
      </c>
      <c r="AF487" t="str">
        <f>IFERROR(INDEX('Task Master'!$D:$D,MATCH($F487,'Task Master'!$C:$C,0)),"")</f>
        <v/>
      </c>
    </row>
    <row r="488" spans="1:32" x14ac:dyDescent="0.25">
      <c r="A488" t="str">
        <f t="shared" si="56"/>
        <v/>
      </c>
      <c r="B488" s="16"/>
      <c r="D488" t="str">
        <f>IF($C488="","",IFERROR(INDEX('Asset Register'!$B:$B,MATCH($C488,'Asset Register'!$A:$A,0)),""))</f>
        <v/>
      </c>
      <c r="H488" t="str">
        <f>IFERROR(INDEX('Task Master'!$E:$E,MATCH($F488&amp;"||"&amp;$G488,'Task Master'!$K:$K,0)),"")</f>
        <v/>
      </c>
      <c r="I488" t="str">
        <f>IFERROR(INDEX('Task Master'!$F:$F,MATCH($F488&amp;"||"&amp;$G488,'Task Master'!$K:$K,0)),"")</f>
        <v/>
      </c>
      <c r="J488" t="str">
        <f>IFERROR(INDEX('Task Master'!$H:$H,MATCH($F488&amp;"||"&amp;$G488,'Task Master'!$K:$K,0)),"")</f>
        <v/>
      </c>
      <c r="N488" s="18" t="str">
        <f t="shared" si="57"/>
        <v/>
      </c>
      <c r="R488" s="18">
        <f t="shared" si="58"/>
        <v>0</v>
      </c>
      <c r="V488" s="18">
        <f t="shared" si="59"/>
        <v>0</v>
      </c>
      <c r="Z488" s="18">
        <f t="shared" si="60"/>
        <v>0</v>
      </c>
      <c r="AA488" s="18"/>
      <c r="AB488" s="18">
        <f t="shared" si="61"/>
        <v>0</v>
      </c>
      <c r="AC488" s="18" t="str">
        <f t="shared" si="62"/>
        <v/>
      </c>
      <c r="AD488" s="18" t="str">
        <f t="shared" si="63"/>
        <v/>
      </c>
      <c r="AF488" t="str">
        <f>IFERROR(INDEX('Task Master'!$D:$D,MATCH($F488,'Task Master'!$C:$C,0)),"")</f>
        <v/>
      </c>
    </row>
    <row r="489" spans="1:32" x14ac:dyDescent="0.25">
      <c r="A489" t="str">
        <f t="shared" si="56"/>
        <v/>
      </c>
      <c r="B489" s="16"/>
      <c r="D489" t="str">
        <f>IF($C489="","",IFERROR(INDEX('Asset Register'!$B:$B,MATCH($C489,'Asset Register'!$A:$A,0)),""))</f>
        <v/>
      </c>
      <c r="H489" t="str">
        <f>IFERROR(INDEX('Task Master'!$E:$E,MATCH($F489&amp;"||"&amp;$G489,'Task Master'!$K:$K,0)),"")</f>
        <v/>
      </c>
      <c r="I489" t="str">
        <f>IFERROR(INDEX('Task Master'!$F:$F,MATCH($F489&amp;"||"&amp;$G489,'Task Master'!$K:$K,0)),"")</f>
        <v/>
      </c>
      <c r="J489" t="str">
        <f>IFERROR(INDEX('Task Master'!$H:$H,MATCH($F489&amp;"||"&amp;$G489,'Task Master'!$K:$K,0)),"")</f>
        <v/>
      </c>
      <c r="N489" s="18" t="str">
        <f t="shared" si="57"/>
        <v/>
      </c>
      <c r="R489" s="18">
        <f t="shared" si="58"/>
        <v>0</v>
      </c>
      <c r="V489" s="18">
        <f t="shared" si="59"/>
        <v>0</v>
      </c>
      <c r="Z489" s="18">
        <f t="shared" si="60"/>
        <v>0</v>
      </c>
      <c r="AA489" s="18"/>
      <c r="AB489" s="18">
        <f t="shared" si="61"/>
        <v>0</v>
      </c>
      <c r="AC489" s="18" t="str">
        <f t="shared" si="62"/>
        <v/>
      </c>
      <c r="AD489" s="18" t="str">
        <f t="shared" si="63"/>
        <v/>
      </c>
      <c r="AF489" t="str">
        <f>IFERROR(INDEX('Task Master'!$D:$D,MATCH($F489,'Task Master'!$C:$C,0)),"")</f>
        <v/>
      </c>
    </row>
    <row r="490" spans="1:32" x14ac:dyDescent="0.25">
      <c r="A490" t="str">
        <f t="shared" si="56"/>
        <v/>
      </c>
      <c r="B490" s="16"/>
      <c r="D490" t="str">
        <f>IF($C490="","",IFERROR(INDEX('Asset Register'!$B:$B,MATCH($C490,'Asset Register'!$A:$A,0)),""))</f>
        <v/>
      </c>
      <c r="H490" t="str">
        <f>IFERROR(INDEX('Task Master'!$E:$E,MATCH($F490&amp;"||"&amp;$G490,'Task Master'!$K:$K,0)),"")</f>
        <v/>
      </c>
      <c r="I490" t="str">
        <f>IFERROR(INDEX('Task Master'!$F:$F,MATCH($F490&amp;"||"&amp;$G490,'Task Master'!$K:$K,0)),"")</f>
        <v/>
      </c>
      <c r="J490" t="str">
        <f>IFERROR(INDEX('Task Master'!$H:$H,MATCH($F490&amp;"||"&amp;$G490,'Task Master'!$K:$K,0)),"")</f>
        <v/>
      </c>
      <c r="N490" s="18" t="str">
        <f t="shared" si="57"/>
        <v/>
      </c>
      <c r="R490" s="18">
        <f t="shared" si="58"/>
        <v>0</v>
      </c>
      <c r="V490" s="18">
        <f t="shared" si="59"/>
        <v>0</v>
      </c>
      <c r="Z490" s="18">
        <f t="shared" si="60"/>
        <v>0</v>
      </c>
      <c r="AA490" s="18"/>
      <c r="AB490" s="18">
        <f t="shared" si="61"/>
        <v>0</v>
      </c>
      <c r="AC490" s="18" t="str">
        <f t="shared" si="62"/>
        <v/>
      </c>
      <c r="AD490" s="18" t="str">
        <f t="shared" si="63"/>
        <v/>
      </c>
      <c r="AF490" t="str">
        <f>IFERROR(INDEX('Task Master'!$D:$D,MATCH($F490,'Task Master'!$C:$C,0)),"")</f>
        <v/>
      </c>
    </row>
    <row r="491" spans="1:32" x14ac:dyDescent="0.25">
      <c r="A491" t="str">
        <f t="shared" si="56"/>
        <v/>
      </c>
      <c r="B491" s="16"/>
      <c r="D491" t="str">
        <f>IF($C491="","",IFERROR(INDEX('Asset Register'!$B:$B,MATCH($C491,'Asset Register'!$A:$A,0)),""))</f>
        <v/>
      </c>
      <c r="H491" t="str">
        <f>IFERROR(INDEX('Task Master'!$E:$E,MATCH($F491&amp;"||"&amp;$G491,'Task Master'!$K:$K,0)),"")</f>
        <v/>
      </c>
      <c r="I491" t="str">
        <f>IFERROR(INDEX('Task Master'!$F:$F,MATCH($F491&amp;"||"&amp;$G491,'Task Master'!$K:$K,0)),"")</f>
        <v/>
      </c>
      <c r="J491" t="str">
        <f>IFERROR(INDEX('Task Master'!$H:$H,MATCH($F491&amp;"||"&amp;$G491,'Task Master'!$K:$K,0)),"")</f>
        <v/>
      </c>
      <c r="N491" s="18" t="str">
        <f t="shared" si="57"/>
        <v/>
      </c>
      <c r="R491" s="18">
        <f t="shared" si="58"/>
        <v>0</v>
      </c>
      <c r="V491" s="18">
        <f t="shared" si="59"/>
        <v>0</v>
      </c>
      <c r="Z491" s="18">
        <f t="shared" si="60"/>
        <v>0</v>
      </c>
      <c r="AA491" s="18"/>
      <c r="AB491" s="18">
        <f t="shared" si="61"/>
        <v>0</v>
      </c>
      <c r="AC491" s="18" t="str">
        <f t="shared" si="62"/>
        <v/>
      </c>
      <c r="AD491" s="18" t="str">
        <f t="shared" si="63"/>
        <v/>
      </c>
      <c r="AF491" t="str">
        <f>IFERROR(INDEX('Task Master'!$D:$D,MATCH($F491,'Task Master'!$C:$C,0)),"")</f>
        <v/>
      </c>
    </row>
    <row r="492" spans="1:32" x14ac:dyDescent="0.25">
      <c r="A492" t="str">
        <f t="shared" si="56"/>
        <v/>
      </c>
      <c r="B492" s="16"/>
      <c r="D492" t="str">
        <f>IF($C492="","",IFERROR(INDEX('Asset Register'!$B:$B,MATCH($C492,'Asset Register'!$A:$A,0)),""))</f>
        <v/>
      </c>
      <c r="H492" t="str">
        <f>IFERROR(INDEX('Task Master'!$E:$E,MATCH($F492&amp;"||"&amp;$G492,'Task Master'!$K:$K,0)),"")</f>
        <v/>
      </c>
      <c r="I492" t="str">
        <f>IFERROR(INDEX('Task Master'!$F:$F,MATCH($F492&amp;"||"&amp;$G492,'Task Master'!$K:$K,0)),"")</f>
        <v/>
      </c>
      <c r="J492" t="str">
        <f>IFERROR(INDEX('Task Master'!$H:$H,MATCH($F492&amp;"||"&amp;$G492,'Task Master'!$K:$K,0)),"")</f>
        <v/>
      </c>
      <c r="N492" s="18" t="str">
        <f t="shared" si="57"/>
        <v/>
      </c>
      <c r="R492" s="18">
        <f t="shared" si="58"/>
        <v>0</v>
      </c>
      <c r="V492" s="18">
        <f t="shared" si="59"/>
        <v>0</v>
      </c>
      <c r="Z492" s="18">
        <f t="shared" si="60"/>
        <v>0</v>
      </c>
      <c r="AA492" s="18"/>
      <c r="AB492" s="18">
        <f t="shared" si="61"/>
        <v>0</v>
      </c>
      <c r="AC492" s="18" t="str">
        <f t="shared" si="62"/>
        <v/>
      </c>
      <c r="AD492" s="18" t="str">
        <f t="shared" si="63"/>
        <v/>
      </c>
      <c r="AF492" t="str">
        <f>IFERROR(INDEX('Task Master'!$D:$D,MATCH($F492,'Task Master'!$C:$C,0)),"")</f>
        <v/>
      </c>
    </row>
    <row r="493" spans="1:32" x14ac:dyDescent="0.25">
      <c r="A493" t="str">
        <f t="shared" si="56"/>
        <v/>
      </c>
      <c r="B493" s="16"/>
      <c r="D493" t="str">
        <f>IF($C493="","",IFERROR(INDEX('Asset Register'!$B:$B,MATCH($C493,'Asset Register'!$A:$A,0)),""))</f>
        <v/>
      </c>
      <c r="H493" t="str">
        <f>IFERROR(INDEX('Task Master'!$E:$E,MATCH($F493&amp;"||"&amp;$G493,'Task Master'!$K:$K,0)),"")</f>
        <v/>
      </c>
      <c r="I493" t="str">
        <f>IFERROR(INDEX('Task Master'!$F:$F,MATCH($F493&amp;"||"&amp;$G493,'Task Master'!$K:$K,0)),"")</f>
        <v/>
      </c>
      <c r="J493" t="str">
        <f>IFERROR(INDEX('Task Master'!$H:$H,MATCH($F493&amp;"||"&amp;$G493,'Task Master'!$K:$K,0)),"")</f>
        <v/>
      </c>
      <c r="N493" s="18" t="str">
        <f t="shared" si="57"/>
        <v/>
      </c>
      <c r="R493" s="18">
        <f t="shared" si="58"/>
        <v>0</v>
      </c>
      <c r="V493" s="18">
        <f t="shared" si="59"/>
        <v>0</v>
      </c>
      <c r="Z493" s="18">
        <f t="shared" si="60"/>
        <v>0</v>
      </c>
      <c r="AA493" s="18"/>
      <c r="AB493" s="18">
        <f t="shared" si="61"/>
        <v>0</v>
      </c>
      <c r="AC493" s="18" t="str">
        <f t="shared" si="62"/>
        <v/>
      </c>
      <c r="AD493" s="18" t="str">
        <f t="shared" si="63"/>
        <v/>
      </c>
      <c r="AF493" t="str">
        <f>IFERROR(INDEX('Task Master'!$D:$D,MATCH($F493,'Task Master'!$C:$C,0)),"")</f>
        <v/>
      </c>
    </row>
    <row r="494" spans="1:32" x14ac:dyDescent="0.25">
      <c r="A494" t="str">
        <f t="shared" si="56"/>
        <v/>
      </c>
      <c r="B494" s="16"/>
      <c r="D494" t="str">
        <f>IF($C494="","",IFERROR(INDEX('Asset Register'!$B:$B,MATCH($C494,'Asset Register'!$A:$A,0)),""))</f>
        <v/>
      </c>
      <c r="H494" t="str">
        <f>IFERROR(INDEX('Task Master'!$E:$E,MATCH($F494&amp;"||"&amp;$G494,'Task Master'!$K:$K,0)),"")</f>
        <v/>
      </c>
      <c r="I494" t="str">
        <f>IFERROR(INDEX('Task Master'!$F:$F,MATCH($F494&amp;"||"&amp;$G494,'Task Master'!$K:$K,0)),"")</f>
        <v/>
      </c>
      <c r="J494" t="str">
        <f>IFERROR(INDEX('Task Master'!$H:$H,MATCH($F494&amp;"||"&amp;$G494,'Task Master'!$K:$K,0)),"")</f>
        <v/>
      </c>
      <c r="N494" s="18" t="str">
        <f t="shared" si="57"/>
        <v/>
      </c>
      <c r="R494" s="18">
        <f t="shared" si="58"/>
        <v>0</v>
      </c>
      <c r="V494" s="18">
        <f t="shared" si="59"/>
        <v>0</v>
      </c>
      <c r="Z494" s="18">
        <f t="shared" si="60"/>
        <v>0</v>
      </c>
      <c r="AA494" s="18"/>
      <c r="AB494" s="18">
        <f t="shared" si="61"/>
        <v>0</v>
      </c>
      <c r="AC494" s="18" t="str">
        <f t="shared" si="62"/>
        <v/>
      </c>
      <c r="AD494" s="18" t="str">
        <f t="shared" si="63"/>
        <v/>
      </c>
      <c r="AF494" t="str">
        <f>IFERROR(INDEX('Task Master'!$D:$D,MATCH($F494,'Task Master'!$C:$C,0)),"")</f>
        <v/>
      </c>
    </row>
    <row r="495" spans="1:32" x14ac:dyDescent="0.25">
      <c r="A495" t="str">
        <f t="shared" si="56"/>
        <v/>
      </c>
      <c r="B495" s="16"/>
      <c r="D495" t="str">
        <f>IF($C495="","",IFERROR(INDEX('Asset Register'!$B:$B,MATCH($C495,'Asset Register'!$A:$A,0)),""))</f>
        <v/>
      </c>
      <c r="H495" t="str">
        <f>IFERROR(INDEX('Task Master'!$E:$E,MATCH($F495&amp;"||"&amp;$G495,'Task Master'!$K:$K,0)),"")</f>
        <v/>
      </c>
      <c r="I495" t="str">
        <f>IFERROR(INDEX('Task Master'!$F:$F,MATCH($F495&amp;"||"&amp;$G495,'Task Master'!$K:$K,0)),"")</f>
        <v/>
      </c>
      <c r="J495" t="str">
        <f>IFERROR(INDEX('Task Master'!$H:$H,MATCH($F495&amp;"||"&amp;$G495,'Task Master'!$K:$K,0)),"")</f>
        <v/>
      </c>
      <c r="N495" s="18" t="str">
        <f t="shared" si="57"/>
        <v/>
      </c>
      <c r="R495" s="18">
        <f t="shared" si="58"/>
        <v>0</v>
      </c>
      <c r="V495" s="18">
        <f t="shared" si="59"/>
        <v>0</v>
      </c>
      <c r="Z495" s="18">
        <f t="shared" si="60"/>
        <v>0</v>
      </c>
      <c r="AA495" s="18"/>
      <c r="AB495" s="18">
        <f t="shared" si="61"/>
        <v>0</v>
      </c>
      <c r="AC495" s="18" t="str">
        <f t="shared" si="62"/>
        <v/>
      </c>
      <c r="AD495" s="18" t="str">
        <f t="shared" si="63"/>
        <v/>
      </c>
      <c r="AF495" t="str">
        <f>IFERROR(INDEX('Task Master'!$D:$D,MATCH($F495,'Task Master'!$C:$C,0)),"")</f>
        <v/>
      </c>
    </row>
    <row r="496" spans="1:32" x14ac:dyDescent="0.25">
      <c r="A496" t="str">
        <f t="shared" si="56"/>
        <v/>
      </c>
      <c r="B496" s="16"/>
      <c r="D496" t="str">
        <f>IF($C496="","",IFERROR(INDEX('Asset Register'!$B:$B,MATCH($C496,'Asset Register'!$A:$A,0)),""))</f>
        <v/>
      </c>
      <c r="H496" t="str">
        <f>IFERROR(INDEX('Task Master'!$E:$E,MATCH($F496&amp;"||"&amp;$G496,'Task Master'!$K:$K,0)),"")</f>
        <v/>
      </c>
      <c r="I496" t="str">
        <f>IFERROR(INDEX('Task Master'!$F:$F,MATCH($F496&amp;"||"&amp;$G496,'Task Master'!$K:$K,0)),"")</f>
        <v/>
      </c>
      <c r="J496" t="str">
        <f>IFERROR(INDEX('Task Master'!$H:$H,MATCH($F496&amp;"||"&amp;$G496,'Task Master'!$K:$K,0)),"")</f>
        <v/>
      </c>
      <c r="N496" s="18" t="str">
        <f t="shared" si="57"/>
        <v/>
      </c>
      <c r="R496" s="18">
        <f t="shared" si="58"/>
        <v>0</v>
      </c>
      <c r="V496" s="18">
        <f t="shared" si="59"/>
        <v>0</v>
      </c>
      <c r="Z496" s="18">
        <f t="shared" si="60"/>
        <v>0</v>
      </c>
      <c r="AA496" s="18"/>
      <c r="AB496" s="18">
        <f t="shared" si="61"/>
        <v>0</v>
      </c>
      <c r="AC496" s="18" t="str">
        <f t="shared" si="62"/>
        <v/>
      </c>
      <c r="AD496" s="18" t="str">
        <f t="shared" si="63"/>
        <v/>
      </c>
      <c r="AF496" t="str">
        <f>IFERROR(INDEX('Task Master'!$D:$D,MATCH($F496,'Task Master'!$C:$C,0)),"")</f>
        <v/>
      </c>
    </row>
    <row r="497" spans="1:32" x14ac:dyDescent="0.25">
      <c r="A497" t="str">
        <f t="shared" si="56"/>
        <v/>
      </c>
      <c r="B497" s="16"/>
      <c r="D497" t="str">
        <f>IF($C497="","",IFERROR(INDEX('Asset Register'!$B:$B,MATCH($C497,'Asset Register'!$A:$A,0)),""))</f>
        <v/>
      </c>
      <c r="H497" t="str">
        <f>IFERROR(INDEX('Task Master'!$E:$E,MATCH($F497&amp;"||"&amp;$G497,'Task Master'!$K:$K,0)),"")</f>
        <v/>
      </c>
      <c r="I497" t="str">
        <f>IFERROR(INDEX('Task Master'!$F:$F,MATCH($F497&amp;"||"&amp;$G497,'Task Master'!$K:$K,0)),"")</f>
        <v/>
      </c>
      <c r="J497" t="str">
        <f>IFERROR(INDEX('Task Master'!$H:$H,MATCH($F497&amp;"||"&amp;$G497,'Task Master'!$K:$K,0)),"")</f>
        <v/>
      </c>
      <c r="N497" s="18" t="str">
        <f t="shared" si="57"/>
        <v/>
      </c>
      <c r="R497" s="18">
        <f t="shared" si="58"/>
        <v>0</v>
      </c>
      <c r="V497" s="18">
        <f t="shared" si="59"/>
        <v>0</v>
      </c>
      <c r="Z497" s="18">
        <f t="shared" si="60"/>
        <v>0</v>
      </c>
      <c r="AA497" s="18"/>
      <c r="AB497" s="18">
        <f t="shared" si="61"/>
        <v>0</v>
      </c>
      <c r="AC497" s="18" t="str">
        <f t="shared" si="62"/>
        <v/>
      </c>
      <c r="AD497" s="18" t="str">
        <f t="shared" si="63"/>
        <v/>
      </c>
      <c r="AF497" t="str">
        <f>IFERROR(INDEX('Task Master'!$D:$D,MATCH($F497,'Task Master'!$C:$C,0)),"")</f>
        <v/>
      </c>
    </row>
    <row r="498" spans="1:32" x14ac:dyDescent="0.25">
      <c r="A498" t="str">
        <f t="shared" si="56"/>
        <v/>
      </c>
      <c r="B498" s="16"/>
      <c r="D498" t="str">
        <f>IF($C498="","",IFERROR(INDEX('Asset Register'!$B:$B,MATCH($C498,'Asset Register'!$A:$A,0)),""))</f>
        <v/>
      </c>
      <c r="H498" t="str">
        <f>IFERROR(INDEX('Task Master'!$E:$E,MATCH($F498&amp;"||"&amp;$G498,'Task Master'!$K:$K,0)),"")</f>
        <v/>
      </c>
      <c r="I498" t="str">
        <f>IFERROR(INDEX('Task Master'!$F:$F,MATCH($F498&amp;"||"&amp;$G498,'Task Master'!$K:$K,0)),"")</f>
        <v/>
      </c>
      <c r="J498" t="str">
        <f>IFERROR(INDEX('Task Master'!$H:$H,MATCH($F498&amp;"||"&amp;$G498,'Task Master'!$K:$K,0)),"")</f>
        <v/>
      </c>
      <c r="N498" s="18" t="str">
        <f t="shared" si="57"/>
        <v/>
      </c>
      <c r="R498" s="18">
        <f t="shared" si="58"/>
        <v>0</v>
      </c>
      <c r="V498" s="18">
        <f t="shared" si="59"/>
        <v>0</v>
      </c>
      <c r="Z498" s="18">
        <f t="shared" si="60"/>
        <v>0</v>
      </c>
      <c r="AA498" s="18"/>
      <c r="AB498" s="18">
        <f t="shared" si="61"/>
        <v>0</v>
      </c>
      <c r="AC498" s="18" t="str">
        <f t="shared" si="62"/>
        <v/>
      </c>
      <c r="AD498" s="18" t="str">
        <f t="shared" si="63"/>
        <v/>
      </c>
      <c r="AF498" t="str">
        <f>IFERROR(INDEX('Task Master'!$D:$D,MATCH($F498,'Task Master'!$C:$C,0)),"")</f>
        <v/>
      </c>
    </row>
    <row r="499" spans="1:32" x14ac:dyDescent="0.25">
      <c r="A499" t="str">
        <f t="shared" si="56"/>
        <v/>
      </c>
      <c r="B499" s="16"/>
      <c r="D499" t="str">
        <f>IF($C499="","",IFERROR(INDEX('Asset Register'!$B:$B,MATCH($C499,'Asset Register'!$A:$A,0)),""))</f>
        <v/>
      </c>
      <c r="H499" t="str">
        <f>IFERROR(INDEX('Task Master'!$E:$E,MATCH($F499&amp;"||"&amp;$G499,'Task Master'!$K:$K,0)),"")</f>
        <v/>
      </c>
      <c r="I499" t="str">
        <f>IFERROR(INDEX('Task Master'!$F:$F,MATCH($F499&amp;"||"&amp;$G499,'Task Master'!$K:$K,0)),"")</f>
        <v/>
      </c>
      <c r="J499" t="str">
        <f>IFERROR(INDEX('Task Master'!$H:$H,MATCH($F499&amp;"||"&amp;$G499,'Task Master'!$K:$K,0)),"")</f>
        <v/>
      </c>
      <c r="N499" s="18" t="str">
        <f t="shared" si="57"/>
        <v/>
      </c>
      <c r="R499" s="18">
        <f t="shared" si="58"/>
        <v>0</v>
      </c>
      <c r="V499" s="18">
        <f t="shared" si="59"/>
        <v>0</v>
      </c>
      <c r="Z499" s="18">
        <f t="shared" si="60"/>
        <v>0</v>
      </c>
      <c r="AA499" s="18"/>
      <c r="AB499" s="18">
        <f t="shared" si="61"/>
        <v>0</v>
      </c>
      <c r="AC499" s="18" t="str">
        <f t="shared" si="62"/>
        <v/>
      </c>
      <c r="AD499" s="18" t="str">
        <f t="shared" si="63"/>
        <v/>
      </c>
      <c r="AF499" t="str">
        <f>IFERROR(INDEX('Task Master'!$D:$D,MATCH($F499,'Task Master'!$C:$C,0)),"")</f>
        <v/>
      </c>
    </row>
    <row r="500" spans="1:32" x14ac:dyDescent="0.25">
      <c r="A500" t="str">
        <f t="shared" si="56"/>
        <v/>
      </c>
      <c r="B500" s="16"/>
      <c r="D500" t="str">
        <f>IF($C500="","",IFERROR(INDEX('Asset Register'!$B:$B,MATCH($C500,'Asset Register'!$A:$A,0)),""))</f>
        <v/>
      </c>
      <c r="H500" t="str">
        <f>IFERROR(INDEX('Task Master'!$E:$E,MATCH($F500&amp;"||"&amp;$G500,'Task Master'!$K:$K,0)),"")</f>
        <v/>
      </c>
      <c r="I500" t="str">
        <f>IFERROR(INDEX('Task Master'!$F:$F,MATCH($F500&amp;"||"&amp;$G500,'Task Master'!$K:$K,0)),"")</f>
        <v/>
      </c>
      <c r="J500" t="str">
        <f>IFERROR(INDEX('Task Master'!$H:$H,MATCH($F500&amp;"||"&amp;$G500,'Task Master'!$K:$K,0)),"")</f>
        <v/>
      </c>
      <c r="N500" s="18" t="str">
        <f t="shared" si="57"/>
        <v/>
      </c>
      <c r="R500" s="18">
        <f t="shared" si="58"/>
        <v>0</v>
      </c>
      <c r="V500" s="18">
        <f t="shared" si="59"/>
        <v>0</v>
      </c>
      <c r="Z500" s="18">
        <f t="shared" si="60"/>
        <v>0</v>
      </c>
      <c r="AA500" s="18"/>
      <c r="AB500" s="18">
        <f t="shared" si="61"/>
        <v>0</v>
      </c>
      <c r="AC500" s="18" t="str">
        <f t="shared" si="62"/>
        <v/>
      </c>
      <c r="AD500" s="18" t="str">
        <f t="shared" si="63"/>
        <v/>
      </c>
      <c r="AF500" t="str">
        <f>IFERROR(INDEX('Task Master'!$D:$D,MATCH($F500,'Task Master'!$C:$C,0)),"")</f>
        <v/>
      </c>
    </row>
    <row r="501" spans="1:32" x14ac:dyDescent="0.25">
      <c r="A501" t="str">
        <f t="shared" si="56"/>
        <v/>
      </c>
      <c r="B501" s="16"/>
      <c r="D501" t="str">
        <f>IF($C501="","",IFERROR(INDEX('Asset Register'!$B:$B,MATCH($C501,'Asset Register'!$A:$A,0)),""))</f>
        <v/>
      </c>
      <c r="H501" t="str">
        <f>IFERROR(INDEX('Task Master'!$E:$E,MATCH($F501&amp;"||"&amp;$G501,'Task Master'!$K:$K,0)),"")</f>
        <v/>
      </c>
      <c r="I501" t="str">
        <f>IFERROR(INDEX('Task Master'!$F:$F,MATCH($F501&amp;"||"&amp;$G501,'Task Master'!$K:$K,0)),"")</f>
        <v/>
      </c>
      <c r="J501" t="str">
        <f>IFERROR(INDEX('Task Master'!$H:$H,MATCH($F501&amp;"||"&amp;$G501,'Task Master'!$K:$K,0)),"")</f>
        <v/>
      </c>
      <c r="N501" s="18" t="str">
        <f t="shared" si="57"/>
        <v/>
      </c>
      <c r="R501" s="18">
        <f t="shared" si="58"/>
        <v>0</v>
      </c>
      <c r="V501" s="18">
        <f t="shared" si="59"/>
        <v>0</v>
      </c>
      <c r="Z501" s="18">
        <f t="shared" si="60"/>
        <v>0</v>
      </c>
      <c r="AA501" s="18"/>
      <c r="AB501" s="18">
        <f t="shared" si="61"/>
        <v>0</v>
      </c>
      <c r="AC501" s="18" t="str">
        <f t="shared" si="62"/>
        <v/>
      </c>
      <c r="AD501" s="18" t="str">
        <f t="shared" si="63"/>
        <v/>
      </c>
      <c r="AF501" t="str">
        <f>IFERROR(INDEX('Task Master'!$D:$D,MATCH($F501,'Task Master'!$C:$C,0)),"")</f>
        <v/>
      </c>
    </row>
    <row r="502" spans="1:32" x14ac:dyDescent="0.25">
      <c r="A502" t="str">
        <f t="shared" si="56"/>
        <v/>
      </c>
      <c r="B502" s="16"/>
      <c r="D502" t="str">
        <f>IF($C502="","",IFERROR(INDEX('Asset Register'!$B:$B,MATCH($C502,'Asset Register'!$A:$A,0)),""))</f>
        <v/>
      </c>
      <c r="H502" t="str">
        <f>IFERROR(INDEX('Task Master'!$E:$E,MATCH($F502&amp;"||"&amp;$G502,'Task Master'!$K:$K,0)),"")</f>
        <v/>
      </c>
      <c r="I502" t="str">
        <f>IFERROR(INDEX('Task Master'!$F:$F,MATCH($F502&amp;"||"&amp;$G502,'Task Master'!$K:$K,0)),"")</f>
        <v/>
      </c>
      <c r="J502" t="str">
        <f>IFERROR(INDEX('Task Master'!$H:$H,MATCH($F502&amp;"||"&amp;$G502,'Task Master'!$K:$K,0)),"")</f>
        <v/>
      </c>
      <c r="N502" s="18" t="str">
        <f t="shared" si="57"/>
        <v/>
      </c>
      <c r="R502" s="18">
        <f t="shared" si="58"/>
        <v>0</v>
      </c>
      <c r="V502" s="18">
        <f t="shared" si="59"/>
        <v>0</v>
      </c>
      <c r="Z502" s="18">
        <f t="shared" si="60"/>
        <v>0</v>
      </c>
      <c r="AA502" s="18"/>
      <c r="AB502" s="18">
        <f t="shared" si="61"/>
        <v>0</v>
      </c>
      <c r="AC502" s="18" t="str">
        <f t="shared" si="62"/>
        <v/>
      </c>
      <c r="AD502" s="18" t="str">
        <f t="shared" si="63"/>
        <v/>
      </c>
      <c r="AF502" t="str">
        <f>IFERROR(INDEX('Task Master'!$D:$D,MATCH($F502,'Task Master'!$C:$C,0)),"")</f>
        <v/>
      </c>
    </row>
    <row r="503" spans="1:32" x14ac:dyDescent="0.25">
      <c r="A503" t="str">
        <f t="shared" si="56"/>
        <v/>
      </c>
      <c r="B503" s="16"/>
      <c r="D503" t="str">
        <f>IF($C503="","",IFERROR(INDEX('Asset Register'!$B:$B,MATCH($C503,'Asset Register'!$A:$A,0)),""))</f>
        <v/>
      </c>
      <c r="H503" t="str">
        <f>IFERROR(INDEX('Task Master'!$E:$E,MATCH($F503&amp;"||"&amp;$G503,'Task Master'!$K:$K,0)),"")</f>
        <v/>
      </c>
      <c r="I503" t="str">
        <f>IFERROR(INDEX('Task Master'!$F:$F,MATCH($F503&amp;"||"&amp;$G503,'Task Master'!$K:$K,0)),"")</f>
        <v/>
      </c>
      <c r="J503" t="str">
        <f>IFERROR(INDEX('Task Master'!$H:$H,MATCH($F503&amp;"||"&amp;$G503,'Task Master'!$K:$K,0)),"")</f>
        <v/>
      </c>
      <c r="N503" s="18" t="str">
        <f t="shared" si="57"/>
        <v/>
      </c>
      <c r="R503" s="18">
        <f t="shared" si="58"/>
        <v>0</v>
      </c>
      <c r="V503" s="18">
        <f t="shared" si="59"/>
        <v>0</v>
      </c>
      <c r="Z503" s="18">
        <f t="shared" si="60"/>
        <v>0</v>
      </c>
      <c r="AA503" s="18"/>
      <c r="AB503" s="18">
        <f t="shared" si="61"/>
        <v>0</v>
      </c>
      <c r="AC503" s="18" t="str">
        <f t="shared" si="62"/>
        <v/>
      </c>
      <c r="AD503" s="18" t="str">
        <f t="shared" si="63"/>
        <v/>
      </c>
      <c r="AF503" t="str">
        <f>IFERROR(INDEX('Task Master'!$D:$D,MATCH($F503,'Task Master'!$C:$C,0)),"")</f>
        <v/>
      </c>
    </row>
    <row r="504" spans="1:32" x14ac:dyDescent="0.25">
      <c r="A504" t="str">
        <f t="shared" si="56"/>
        <v/>
      </c>
      <c r="B504" s="16"/>
      <c r="D504" t="str">
        <f>IF($C504="","",IFERROR(INDEX('Asset Register'!$B:$B,MATCH($C504,'Asset Register'!$A:$A,0)),""))</f>
        <v/>
      </c>
      <c r="H504" t="str">
        <f>IFERROR(INDEX('Task Master'!$E:$E,MATCH($F504&amp;"||"&amp;$G504,'Task Master'!$K:$K,0)),"")</f>
        <v/>
      </c>
      <c r="I504" t="str">
        <f>IFERROR(INDEX('Task Master'!$F:$F,MATCH($F504&amp;"||"&amp;$G504,'Task Master'!$K:$K,0)),"")</f>
        <v/>
      </c>
      <c r="J504" t="str">
        <f>IFERROR(INDEX('Task Master'!$H:$H,MATCH($F504&amp;"||"&amp;$G504,'Task Master'!$K:$K,0)),"")</f>
        <v/>
      </c>
      <c r="N504" s="18" t="str">
        <f t="shared" si="57"/>
        <v/>
      </c>
      <c r="R504" s="18">
        <f t="shared" si="58"/>
        <v>0</v>
      </c>
      <c r="V504" s="18">
        <f t="shared" si="59"/>
        <v>0</v>
      </c>
      <c r="Z504" s="18">
        <f t="shared" si="60"/>
        <v>0</v>
      </c>
      <c r="AA504" s="18"/>
      <c r="AB504" s="18">
        <f t="shared" si="61"/>
        <v>0</v>
      </c>
      <c r="AC504" s="18" t="str">
        <f t="shared" si="62"/>
        <v/>
      </c>
      <c r="AD504" s="18" t="str">
        <f t="shared" si="63"/>
        <v/>
      </c>
      <c r="AF504" t="str">
        <f>IFERROR(INDEX('Task Master'!$D:$D,MATCH($F504,'Task Master'!$C:$C,0)),"")</f>
        <v/>
      </c>
    </row>
    <row r="505" spans="1:32" x14ac:dyDescent="0.25">
      <c r="A505" t="str">
        <f t="shared" si="56"/>
        <v/>
      </c>
      <c r="B505" s="16"/>
      <c r="D505" t="str">
        <f>IF($C505="","",IFERROR(INDEX('Asset Register'!$B:$B,MATCH($C505,'Asset Register'!$A:$A,0)),""))</f>
        <v/>
      </c>
      <c r="H505" t="str">
        <f>IFERROR(INDEX('Task Master'!$E:$E,MATCH($F505&amp;"||"&amp;$G505,'Task Master'!$K:$K,0)),"")</f>
        <v/>
      </c>
      <c r="I505" t="str">
        <f>IFERROR(INDEX('Task Master'!$F:$F,MATCH($F505&amp;"||"&amp;$G505,'Task Master'!$K:$K,0)),"")</f>
        <v/>
      </c>
      <c r="J505" t="str">
        <f>IFERROR(INDEX('Task Master'!$H:$H,MATCH($F505&amp;"||"&amp;$G505,'Task Master'!$K:$K,0)),"")</f>
        <v/>
      </c>
      <c r="N505" s="18" t="str">
        <f t="shared" si="57"/>
        <v/>
      </c>
      <c r="R505" s="18">
        <f t="shared" si="58"/>
        <v>0</v>
      </c>
      <c r="V505" s="18">
        <f t="shared" si="59"/>
        <v>0</v>
      </c>
      <c r="Z505" s="18">
        <f t="shared" si="60"/>
        <v>0</v>
      </c>
      <c r="AA505" s="18"/>
      <c r="AB505" s="18">
        <f t="shared" si="61"/>
        <v>0</v>
      </c>
      <c r="AC505" s="18" t="str">
        <f t="shared" si="62"/>
        <v/>
      </c>
      <c r="AD505" s="18" t="str">
        <f t="shared" si="63"/>
        <v/>
      </c>
      <c r="AF505" t="str">
        <f>IFERROR(INDEX('Task Master'!$D:$D,MATCH($F505,'Task Master'!$C:$C,0)),"")</f>
        <v/>
      </c>
    </row>
    <row r="506" spans="1:32" x14ac:dyDescent="0.25">
      <c r="A506" t="str">
        <f t="shared" si="56"/>
        <v/>
      </c>
      <c r="B506" s="16"/>
      <c r="D506" t="str">
        <f>IF($C506="","",IFERROR(INDEX('Asset Register'!$B:$B,MATCH($C506,'Asset Register'!$A:$A,0)),""))</f>
        <v/>
      </c>
      <c r="H506" t="str">
        <f>IFERROR(INDEX('Task Master'!$E:$E,MATCH($F506&amp;"||"&amp;$G506,'Task Master'!$K:$K,0)),"")</f>
        <v/>
      </c>
      <c r="I506" t="str">
        <f>IFERROR(INDEX('Task Master'!$F:$F,MATCH($F506&amp;"||"&amp;$G506,'Task Master'!$K:$K,0)),"")</f>
        <v/>
      </c>
      <c r="J506" t="str">
        <f>IFERROR(INDEX('Task Master'!$H:$H,MATCH($F506&amp;"||"&amp;$G506,'Task Master'!$K:$K,0)),"")</f>
        <v/>
      </c>
      <c r="N506" s="18" t="str">
        <f t="shared" si="57"/>
        <v/>
      </c>
      <c r="R506" s="18">
        <f t="shared" si="58"/>
        <v>0</v>
      </c>
      <c r="V506" s="18">
        <f t="shared" si="59"/>
        <v>0</v>
      </c>
      <c r="Z506" s="18">
        <f t="shared" si="60"/>
        <v>0</v>
      </c>
      <c r="AA506" s="18"/>
      <c r="AB506" s="18">
        <f t="shared" si="61"/>
        <v>0</v>
      </c>
      <c r="AC506" s="18" t="str">
        <f t="shared" si="62"/>
        <v/>
      </c>
      <c r="AD506" s="18" t="str">
        <f t="shared" si="63"/>
        <v/>
      </c>
      <c r="AF506" t="str">
        <f>IFERROR(INDEX('Task Master'!$D:$D,MATCH($F506,'Task Master'!$C:$C,0)),"")</f>
        <v/>
      </c>
    </row>
    <row r="507" spans="1:32" x14ac:dyDescent="0.25">
      <c r="A507" t="str">
        <f t="shared" si="56"/>
        <v/>
      </c>
      <c r="B507" s="16"/>
      <c r="D507" t="str">
        <f>IF($C507="","",IFERROR(INDEX('Asset Register'!$B:$B,MATCH($C507,'Asset Register'!$A:$A,0)),""))</f>
        <v/>
      </c>
      <c r="H507" t="str">
        <f>IFERROR(INDEX('Task Master'!$E:$E,MATCH($F507&amp;"||"&amp;$G507,'Task Master'!$K:$K,0)),"")</f>
        <v/>
      </c>
      <c r="I507" t="str">
        <f>IFERROR(INDEX('Task Master'!$F:$F,MATCH($F507&amp;"||"&amp;$G507,'Task Master'!$K:$K,0)),"")</f>
        <v/>
      </c>
      <c r="J507" t="str">
        <f>IFERROR(INDEX('Task Master'!$H:$H,MATCH($F507&amp;"||"&amp;$G507,'Task Master'!$K:$K,0)),"")</f>
        <v/>
      </c>
      <c r="N507" s="18" t="str">
        <f t="shared" si="57"/>
        <v/>
      </c>
      <c r="R507" s="18">
        <f t="shared" si="58"/>
        <v>0</v>
      </c>
      <c r="V507" s="18">
        <f t="shared" si="59"/>
        <v>0</v>
      </c>
      <c r="Z507" s="18">
        <f t="shared" si="60"/>
        <v>0</v>
      </c>
      <c r="AA507" s="18"/>
      <c r="AB507" s="18">
        <f t="shared" si="61"/>
        <v>0</v>
      </c>
      <c r="AC507" s="18" t="str">
        <f t="shared" si="62"/>
        <v/>
      </c>
      <c r="AD507" s="18" t="str">
        <f t="shared" si="63"/>
        <v/>
      </c>
      <c r="AF507" t="str">
        <f>IFERROR(INDEX('Task Master'!$D:$D,MATCH($F507,'Task Master'!$C:$C,0)),"")</f>
        <v/>
      </c>
    </row>
    <row r="508" spans="1:32" x14ac:dyDescent="0.25">
      <c r="A508" t="str">
        <f t="shared" si="56"/>
        <v/>
      </c>
      <c r="B508" s="16"/>
      <c r="D508" t="str">
        <f>IF($C508="","",IFERROR(INDEX('Asset Register'!$B:$B,MATCH($C508,'Asset Register'!$A:$A,0)),""))</f>
        <v/>
      </c>
      <c r="H508" t="str">
        <f>IFERROR(INDEX('Task Master'!$E:$E,MATCH($F508&amp;"||"&amp;$G508,'Task Master'!$K:$K,0)),"")</f>
        <v/>
      </c>
      <c r="I508" t="str">
        <f>IFERROR(INDEX('Task Master'!$F:$F,MATCH($F508&amp;"||"&amp;$G508,'Task Master'!$K:$K,0)),"")</f>
        <v/>
      </c>
      <c r="J508" t="str">
        <f>IFERROR(INDEX('Task Master'!$H:$H,MATCH($F508&amp;"||"&amp;$G508,'Task Master'!$K:$K,0)),"")</f>
        <v/>
      </c>
      <c r="N508" s="18" t="str">
        <f t="shared" si="57"/>
        <v/>
      </c>
      <c r="R508" s="18">
        <f t="shared" si="58"/>
        <v>0</v>
      </c>
      <c r="V508" s="18">
        <f t="shared" si="59"/>
        <v>0</v>
      </c>
      <c r="Z508" s="18">
        <f t="shared" si="60"/>
        <v>0</v>
      </c>
      <c r="AA508" s="18"/>
      <c r="AB508" s="18">
        <f t="shared" si="61"/>
        <v>0</v>
      </c>
      <c r="AC508" s="18" t="str">
        <f t="shared" si="62"/>
        <v/>
      </c>
      <c r="AD508" s="18" t="str">
        <f t="shared" si="63"/>
        <v/>
      </c>
      <c r="AF508" t="str">
        <f>IFERROR(INDEX('Task Master'!$D:$D,MATCH($F508,'Task Master'!$C:$C,0)),"")</f>
        <v/>
      </c>
    </row>
    <row r="509" spans="1:32" x14ac:dyDescent="0.25">
      <c r="A509" t="str">
        <f t="shared" si="56"/>
        <v/>
      </c>
      <c r="B509" s="16"/>
      <c r="D509" t="str">
        <f>IF($C509="","",IFERROR(INDEX('Asset Register'!$B:$B,MATCH($C509,'Asset Register'!$A:$A,0)),""))</f>
        <v/>
      </c>
      <c r="H509" t="str">
        <f>IFERROR(INDEX('Task Master'!$E:$E,MATCH($F509&amp;"||"&amp;$G509,'Task Master'!$K:$K,0)),"")</f>
        <v/>
      </c>
      <c r="I509" t="str">
        <f>IFERROR(INDEX('Task Master'!$F:$F,MATCH($F509&amp;"||"&amp;$G509,'Task Master'!$K:$K,0)),"")</f>
        <v/>
      </c>
      <c r="J509" t="str">
        <f>IFERROR(INDEX('Task Master'!$H:$H,MATCH($F509&amp;"||"&amp;$G509,'Task Master'!$K:$K,0)),"")</f>
        <v/>
      </c>
      <c r="N509" s="18" t="str">
        <f t="shared" si="57"/>
        <v/>
      </c>
      <c r="R509" s="18">
        <f t="shared" si="58"/>
        <v>0</v>
      </c>
      <c r="V509" s="18">
        <f t="shared" si="59"/>
        <v>0</v>
      </c>
      <c r="Z509" s="18">
        <f t="shared" si="60"/>
        <v>0</v>
      </c>
      <c r="AA509" s="18"/>
      <c r="AB509" s="18">
        <f t="shared" si="61"/>
        <v>0</v>
      </c>
      <c r="AC509" s="18" t="str">
        <f t="shared" si="62"/>
        <v/>
      </c>
      <c r="AD509" s="18" t="str">
        <f t="shared" si="63"/>
        <v/>
      </c>
      <c r="AF509" t="str">
        <f>IFERROR(INDEX('Task Master'!$D:$D,MATCH($F509,'Task Master'!$C:$C,0)),"")</f>
        <v/>
      </c>
    </row>
    <row r="510" spans="1:32" x14ac:dyDescent="0.25">
      <c r="A510" t="str">
        <f t="shared" si="56"/>
        <v/>
      </c>
      <c r="B510" s="16"/>
      <c r="D510" t="str">
        <f>IF($C510="","",IFERROR(INDEX('Asset Register'!$B:$B,MATCH($C510,'Asset Register'!$A:$A,0)),""))</f>
        <v/>
      </c>
      <c r="H510" t="str">
        <f>IFERROR(INDEX('Task Master'!$E:$E,MATCH($F510&amp;"||"&amp;$G510,'Task Master'!$K:$K,0)),"")</f>
        <v/>
      </c>
      <c r="I510" t="str">
        <f>IFERROR(INDEX('Task Master'!$F:$F,MATCH($F510&amp;"||"&amp;$G510,'Task Master'!$K:$K,0)),"")</f>
        <v/>
      </c>
      <c r="J510" t="str">
        <f>IFERROR(INDEX('Task Master'!$H:$H,MATCH($F510&amp;"||"&amp;$G510,'Task Master'!$K:$K,0)),"")</f>
        <v/>
      </c>
      <c r="N510" s="18" t="str">
        <f t="shared" si="57"/>
        <v/>
      </c>
      <c r="R510" s="18">
        <f t="shared" si="58"/>
        <v>0</v>
      </c>
      <c r="V510" s="18">
        <f t="shared" si="59"/>
        <v>0</v>
      </c>
      <c r="Z510" s="18">
        <f t="shared" si="60"/>
        <v>0</v>
      </c>
      <c r="AA510" s="18"/>
      <c r="AB510" s="18">
        <f t="shared" si="61"/>
        <v>0</v>
      </c>
      <c r="AC510" s="18" t="str">
        <f t="shared" si="62"/>
        <v/>
      </c>
      <c r="AD510" s="18" t="str">
        <f t="shared" si="63"/>
        <v/>
      </c>
      <c r="AF510" t="str">
        <f>IFERROR(INDEX('Task Master'!$D:$D,MATCH($F510,'Task Master'!$C:$C,0)),"")</f>
        <v/>
      </c>
    </row>
    <row r="511" spans="1:32" x14ac:dyDescent="0.25">
      <c r="A511" t="str">
        <f t="shared" si="56"/>
        <v/>
      </c>
      <c r="B511" s="16"/>
      <c r="D511" t="str">
        <f>IF($C511="","",IFERROR(INDEX('Asset Register'!$B:$B,MATCH($C511,'Asset Register'!$A:$A,0)),""))</f>
        <v/>
      </c>
      <c r="H511" t="str">
        <f>IFERROR(INDEX('Task Master'!$E:$E,MATCH($F511&amp;"||"&amp;$G511,'Task Master'!$K:$K,0)),"")</f>
        <v/>
      </c>
      <c r="I511" t="str">
        <f>IFERROR(INDEX('Task Master'!$F:$F,MATCH($F511&amp;"||"&amp;$G511,'Task Master'!$K:$K,0)),"")</f>
        <v/>
      </c>
      <c r="J511" t="str">
        <f>IFERROR(INDEX('Task Master'!$H:$H,MATCH($F511&amp;"||"&amp;$G511,'Task Master'!$K:$K,0)),"")</f>
        <v/>
      </c>
      <c r="N511" s="18" t="str">
        <f t="shared" si="57"/>
        <v/>
      </c>
      <c r="R511" s="18">
        <f t="shared" si="58"/>
        <v>0</v>
      </c>
      <c r="V511" s="18">
        <f t="shared" si="59"/>
        <v>0</v>
      </c>
      <c r="Z511" s="18">
        <f t="shared" si="60"/>
        <v>0</v>
      </c>
      <c r="AA511" s="18"/>
      <c r="AB511" s="18">
        <f t="shared" si="61"/>
        <v>0</v>
      </c>
      <c r="AC511" s="18" t="str">
        <f t="shared" si="62"/>
        <v/>
      </c>
      <c r="AD511" s="18" t="str">
        <f t="shared" si="63"/>
        <v/>
      </c>
      <c r="AF511" t="str">
        <f>IFERROR(INDEX('Task Master'!$D:$D,MATCH($F511,'Task Master'!$C:$C,0)),"")</f>
        <v/>
      </c>
    </row>
    <row r="512" spans="1:32" x14ac:dyDescent="0.25">
      <c r="A512" t="str">
        <f t="shared" si="56"/>
        <v/>
      </c>
      <c r="B512" s="16"/>
      <c r="D512" t="str">
        <f>IF($C512="","",IFERROR(INDEX('Asset Register'!$B:$B,MATCH($C512,'Asset Register'!$A:$A,0)),""))</f>
        <v/>
      </c>
      <c r="H512" t="str">
        <f>IFERROR(INDEX('Task Master'!$E:$E,MATCH($F512&amp;"||"&amp;$G512,'Task Master'!$K:$K,0)),"")</f>
        <v/>
      </c>
      <c r="I512" t="str">
        <f>IFERROR(INDEX('Task Master'!$F:$F,MATCH($F512&amp;"||"&amp;$G512,'Task Master'!$K:$K,0)),"")</f>
        <v/>
      </c>
      <c r="J512" t="str">
        <f>IFERROR(INDEX('Task Master'!$H:$H,MATCH($F512&amp;"||"&amp;$G512,'Task Master'!$K:$K,0)),"")</f>
        <v/>
      </c>
      <c r="N512" s="18" t="str">
        <f t="shared" si="57"/>
        <v/>
      </c>
      <c r="R512" s="18">
        <f t="shared" si="58"/>
        <v>0</v>
      </c>
      <c r="V512" s="18">
        <f t="shared" si="59"/>
        <v>0</v>
      </c>
      <c r="Z512" s="18">
        <f t="shared" si="60"/>
        <v>0</v>
      </c>
      <c r="AA512" s="18"/>
      <c r="AB512" s="18">
        <f t="shared" si="61"/>
        <v>0</v>
      </c>
      <c r="AC512" s="18" t="str">
        <f t="shared" si="62"/>
        <v/>
      </c>
      <c r="AD512" s="18" t="str">
        <f t="shared" si="63"/>
        <v/>
      </c>
      <c r="AF512" t="str">
        <f>IFERROR(INDEX('Task Master'!$D:$D,MATCH($F512,'Task Master'!$C:$C,0)),"")</f>
        <v/>
      </c>
    </row>
    <row r="513" spans="1:32" x14ac:dyDescent="0.25">
      <c r="A513" t="str">
        <f t="shared" si="56"/>
        <v/>
      </c>
      <c r="B513" s="16"/>
      <c r="D513" t="str">
        <f>IF($C513="","",IFERROR(INDEX('Asset Register'!$B:$B,MATCH($C513,'Asset Register'!$A:$A,0)),""))</f>
        <v/>
      </c>
      <c r="H513" t="str">
        <f>IFERROR(INDEX('Task Master'!$E:$E,MATCH($F513&amp;"||"&amp;$G513,'Task Master'!$K:$K,0)),"")</f>
        <v/>
      </c>
      <c r="I513" t="str">
        <f>IFERROR(INDEX('Task Master'!$F:$F,MATCH($F513&amp;"||"&amp;$G513,'Task Master'!$K:$K,0)),"")</f>
        <v/>
      </c>
      <c r="J513" t="str">
        <f>IFERROR(INDEX('Task Master'!$H:$H,MATCH($F513&amp;"||"&amp;$G513,'Task Master'!$K:$K,0)),"")</f>
        <v/>
      </c>
      <c r="N513" s="18" t="str">
        <f t="shared" si="57"/>
        <v/>
      </c>
      <c r="R513" s="18">
        <f t="shared" si="58"/>
        <v>0</v>
      </c>
      <c r="V513" s="18">
        <f t="shared" si="59"/>
        <v>0</v>
      </c>
      <c r="Z513" s="18">
        <f t="shared" si="60"/>
        <v>0</v>
      </c>
      <c r="AA513" s="18"/>
      <c r="AB513" s="18">
        <f t="shared" si="61"/>
        <v>0</v>
      </c>
      <c r="AC513" s="18" t="str">
        <f t="shared" si="62"/>
        <v/>
      </c>
      <c r="AD513" s="18" t="str">
        <f t="shared" si="63"/>
        <v/>
      </c>
      <c r="AF513" t="str">
        <f>IFERROR(INDEX('Task Master'!$D:$D,MATCH($F513,'Task Master'!$C:$C,0)),"")</f>
        <v/>
      </c>
    </row>
    <row r="514" spans="1:32" x14ac:dyDescent="0.25">
      <c r="A514" t="str">
        <f t="shared" ref="A514:A577" si="64">IF(B514="","",ROW()-1)</f>
        <v/>
      </c>
      <c r="B514" s="16"/>
      <c r="D514" t="str">
        <f>IF($C514="","",IFERROR(INDEX('Asset Register'!$B:$B,MATCH($C514,'Asset Register'!$A:$A,0)),""))</f>
        <v/>
      </c>
      <c r="H514" t="str">
        <f>IFERROR(INDEX('Task Master'!$E:$E,MATCH($F514&amp;"||"&amp;$G514,'Task Master'!$K:$K,0)),"")</f>
        <v/>
      </c>
      <c r="I514" t="str">
        <f>IFERROR(INDEX('Task Master'!$F:$F,MATCH($F514&amp;"||"&amp;$G514,'Task Master'!$K:$K,0)),"")</f>
        <v/>
      </c>
      <c r="J514" t="str">
        <f>IFERROR(INDEX('Task Master'!$H:$H,MATCH($F514&amp;"||"&amp;$G514,'Task Master'!$K:$K,0)),"")</f>
        <v/>
      </c>
      <c r="N514" s="18" t="str">
        <f t="shared" ref="N514:N577" si="65">IF(OR($K514="",$L514="",$M514=""),"",$K514*$L514*$M514)</f>
        <v/>
      </c>
      <c r="R514" s="18">
        <f t="shared" ref="R514:R577" si="66">IF(OR($P514="",$Q514=""),0,$P514*$Q514)</f>
        <v>0</v>
      </c>
      <c r="V514" s="18">
        <f t="shared" ref="V514:V577" si="67">IF(OR($T514="",$U514=""),0,$T514*$U514)</f>
        <v>0</v>
      </c>
      <c r="Z514" s="18">
        <f t="shared" ref="Z514:Z577" si="68">IF(OR($X514="",$Y514=""),0,$X514*$Y514)</f>
        <v>0</v>
      </c>
      <c r="AA514" s="18"/>
      <c r="AB514" s="18">
        <f t="shared" ref="AB514:AB577" si="69">$R514+$V514+$Z514</f>
        <v>0</v>
      </c>
      <c r="AC514" s="18" t="str">
        <f t="shared" ref="AC514:AC577" si="70">IF($B514="","",$AB514+$AA514+$N514)</f>
        <v/>
      </c>
      <c r="AD514" s="18" t="str">
        <f t="shared" ref="AD514:AD577" si="71">IF(OR($K514="",$K514=0,$AC514=""),"",$AC514/$K514)</f>
        <v/>
      </c>
      <c r="AF514" t="str">
        <f>IFERROR(INDEX('Task Master'!$D:$D,MATCH($F514,'Task Master'!$C:$C,0)),"")</f>
        <v/>
      </c>
    </row>
    <row r="515" spans="1:32" x14ac:dyDescent="0.25">
      <c r="A515" t="str">
        <f t="shared" si="64"/>
        <v/>
      </c>
      <c r="B515" s="16"/>
      <c r="D515" t="str">
        <f>IF($C515="","",IFERROR(INDEX('Asset Register'!$B:$B,MATCH($C515,'Asset Register'!$A:$A,0)),""))</f>
        <v/>
      </c>
      <c r="H515" t="str">
        <f>IFERROR(INDEX('Task Master'!$E:$E,MATCH($F515&amp;"||"&amp;$G515,'Task Master'!$K:$K,0)),"")</f>
        <v/>
      </c>
      <c r="I515" t="str">
        <f>IFERROR(INDEX('Task Master'!$F:$F,MATCH($F515&amp;"||"&amp;$G515,'Task Master'!$K:$K,0)),"")</f>
        <v/>
      </c>
      <c r="J515" t="str">
        <f>IFERROR(INDEX('Task Master'!$H:$H,MATCH($F515&amp;"||"&amp;$G515,'Task Master'!$K:$K,0)),"")</f>
        <v/>
      </c>
      <c r="N515" s="18" t="str">
        <f t="shared" si="65"/>
        <v/>
      </c>
      <c r="R515" s="18">
        <f t="shared" si="66"/>
        <v>0</v>
      </c>
      <c r="V515" s="18">
        <f t="shared" si="67"/>
        <v>0</v>
      </c>
      <c r="Z515" s="18">
        <f t="shared" si="68"/>
        <v>0</v>
      </c>
      <c r="AA515" s="18"/>
      <c r="AB515" s="18">
        <f t="shared" si="69"/>
        <v>0</v>
      </c>
      <c r="AC515" s="18" t="str">
        <f t="shared" si="70"/>
        <v/>
      </c>
      <c r="AD515" s="18" t="str">
        <f t="shared" si="71"/>
        <v/>
      </c>
      <c r="AF515" t="str">
        <f>IFERROR(INDEX('Task Master'!$D:$D,MATCH($F515,'Task Master'!$C:$C,0)),"")</f>
        <v/>
      </c>
    </row>
    <row r="516" spans="1:32" x14ac:dyDescent="0.25">
      <c r="A516" t="str">
        <f t="shared" si="64"/>
        <v/>
      </c>
      <c r="B516" s="16"/>
      <c r="D516" t="str">
        <f>IF($C516="","",IFERROR(INDEX('Asset Register'!$B:$B,MATCH($C516,'Asset Register'!$A:$A,0)),""))</f>
        <v/>
      </c>
      <c r="H516" t="str">
        <f>IFERROR(INDEX('Task Master'!$E:$E,MATCH($F516&amp;"||"&amp;$G516,'Task Master'!$K:$K,0)),"")</f>
        <v/>
      </c>
      <c r="I516" t="str">
        <f>IFERROR(INDEX('Task Master'!$F:$F,MATCH($F516&amp;"||"&amp;$G516,'Task Master'!$K:$K,0)),"")</f>
        <v/>
      </c>
      <c r="J516" t="str">
        <f>IFERROR(INDEX('Task Master'!$H:$H,MATCH($F516&amp;"||"&amp;$G516,'Task Master'!$K:$K,0)),"")</f>
        <v/>
      </c>
      <c r="N516" s="18" t="str">
        <f t="shared" si="65"/>
        <v/>
      </c>
      <c r="R516" s="18">
        <f t="shared" si="66"/>
        <v>0</v>
      </c>
      <c r="V516" s="18">
        <f t="shared" si="67"/>
        <v>0</v>
      </c>
      <c r="Z516" s="18">
        <f t="shared" si="68"/>
        <v>0</v>
      </c>
      <c r="AA516" s="18"/>
      <c r="AB516" s="18">
        <f t="shared" si="69"/>
        <v>0</v>
      </c>
      <c r="AC516" s="18" t="str">
        <f t="shared" si="70"/>
        <v/>
      </c>
      <c r="AD516" s="18" t="str">
        <f t="shared" si="71"/>
        <v/>
      </c>
      <c r="AF516" t="str">
        <f>IFERROR(INDEX('Task Master'!$D:$D,MATCH($F516,'Task Master'!$C:$C,0)),"")</f>
        <v/>
      </c>
    </row>
    <row r="517" spans="1:32" x14ac:dyDescent="0.25">
      <c r="A517" t="str">
        <f t="shared" si="64"/>
        <v/>
      </c>
      <c r="B517" s="16"/>
      <c r="D517" t="str">
        <f>IF($C517="","",IFERROR(INDEX('Asset Register'!$B:$B,MATCH($C517,'Asset Register'!$A:$A,0)),""))</f>
        <v/>
      </c>
      <c r="H517" t="str">
        <f>IFERROR(INDEX('Task Master'!$E:$E,MATCH($F517&amp;"||"&amp;$G517,'Task Master'!$K:$K,0)),"")</f>
        <v/>
      </c>
      <c r="I517" t="str">
        <f>IFERROR(INDEX('Task Master'!$F:$F,MATCH($F517&amp;"||"&amp;$G517,'Task Master'!$K:$K,0)),"")</f>
        <v/>
      </c>
      <c r="J517" t="str">
        <f>IFERROR(INDEX('Task Master'!$H:$H,MATCH($F517&amp;"||"&amp;$G517,'Task Master'!$K:$K,0)),"")</f>
        <v/>
      </c>
      <c r="N517" s="18" t="str">
        <f t="shared" si="65"/>
        <v/>
      </c>
      <c r="R517" s="18">
        <f t="shared" si="66"/>
        <v>0</v>
      </c>
      <c r="V517" s="18">
        <f t="shared" si="67"/>
        <v>0</v>
      </c>
      <c r="Z517" s="18">
        <f t="shared" si="68"/>
        <v>0</v>
      </c>
      <c r="AA517" s="18"/>
      <c r="AB517" s="18">
        <f t="shared" si="69"/>
        <v>0</v>
      </c>
      <c r="AC517" s="18" t="str">
        <f t="shared" si="70"/>
        <v/>
      </c>
      <c r="AD517" s="18" t="str">
        <f t="shared" si="71"/>
        <v/>
      </c>
      <c r="AF517" t="str">
        <f>IFERROR(INDEX('Task Master'!$D:$D,MATCH($F517,'Task Master'!$C:$C,0)),"")</f>
        <v/>
      </c>
    </row>
    <row r="518" spans="1:32" x14ac:dyDescent="0.25">
      <c r="A518" t="str">
        <f t="shared" si="64"/>
        <v/>
      </c>
      <c r="B518" s="16"/>
      <c r="D518" t="str">
        <f>IF($C518="","",IFERROR(INDEX('Asset Register'!$B:$B,MATCH($C518,'Asset Register'!$A:$A,0)),""))</f>
        <v/>
      </c>
      <c r="H518" t="str">
        <f>IFERROR(INDEX('Task Master'!$E:$E,MATCH($F518&amp;"||"&amp;$G518,'Task Master'!$K:$K,0)),"")</f>
        <v/>
      </c>
      <c r="I518" t="str">
        <f>IFERROR(INDEX('Task Master'!$F:$F,MATCH($F518&amp;"||"&amp;$G518,'Task Master'!$K:$K,0)),"")</f>
        <v/>
      </c>
      <c r="J518" t="str">
        <f>IFERROR(INDEX('Task Master'!$H:$H,MATCH($F518&amp;"||"&amp;$G518,'Task Master'!$K:$K,0)),"")</f>
        <v/>
      </c>
      <c r="N518" s="18" t="str">
        <f t="shared" si="65"/>
        <v/>
      </c>
      <c r="R518" s="18">
        <f t="shared" si="66"/>
        <v>0</v>
      </c>
      <c r="V518" s="18">
        <f t="shared" si="67"/>
        <v>0</v>
      </c>
      <c r="Z518" s="18">
        <f t="shared" si="68"/>
        <v>0</v>
      </c>
      <c r="AA518" s="18"/>
      <c r="AB518" s="18">
        <f t="shared" si="69"/>
        <v>0</v>
      </c>
      <c r="AC518" s="18" t="str">
        <f t="shared" si="70"/>
        <v/>
      </c>
      <c r="AD518" s="18" t="str">
        <f t="shared" si="71"/>
        <v/>
      </c>
      <c r="AF518" t="str">
        <f>IFERROR(INDEX('Task Master'!$D:$D,MATCH($F518,'Task Master'!$C:$C,0)),"")</f>
        <v/>
      </c>
    </row>
    <row r="519" spans="1:32" x14ac:dyDescent="0.25">
      <c r="A519" t="str">
        <f t="shared" si="64"/>
        <v/>
      </c>
      <c r="B519" s="16"/>
      <c r="D519" t="str">
        <f>IF($C519="","",IFERROR(INDEX('Asset Register'!$B:$B,MATCH($C519,'Asset Register'!$A:$A,0)),""))</f>
        <v/>
      </c>
      <c r="H519" t="str">
        <f>IFERROR(INDEX('Task Master'!$E:$E,MATCH($F519&amp;"||"&amp;$G519,'Task Master'!$K:$K,0)),"")</f>
        <v/>
      </c>
      <c r="I519" t="str">
        <f>IFERROR(INDEX('Task Master'!$F:$F,MATCH($F519&amp;"||"&amp;$G519,'Task Master'!$K:$K,0)),"")</f>
        <v/>
      </c>
      <c r="J519" t="str">
        <f>IFERROR(INDEX('Task Master'!$H:$H,MATCH($F519&amp;"||"&amp;$G519,'Task Master'!$K:$K,0)),"")</f>
        <v/>
      </c>
      <c r="N519" s="18" t="str">
        <f t="shared" si="65"/>
        <v/>
      </c>
      <c r="R519" s="18">
        <f t="shared" si="66"/>
        <v>0</v>
      </c>
      <c r="V519" s="18">
        <f t="shared" si="67"/>
        <v>0</v>
      </c>
      <c r="Z519" s="18">
        <f t="shared" si="68"/>
        <v>0</v>
      </c>
      <c r="AA519" s="18"/>
      <c r="AB519" s="18">
        <f t="shared" si="69"/>
        <v>0</v>
      </c>
      <c r="AC519" s="18" t="str">
        <f t="shared" si="70"/>
        <v/>
      </c>
      <c r="AD519" s="18" t="str">
        <f t="shared" si="71"/>
        <v/>
      </c>
      <c r="AF519" t="str">
        <f>IFERROR(INDEX('Task Master'!$D:$D,MATCH($F519,'Task Master'!$C:$C,0)),"")</f>
        <v/>
      </c>
    </row>
    <row r="520" spans="1:32" x14ac:dyDescent="0.25">
      <c r="A520" t="str">
        <f t="shared" si="64"/>
        <v/>
      </c>
      <c r="B520" s="16"/>
      <c r="D520" t="str">
        <f>IF($C520="","",IFERROR(INDEX('Asset Register'!$B:$B,MATCH($C520,'Asset Register'!$A:$A,0)),""))</f>
        <v/>
      </c>
      <c r="H520" t="str">
        <f>IFERROR(INDEX('Task Master'!$E:$E,MATCH($F520&amp;"||"&amp;$G520,'Task Master'!$K:$K,0)),"")</f>
        <v/>
      </c>
      <c r="I520" t="str">
        <f>IFERROR(INDEX('Task Master'!$F:$F,MATCH($F520&amp;"||"&amp;$G520,'Task Master'!$K:$K,0)),"")</f>
        <v/>
      </c>
      <c r="J520" t="str">
        <f>IFERROR(INDEX('Task Master'!$H:$H,MATCH($F520&amp;"||"&amp;$G520,'Task Master'!$K:$K,0)),"")</f>
        <v/>
      </c>
      <c r="N520" s="18" t="str">
        <f t="shared" si="65"/>
        <v/>
      </c>
      <c r="R520" s="18">
        <f t="shared" si="66"/>
        <v>0</v>
      </c>
      <c r="V520" s="18">
        <f t="shared" si="67"/>
        <v>0</v>
      </c>
      <c r="Z520" s="18">
        <f t="shared" si="68"/>
        <v>0</v>
      </c>
      <c r="AA520" s="18"/>
      <c r="AB520" s="18">
        <f t="shared" si="69"/>
        <v>0</v>
      </c>
      <c r="AC520" s="18" t="str">
        <f t="shared" si="70"/>
        <v/>
      </c>
      <c r="AD520" s="18" t="str">
        <f t="shared" si="71"/>
        <v/>
      </c>
      <c r="AF520" t="str">
        <f>IFERROR(INDEX('Task Master'!$D:$D,MATCH($F520,'Task Master'!$C:$C,0)),"")</f>
        <v/>
      </c>
    </row>
    <row r="521" spans="1:32" x14ac:dyDescent="0.25">
      <c r="A521" t="str">
        <f t="shared" si="64"/>
        <v/>
      </c>
      <c r="B521" s="16"/>
      <c r="D521" t="str">
        <f>IF($C521="","",IFERROR(INDEX('Asset Register'!$B:$B,MATCH($C521,'Asset Register'!$A:$A,0)),""))</f>
        <v/>
      </c>
      <c r="H521" t="str">
        <f>IFERROR(INDEX('Task Master'!$E:$E,MATCH($F521&amp;"||"&amp;$G521,'Task Master'!$K:$K,0)),"")</f>
        <v/>
      </c>
      <c r="I521" t="str">
        <f>IFERROR(INDEX('Task Master'!$F:$F,MATCH($F521&amp;"||"&amp;$G521,'Task Master'!$K:$K,0)),"")</f>
        <v/>
      </c>
      <c r="J521" t="str">
        <f>IFERROR(INDEX('Task Master'!$H:$H,MATCH($F521&amp;"||"&amp;$G521,'Task Master'!$K:$K,0)),"")</f>
        <v/>
      </c>
      <c r="N521" s="18" t="str">
        <f t="shared" si="65"/>
        <v/>
      </c>
      <c r="R521" s="18">
        <f t="shared" si="66"/>
        <v>0</v>
      </c>
      <c r="V521" s="18">
        <f t="shared" si="67"/>
        <v>0</v>
      </c>
      <c r="Z521" s="18">
        <f t="shared" si="68"/>
        <v>0</v>
      </c>
      <c r="AA521" s="18"/>
      <c r="AB521" s="18">
        <f t="shared" si="69"/>
        <v>0</v>
      </c>
      <c r="AC521" s="18" t="str">
        <f t="shared" si="70"/>
        <v/>
      </c>
      <c r="AD521" s="18" t="str">
        <f t="shared" si="71"/>
        <v/>
      </c>
      <c r="AF521" t="str">
        <f>IFERROR(INDEX('Task Master'!$D:$D,MATCH($F521,'Task Master'!$C:$C,0)),"")</f>
        <v/>
      </c>
    </row>
    <row r="522" spans="1:32" x14ac:dyDescent="0.25">
      <c r="A522" t="str">
        <f t="shared" si="64"/>
        <v/>
      </c>
      <c r="B522" s="16"/>
      <c r="D522" t="str">
        <f>IF($C522="","",IFERROR(INDEX('Asset Register'!$B:$B,MATCH($C522,'Asset Register'!$A:$A,0)),""))</f>
        <v/>
      </c>
      <c r="H522" t="str">
        <f>IFERROR(INDEX('Task Master'!$E:$E,MATCH($F522&amp;"||"&amp;$G522,'Task Master'!$K:$K,0)),"")</f>
        <v/>
      </c>
      <c r="I522" t="str">
        <f>IFERROR(INDEX('Task Master'!$F:$F,MATCH($F522&amp;"||"&amp;$G522,'Task Master'!$K:$K,0)),"")</f>
        <v/>
      </c>
      <c r="J522" t="str">
        <f>IFERROR(INDEX('Task Master'!$H:$H,MATCH($F522&amp;"||"&amp;$G522,'Task Master'!$K:$K,0)),"")</f>
        <v/>
      </c>
      <c r="N522" s="18" t="str">
        <f t="shared" si="65"/>
        <v/>
      </c>
      <c r="R522" s="18">
        <f t="shared" si="66"/>
        <v>0</v>
      </c>
      <c r="V522" s="18">
        <f t="shared" si="67"/>
        <v>0</v>
      </c>
      <c r="Z522" s="18">
        <f t="shared" si="68"/>
        <v>0</v>
      </c>
      <c r="AA522" s="18"/>
      <c r="AB522" s="18">
        <f t="shared" si="69"/>
        <v>0</v>
      </c>
      <c r="AC522" s="18" t="str">
        <f t="shared" si="70"/>
        <v/>
      </c>
      <c r="AD522" s="18" t="str">
        <f t="shared" si="71"/>
        <v/>
      </c>
      <c r="AF522" t="str">
        <f>IFERROR(INDEX('Task Master'!$D:$D,MATCH($F522,'Task Master'!$C:$C,0)),"")</f>
        <v/>
      </c>
    </row>
    <row r="523" spans="1:32" x14ac:dyDescent="0.25">
      <c r="A523" t="str">
        <f t="shared" si="64"/>
        <v/>
      </c>
      <c r="B523" s="16"/>
      <c r="D523" t="str">
        <f>IF($C523="","",IFERROR(INDEX('Asset Register'!$B:$B,MATCH($C523,'Asset Register'!$A:$A,0)),""))</f>
        <v/>
      </c>
      <c r="H523" t="str">
        <f>IFERROR(INDEX('Task Master'!$E:$E,MATCH($F523&amp;"||"&amp;$G523,'Task Master'!$K:$K,0)),"")</f>
        <v/>
      </c>
      <c r="I523" t="str">
        <f>IFERROR(INDEX('Task Master'!$F:$F,MATCH($F523&amp;"||"&amp;$G523,'Task Master'!$K:$K,0)),"")</f>
        <v/>
      </c>
      <c r="J523" t="str">
        <f>IFERROR(INDEX('Task Master'!$H:$H,MATCH($F523&amp;"||"&amp;$G523,'Task Master'!$K:$K,0)),"")</f>
        <v/>
      </c>
      <c r="N523" s="18" t="str">
        <f t="shared" si="65"/>
        <v/>
      </c>
      <c r="R523" s="18">
        <f t="shared" si="66"/>
        <v>0</v>
      </c>
      <c r="V523" s="18">
        <f t="shared" si="67"/>
        <v>0</v>
      </c>
      <c r="Z523" s="18">
        <f t="shared" si="68"/>
        <v>0</v>
      </c>
      <c r="AA523" s="18"/>
      <c r="AB523" s="18">
        <f t="shared" si="69"/>
        <v>0</v>
      </c>
      <c r="AC523" s="18" t="str">
        <f t="shared" si="70"/>
        <v/>
      </c>
      <c r="AD523" s="18" t="str">
        <f t="shared" si="71"/>
        <v/>
      </c>
      <c r="AF523" t="str">
        <f>IFERROR(INDEX('Task Master'!$D:$D,MATCH($F523,'Task Master'!$C:$C,0)),"")</f>
        <v/>
      </c>
    </row>
    <row r="524" spans="1:32" x14ac:dyDescent="0.25">
      <c r="A524" t="str">
        <f t="shared" si="64"/>
        <v/>
      </c>
      <c r="B524" s="16"/>
      <c r="D524" t="str">
        <f>IF($C524="","",IFERROR(INDEX('Asset Register'!$B:$B,MATCH($C524,'Asset Register'!$A:$A,0)),""))</f>
        <v/>
      </c>
      <c r="H524" t="str">
        <f>IFERROR(INDEX('Task Master'!$E:$E,MATCH($F524&amp;"||"&amp;$G524,'Task Master'!$K:$K,0)),"")</f>
        <v/>
      </c>
      <c r="I524" t="str">
        <f>IFERROR(INDEX('Task Master'!$F:$F,MATCH($F524&amp;"||"&amp;$G524,'Task Master'!$K:$K,0)),"")</f>
        <v/>
      </c>
      <c r="J524" t="str">
        <f>IFERROR(INDEX('Task Master'!$H:$H,MATCH($F524&amp;"||"&amp;$G524,'Task Master'!$K:$K,0)),"")</f>
        <v/>
      </c>
      <c r="N524" s="18" t="str">
        <f t="shared" si="65"/>
        <v/>
      </c>
      <c r="R524" s="18">
        <f t="shared" si="66"/>
        <v>0</v>
      </c>
      <c r="V524" s="18">
        <f t="shared" si="67"/>
        <v>0</v>
      </c>
      <c r="Z524" s="18">
        <f t="shared" si="68"/>
        <v>0</v>
      </c>
      <c r="AA524" s="18"/>
      <c r="AB524" s="18">
        <f t="shared" si="69"/>
        <v>0</v>
      </c>
      <c r="AC524" s="18" t="str">
        <f t="shared" si="70"/>
        <v/>
      </c>
      <c r="AD524" s="18" t="str">
        <f t="shared" si="71"/>
        <v/>
      </c>
      <c r="AF524" t="str">
        <f>IFERROR(INDEX('Task Master'!$D:$D,MATCH($F524,'Task Master'!$C:$C,0)),"")</f>
        <v/>
      </c>
    </row>
    <row r="525" spans="1:32" x14ac:dyDescent="0.25">
      <c r="A525" t="str">
        <f t="shared" si="64"/>
        <v/>
      </c>
      <c r="B525" s="16"/>
      <c r="D525" t="str">
        <f>IF($C525="","",IFERROR(INDEX('Asset Register'!$B:$B,MATCH($C525,'Asset Register'!$A:$A,0)),""))</f>
        <v/>
      </c>
      <c r="H525" t="str">
        <f>IFERROR(INDEX('Task Master'!$E:$E,MATCH($F525&amp;"||"&amp;$G525,'Task Master'!$K:$K,0)),"")</f>
        <v/>
      </c>
      <c r="I525" t="str">
        <f>IFERROR(INDEX('Task Master'!$F:$F,MATCH($F525&amp;"||"&amp;$G525,'Task Master'!$K:$K,0)),"")</f>
        <v/>
      </c>
      <c r="J525" t="str">
        <f>IFERROR(INDEX('Task Master'!$H:$H,MATCH($F525&amp;"||"&amp;$G525,'Task Master'!$K:$K,0)),"")</f>
        <v/>
      </c>
      <c r="N525" s="18" t="str">
        <f t="shared" si="65"/>
        <v/>
      </c>
      <c r="R525" s="18">
        <f t="shared" si="66"/>
        <v>0</v>
      </c>
      <c r="V525" s="18">
        <f t="shared" si="67"/>
        <v>0</v>
      </c>
      <c r="Z525" s="18">
        <f t="shared" si="68"/>
        <v>0</v>
      </c>
      <c r="AA525" s="18"/>
      <c r="AB525" s="18">
        <f t="shared" si="69"/>
        <v>0</v>
      </c>
      <c r="AC525" s="18" t="str">
        <f t="shared" si="70"/>
        <v/>
      </c>
      <c r="AD525" s="18" t="str">
        <f t="shared" si="71"/>
        <v/>
      </c>
      <c r="AF525" t="str">
        <f>IFERROR(INDEX('Task Master'!$D:$D,MATCH($F525,'Task Master'!$C:$C,0)),"")</f>
        <v/>
      </c>
    </row>
    <row r="526" spans="1:32" x14ac:dyDescent="0.25">
      <c r="A526" t="str">
        <f t="shared" si="64"/>
        <v/>
      </c>
      <c r="B526" s="16"/>
      <c r="D526" t="str">
        <f>IF($C526="","",IFERROR(INDEX('Asset Register'!$B:$B,MATCH($C526,'Asset Register'!$A:$A,0)),""))</f>
        <v/>
      </c>
      <c r="H526" t="str">
        <f>IFERROR(INDEX('Task Master'!$E:$E,MATCH($F526&amp;"||"&amp;$G526,'Task Master'!$K:$K,0)),"")</f>
        <v/>
      </c>
      <c r="I526" t="str">
        <f>IFERROR(INDEX('Task Master'!$F:$F,MATCH($F526&amp;"||"&amp;$G526,'Task Master'!$K:$K,0)),"")</f>
        <v/>
      </c>
      <c r="J526" t="str">
        <f>IFERROR(INDEX('Task Master'!$H:$H,MATCH($F526&amp;"||"&amp;$G526,'Task Master'!$K:$K,0)),"")</f>
        <v/>
      </c>
      <c r="N526" s="18" t="str">
        <f t="shared" si="65"/>
        <v/>
      </c>
      <c r="R526" s="18">
        <f t="shared" si="66"/>
        <v>0</v>
      </c>
      <c r="V526" s="18">
        <f t="shared" si="67"/>
        <v>0</v>
      </c>
      <c r="Z526" s="18">
        <f t="shared" si="68"/>
        <v>0</v>
      </c>
      <c r="AA526" s="18"/>
      <c r="AB526" s="18">
        <f t="shared" si="69"/>
        <v>0</v>
      </c>
      <c r="AC526" s="18" t="str">
        <f t="shared" si="70"/>
        <v/>
      </c>
      <c r="AD526" s="18" t="str">
        <f t="shared" si="71"/>
        <v/>
      </c>
      <c r="AF526" t="str">
        <f>IFERROR(INDEX('Task Master'!$D:$D,MATCH($F526,'Task Master'!$C:$C,0)),"")</f>
        <v/>
      </c>
    </row>
    <row r="527" spans="1:32" x14ac:dyDescent="0.25">
      <c r="A527" t="str">
        <f t="shared" si="64"/>
        <v/>
      </c>
      <c r="B527" s="16"/>
      <c r="D527" t="str">
        <f>IF($C527="","",IFERROR(INDEX('Asset Register'!$B:$B,MATCH($C527,'Asset Register'!$A:$A,0)),""))</f>
        <v/>
      </c>
      <c r="H527" t="str">
        <f>IFERROR(INDEX('Task Master'!$E:$E,MATCH($F527&amp;"||"&amp;$G527,'Task Master'!$K:$K,0)),"")</f>
        <v/>
      </c>
      <c r="I527" t="str">
        <f>IFERROR(INDEX('Task Master'!$F:$F,MATCH($F527&amp;"||"&amp;$G527,'Task Master'!$K:$K,0)),"")</f>
        <v/>
      </c>
      <c r="J527" t="str">
        <f>IFERROR(INDEX('Task Master'!$H:$H,MATCH($F527&amp;"||"&amp;$G527,'Task Master'!$K:$K,0)),"")</f>
        <v/>
      </c>
      <c r="N527" s="18" t="str">
        <f t="shared" si="65"/>
        <v/>
      </c>
      <c r="R527" s="18">
        <f t="shared" si="66"/>
        <v>0</v>
      </c>
      <c r="V527" s="18">
        <f t="shared" si="67"/>
        <v>0</v>
      </c>
      <c r="Z527" s="18">
        <f t="shared" si="68"/>
        <v>0</v>
      </c>
      <c r="AA527" s="18"/>
      <c r="AB527" s="18">
        <f t="shared" si="69"/>
        <v>0</v>
      </c>
      <c r="AC527" s="18" t="str">
        <f t="shared" si="70"/>
        <v/>
      </c>
      <c r="AD527" s="18" t="str">
        <f t="shared" si="71"/>
        <v/>
      </c>
      <c r="AF527" t="str">
        <f>IFERROR(INDEX('Task Master'!$D:$D,MATCH($F527,'Task Master'!$C:$C,0)),"")</f>
        <v/>
      </c>
    </row>
    <row r="528" spans="1:32" x14ac:dyDescent="0.25">
      <c r="A528" t="str">
        <f t="shared" si="64"/>
        <v/>
      </c>
      <c r="B528" s="16"/>
      <c r="D528" t="str">
        <f>IF($C528="","",IFERROR(INDEX('Asset Register'!$B:$B,MATCH($C528,'Asset Register'!$A:$A,0)),""))</f>
        <v/>
      </c>
      <c r="H528" t="str">
        <f>IFERROR(INDEX('Task Master'!$E:$E,MATCH($F528&amp;"||"&amp;$G528,'Task Master'!$K:$K,0)),"")</f>
        <v/>
      </c>
      <c r="I528" t="str">
        <f>IFERROR(INDEX('Task Master'!$F:$F,MATCH($F528&amp;"||"&amp;$G528,'Task Master'!$K:$K,0)),"")</f>
        <v/>
      </c>
      <c r="J528" t="str">
        <f>IFERROR(INDEX('Task Master'!$H:$H,MATCH($F528&amp;"||"&amp;$G528,'Task Master'!$K:$K,0)),"")</f>
        <v/>
      </c>
      <c r="N528" s="18" t="str">
        <f t="shared" si="65"/>
        <v/>
      </c>
      <c r="R528" s="18">
        <f t="shared" si="66"/>
        <v>0</v>
      </c>
      <c r="V528" s="18">
        <f t="shared" si="67"/>
        <v>0</v>
      </c>
      <c r="Z528" s="18">
        <f t="shared" si="68"/>
        <v>0</v>
      </c>
      <c r="AA528" s="18"/>
      <c r="AB528" s="18">
        <f t="shared" si="69"/>
        <v>0</v>
      </c>
      <c r="AC528" s="18" t="str">
        <f t="shared" si="70"/>
        <v/>
      </c>
      <c r="AD528" s="18" t="str">
        <f t="shared" si="71"/>
        <v/>
      </c>
      <c r="AF528" t="str">
        <f>IFERROR(INDEX('Task Master'!$D:$D,MATCH($F528,'Task Master'!$C:$C,0)),"")</f>
        <v/>
      </c>
    </row>
    <row r="529" spans="1:32" x14ac:dyDescent="0.25">
      <c r="A529" t="str">
        <f t="shared" si="64"/>
        <v/>
      </c>
      <c r="B529" s="16"/>
      <c r="D529" t="str">
        <f>IF($C529="","",IFERROR(INDEX('Asset Register'!$B:$B,MATCH($C529,'Asset Register'!$A:$A,0)),""))</f>
        <v/>
      </c>
      <c r="H529" t="str">
        <f>IFERROR(INDEX('Task Master'!$E:$E,MATCH($F529&amp;"||"&amp;$G529,'Task Master'!$K:$K,0)),"")</f>
        <v/>
      </c>
      <c r="I529" t="str">
        <f>IFERROR(INDEX('Task Master'!$F:$F,MATCH($F529&amp;"||"&amp;$G529,'Task Master'!$K:$K,0)),"")</f>
        <v/>
      </c>
      <c r="J529" t="str">
        <f>IFERROR(INDEX('Task Master'!$H:$H,MATCH($F529&amp;"||"&amp;$G529,'Task Master'!$K:$K,0)),"")</f>
        <v/>
      </c>
      <c r="N529" s="18" t="str">
        <f t="shared" si="65"/>
        <v/>
      </c>
      <c r="R529" s="18">
        <f t="shared" si="66"/>
        <v>0</v>
      </c>
      <c r="V529" s="18">
        <f t="shared" si="67"/>
        <v>0</v>
      </c>
      <c r="Z529" s="18">
        <f t="shared" si="68"/>
        <v>0</v>
      </c>
      <c r="AA529" s="18"/>
      <c r="AB529" s="18">
        <f t="shared" si="69"/>
        <v>0</v>
      </c>
      <c r="AC529" s="18" t="str">
        <f t="shared" si="70"/>
        <v/>
      </c>
      <c r="AD529" s="18" t="str">
        <f t="shared" si="71"/>
        <v/>
      </c>
      <c r="AF529" t="str">
        <f>IFERROR(INDEX('Task Master'!$D:$D,MATCH($F529,'Task Master'!$C:$C,0)),"")</f>
        <v/>
      </c>
    </row>
    <row r="530" spans="1:32" x14ac:dyDescent="0.25">
      <c r="A530" t="str">
        <f t="shared" si="64"/>
        <v/>
      </c>
      <c r="B530" s="16"/>
      <c r="D530" t="str">
        <f>IF($C530="","",IFERROR(INDEX('Asset Register'!$B:$B,MATCH($C530,'Asset Register'!$A:$A,0)),""))</f>
        <v/>
      </c>
      <c r="H530" t="str">
        <f>IFERROR(INDEX('Task Master'!$E:$E,MATCH($F530&amp;"||"&amp;$G530,'Task Master'!$K:$K,0)),"")</f>
        <v/>
      </c>
      <c r="I530" t="str">
        <f>IFERROR(INDEX('Task Master'!$F:$F,MATCH($F530&amp;"||"&amp;$G530,'Task Master'!$K:$K,0)),"")</f>
        <v/>
      </c>
      <c r="J530" t="str">
        <f>IFERROR(INDEX('Task Master'!$H:$H,MATCH($F530&amp;"||"&amp;$G530,'Task Master'!$K:$K,0)),"")</f>
        <v/>
      </c>
      <c r="N530" s="18" t="str">
        <f t="shared" si="65"/>
        <v/>
      </c>
      <c r="R530" s="18">
        <f t="shared" si="66"/>
        <v>0</v>
      </c>
      <c r="V530" s="18">
        <f t="shared" si="67"/>
        <v>0</v>
      </c>
      <c r="Z530" s="18">
        <f t="shared" si="68"/>
        <v>0</v>
      </c>
      <c r="AA530" s="18"/>
      <c r="AB530" s="18">
        <f t="shared" si="69"/>
        <v>0</v>
      </c>
      <c r="AC530" s="18" t="str">
        <f t="shared" si="70"/>
        <v/>
      </c>
      <c r="AD530" s="18" t="str">
        <f t="shared" si="71"/>
        <v/>
      </c>
      <c r="AF530" t="str">
        <f>IFERROR(INDEX('Task Master'!$D:$D,MATCH($F530,'Task Master'!$C:$C,0)),"")</f>
        <v/>
      </c>
    </row>
    <row r="531" spans="1:32" x14ac:dyDescent="0.25">
      <c r="A531" t="str">
        <f t="shared" si="64"/>
        <v/>
      </c>
      <c r="B531" s="16"/>
      <c r="D531" t="str">
        <f>IF($C531="","",IFERROR(INDEX('Asset Register'!$B:$B,MATCH($C531,'Asset Register'!$A:$A,0)),""))</f>
        <v/>
      </c>
      <c r="H531" t="str">
        <f>IFERROR(INDEX('Task Master'!$E:$E,MATCH($F531&amp;"||"&amp;$G531,'Task Master'!$K:$K,0)),"")</f>
        <v/>
      </c>
      <c r="I531" t="str">
        <f>IFERROR(INDEX('Task Master'!$F:$F,MATCH($F531&amp;"||"&amp;$G531,'Task Master'!$K:$K,0)),"")</f>
        <v/>
      </c>
      <c r="J531" t="str">
        <f>IFERROR(INDEX('Task Master'!$H:$H,MATCH($F531&amp;"||"&amp;$G531,'Task Master'!$K:$K,0)),"")</f>
        <v/>
      </c>
      <c r="N531" s="18" t="str">
        <f t="shared" si="65"/>
        <v/>
      </c>
      <c r="R531" s="18">
        <f t="shared" si="66"/>
        <v>0</v>
      </c>
      <c r="V531" s="18">
        <f t="shared" si="67"/>
        <v>0</v>
      </c>
      <c r="Z531" s="18">
        <f t="shared" si="68"/>
        <v>0</v>
      </c>
      <c r="AA531" s="18"/>
      <c r="AB531" s="18">
        <f t="shared" si="69"/>
        <v>0</v>
      </c>
      <c r="AC531" s="18" t="str">
        <f t="shared" si="70"/>
        <v/>
      </c>
      <c r="AD531" s="18" t="str">
        <f t="shared" si="71"/>
        <v/>
      </c>
      <c r="AF531" t="str">
        <f>IFERROR(INDEX('Task Master'!$D:$D,MATCH($F531,'Task Master'!$C:$C,0)),"")</f>
        <v/>
      </c>
    </row>
    <row r="532" spans="1:32" x14ac:dyDescent="0.25">
      <c r="A532" t="str">
        <f t="shared" si="64"/>
        <v/>
      </c>
      <c r="B532" s="16"/>
      <c r="D532" t="str">
        <f>IF($C532="","",IFERROR(INDEX('Asset Register'!$B:$B,MATCH($C532,'Asset Register'!$A:$A,0)),""))</f>
        <v/>
      </c>
      <c r="H532" t="str">
        <f>IFERROR(INDEX('Task Master'!$E:$E,MATCH($F532&amp;"||"&amp;$G532,'Task Master'!$K:$K,0)),"")</f>
        <v/>
      </c>
      <c r="I532" t="str">
        <f>IFERROR(INDEX('Task Master'!$F:$F,MATCH($F532&amp;"||"&amp;$G532,'Task Master'!$K:$K,0)),"")</f>
        <v/>
      </c>
      <c r="J532" t="str">
        <f>IFERROR(INDEX('Task Master'!$H:$H,MATCH($F532&amp;"||"&amp;$G532,'Task Master'!$K:$K,0)),"")</f>
        <v/>
      </c>
      <c r="N532" s="18" t="str">
        <f t="shared" si="65"/>
        <v/>
      </c>
      <c r="R532" s="18">
        <f t="shared" si="66"/>
        <v>0</v>
      </c>
      <c r="V532" s="18">
        <f t="shared" si="67"/>
        <v>0</v>
      </c>
      <c r="Z532" s="18">
        <f t="shared" si="68"/>
        <v>0</v>
      </c>
      <c r="AA532" s="18"/>
      <c r="AB532" s="18">
        <f t="shared" si="69"/>
        <v>0</v>
      </c>
      <c r="AC532" s="18" t="str">
        <f t="shared" si="70"/>
        <v/>
      </c>
      <c r="AD532" s="18" t="str">
        <f t="shared" si="71"/>
        <v/>
      </c>
      <c r="AF532" t="str">
        <f>IFERROR(INDEX('Task Master'!$D:$D,MATCH($F532,'Task Master'!$C:$C,0)),"")</f>
        <v/>
      </c>
    </row>
    <row r="533" spans="1:32" x14ac:dyDescent="0.25">
      <c r="A533" t="str">
        <f t="shared" si="64"/>
        <v/>
      </c>
      <c r="B533" s="16"/>
      <c r="D533" t="str">
        <f>IF($C533="","",IFERROR(INDEX('Asset Register'!$B:$B,MATCH($C533,'Asset Register'!$A:$A,0)),""))</f>
        <v/>
      </c>
      <c r="H533" t="str">
        <f>IFERROR(INDEX('Task Master'!$E:$E,MATCH($F533&amp;"||"&amp;$G533,'Task Master'!$K:$K,0)),"")</f>
        <v/>
      </c>
      <c r="I533" t="str">
        <f>IFERROR(INDEX('Task Master'!$F:$F,MATCH($F533&amp;"||"&amp;$G533,'Task Master'!$K:$K,0)),"")</f>
        <v/>
      </c>
      <c r="J533" t="str">
        <f>IFERROR(INDEX('Task Master'!$H:$H,MATCH($F533&amp;"||"&amp;$G533,'Task Master'!$K:$K,0)),"")</f>
        <v/>
      </c>
      <c r="N533" s="18" t="str">
        <f t="shared" si="65"/>
        <v/>
      </c>
      <c r="R533" s="18">
        <f t="shared" si="66"/>
        <v>0</v>
      </c>
      <c r="V533" s="18">
        <f t="shared" si="67"/>
        <v>0</v>
      </c>
      <c r="Z533" s="18">
        <f t="shared" si="68"/>
        <v>0</v>
      </c>
      <c r="AA533" s="18"/>
      <c r="AB533" s="18">
        <f t="shared" si="69"/>
        <v>0</v>
      </c>
      <c r="AC533" s="18" t="str">
        <f t="shared" si="70"/>
        <v/>
      </c>
      <c r="AD533" s="18" t="str">
        <f t="shared" si="71"/>
        <v/>
      </c>
      <c r="AF533" t="str">
        <f>IFERROR(INDEX('Task Master'!$D:$D,MATCH($F533,'Task Master'!$C:$C,0)),"")</f>
        <v/>
      </c>
    </row>
    <row r="534" spans="1:32" x14ac:dyDescent="0.25">
      <c r="A534" t="str">
        <f t="shared" si="64"/>
        <v/>
      </c>
      <c r="B534" s="16"/>
      <c r="D534" t="str">
        <f>IF($C534="","",IFERROR(INDEX('Asset Register'!$B:$B,MATCH($C534,'Asset Register'!$A:$A,0)),""))</f>
        <v/>
      </c>
      <c r="H534" t="str">
        <f>IFERROR(INDEX('Task Master'!$E:$E,MATCH($F534&amp;"||"&amp;$G534,'Task Master'!$K:$K,0)),"")</f>
        <v/>
      </c>
      <c r="I534" t="str">
        <f>IFERROR(INDEX('Task Master'!$F:$F,MATCH($F534&amp;"||"&amp;$G534,'Task Master'!$K:$K,0)),"")</f>
        <v/>
      </c>
      <c r="J534" t="str">
        <f>IFERROR(INDEX('Task Master'!$H:$H,MATCH($F534&amp;"||"&amp;$G534,'Task Master'!$K:$K,0)),"")</f>
        <v/>
      </c>
      <c r="N534" s="18" t="str">
        <f t="shared" si="65"/>
        <v/>
      </c>
      <c r="R534" s="18">
        <f t="shared" si="66"/>
        <v>0</v>
      </c>
      <c r="V534" s="18">
        <f t="shared" si="67"/>
        <v>0</v>
      </c>
      <c r="Z534" s="18">
        <f t="shared" si="68"/>
        <v>0</v>
      </c>
      <c r="AA534" s="18"/>
      <c r="AB534" s="18">
        <f t="shared" si="69"/>
        <v>0</v>
      </c>
      <c r="AC534" s="18" t="str">
        <f t="shared" si="70"/>
        <v/>
      </c>
      <c r="AD534" s="18" t="str">
        <f t="shared" si="71"/>
        <v/>
      </c>
      <c r="AF534" t="str">
        <f>IFERROR(INDEX('Task Master'!$D:$D,MATCH($F534,'Task Master'!$C:$C,0)),"")</f>
        <v/>
      </c>
    </row>
    <row r="535" spans="1:32" x14ac:dyDescent="0.25">
      <c r="A535" t="str">
        <f t="shared" si="64"/>
        <v/>
      </c>
      <c r="B535" s="16"/>
      <c r="D535" t="str">
        <f>IF($C535="","",IFERROR(INDEX('Asset Register'!$B:$B,MATCH($C535,'Asset Register'!$A:$A,0)),""))</f>
        <v/>
      </c>
      <c r="H535" t="str">
        <f>IFERROR(INDEX('Task Master'!$E:$E,MATCH($F535&amp;"||"&amp;$G535,'Task Master'!$K:$K,0)),"")</f>
        <v/>
      </c>
      <c r="I535" t="str">
        <f>IFERROR(INDEX('Task Master'!$F:$F,MATCH($F535&amp;"||"&amp;$G535,'Task Master'!$K:$K,0)),"")</f>
        <v/>
      </c>
      <c r="J535" t="str">
        <f>IFERROR(INDEX('Task Master'!$H:$H,MATCH($F535&amp;"||"&amp;$G535,'Task Master'!$K:$K,0)),"")</f>
        <v/>
      </c>
      <c r="N535" s="18" t="str">
        <f t="shared" si="65"/>
        <v/>
      </c>
      <c r="R535" s="18">
        <f t="shared" si="66"/>
        <v>0</v>
      </c>
      <c r="V535" s="18">
        <f t="shared" si="67"/>
        <v>0</v>
      </c>
      <c r="Z535" s="18">
        <f t="shared" si="68"/>
        <v>0</v>
      </c>
      <c r="AA535" s="18"/>
      <c r="AB535" s="18">
        <f t="shared" si="69"/>
        <v>0</v>
      </c>
      <c r="AC535" s="18" t="str">
        <f t="shared" si="70"/>
        <v/>
      </c>
      <c r="AD535" s="18" t="str">
        <f t="shared" si="71"/>
        <v/>
      </c>
      <c r="AF535" t="str">
        <f>IFERROR(INDEX('Task Master'!$D:$D,MATCH($F535,'Task Master'!$C:$C,0)),"")</f>
        <v/>
      </c>
    </row>
    <row r="536" spans="1:32" x14ac:dyDescent="0.25">
      <c r="A536" t="str">
        <f t="shared" si="64"/>
        <v/>
      </c>
      <c r="B536" s="16"/>
      <c r="D536" t="str">
        <f>IF($C536="","",IFERROR(INDEX('Asset Register'!$B:$B,MATCH($C536,'Asset Register'!$A:$A,0)),""))</f>
        <v/>
      </c>
      <c r="H536" t="str">
        <f>IFERROR(INDEX('Task Master'!$E:$E,MATCH($F536&amp;"||"&amp;$G536,'Task Master'!$K:$K,0)),"")</f>
        <v/>
      </c>
      <c r="I536" t="str">
        <f>IFERROR(INDEX('Task Master'!$F:$F,MATCH($F536&amp;"||"&amp;$G536,'Task Master'!$K:$K,0)),"")</f>
        <v/>
      </c>
      <c r="J536" t="str">
        <f>IFERROR(INDEX('Task Master'!$H:$H,MATCH($F536&amp;"||"&amp;$G536,'Task Master'!$K:$K,0)),"")</f>
        <v/>
      </c>
      <c r="N536" s="18" t="str">
        <f t="shared" si="65"/>
        <v/>
      </c>
      <c r="R536" s="18">
        <f t="shared" si="66"/>
        <v>0</v>
      </c>
      <c r="V536" s="18">
        <f t="shared" si="67"/>
        <v>0</v>
      </c>
      <c r="Z536" s="18">
        <f t="shared" si="68"/>
        <v>0</v>
      </c>
      <c r="AA536" s="18"/>
      <c r="AB536" s="18">
        <f t="shared" si="69"/>
        <v>0</v>
      </c>
      <c r="AC536" s="18" t="str">
        <f t="shared" si="70"/>
        <v/>
      </c>
      <c r="AD536" s="18" t="str">
        <f t="shared" si="71"/>
        <v/>
      </c>
      <c r="AF536" t="str">
        <f>IFERROR(INDEX('Task Master'!$D:$D,MATCH($F536,'Task Master'!$C:$C,0)),"")</f>
        <v/>
      </c>
    </row>
    <row r="537" spans="1:32" x14ac:dyDescent="0.25">
      <c r="A537" t="str">
        <f t="shared" si="64"/>
        <v/>
      </c>
      <c r="B537" s="16"/>
      <c r="D537" t="str">
        <f>IF($C537="","",IFERROR(INDEX('Asset Register'!$B:$B,MATCH($C537,'Asset Register'!$A:$A,0)),""))</f>
        <v/>
      </c>
      <c r="H537" t="str">
        <f>IFERROR(INDEX('Task Master'!$E:$E,MATCH($F537&amp;"||"&amp;$G537,'Task Master'!$K:$K,0)),"")</f>
        <v/>
      </c>
      <c r="I537" t="str">
        <f>IFERROR(INDEX('Task Master'!$F:$F,MATCH($F537&amp;"||"&amp;$G537,'Task Master'!$K:$K,0)),"")</f>
        <v/>
      </c>
      <c r="J537" t="str">
        <f>IFERROR(INDEX('Task Master'!$H:$H,MATCH($F537&amp;"||"&amp;$G537,'Task Master'!$K:$K,0)),"")</f>
        <v/>
      </c>
      <c r="N537" s="18" t="str">
        <f t="shared" si="65"/>
        <v/>
      </c>
      <c r="R537" s="18">
        <f t="shared" si="66"/>
        <v>0</v>
      </c>
      <c r="V537" s="18">
        <f t="shared" si="67"/>
        <v>0</v>
      </c>
      <c r="Z537" s="18">
        <f t="shared" si="68"/>
        <v>0</v>
      </c>
      <c r="AA537" s="18"/>
      <c r="AB537" s="18">
        <f t="shared" si="69"/>
        <v>0</v>
      </c>
      <c r="AC537" s="18" t="str">
        <f t="shared" si="70"/>
        <v/>
      </c>
      <c r="AD537" s="18" t="str">
        <f t="shared" si="71"/>
        <v/>
      </c>
      <c r="AF537" t="str">
        <f>IFERROR(INDEX('Task Master'!$D:$D,MATCH($F537,'Task Master'!$C:$C,0)),"")</f>
        <v/>
      </c>
    </row>
    <row r="538" spans="1:32" x14ac:dyDescent="0.25">
      <c r="A538" t="str">
        <f t="shared" si="64"/>
        <v/>
      </c>
      <c r="B538" s="16"/>
      <c r="D538" t="str">
        <f>IF($C538="","",IFERROR(INDEX('Asset Register'!$B:$B,MATCH($C538,'Asset Register'!$A:$A,0)),""))</f>
        <v/>
      </c>
      <c r="H538" t="str">
        <f>IFERROR(INDEX('Task Master'!$E:$E,MATCH($F538&amp;"||"&amp;$G538,'Task Master'!$K:$K,0)),"")</f>
        <v/>
      </c>
      <c r="I538" t="str">
        <f>IFERROR(INDEX('Task Master'!$F:$F,MATCH($F538&amp;"||"&amp;$G538,'Task Master'!$K:$K,0)),"")</f>
        <v/>
      </c>
      <c r="J538" t="str">
        <f>IFERROR(INDEX('Task Master'!$H:$H,MATCH($F538&amp;"||"&amp;$G538,'Task Master'!$K:$K,0)),"")</f>
        <v/>
      </c>
      <c r="N538" s="18" t="str">
        <f t="shared" si="65"/>
        <v/>
      </c>
      <c r="R538" s="18">
        <f t="shared" si="66"/>
        <v>0</v>
      </c>
      <c r="V538" s="18">
        <f t="shared" si="67"/>
        <v>0</v>
      </c>
      <c r="Z538" s="18">
        <f t="shared" si="68"/>
        <v>0</v>
      </c>
      <c r="AA538" s="18"/>
      <c r="AB538" s="18">
        <f t="shared" si="69"/>
        <v>0</v>
      </c>
      <c r="AC538" s="18" t="str">
        <f t="shared" si="70"/>
        <v/>
      </c>
      <c r="AD538" s="18" t="str">
        <f t="shared" si="71"/>
        <v/>
      </c>
      <c r="AF538" t="str">
        <f>IFERROR(INDEX('Task Master'!$D:$D,MATCH($F538,'Task Master'!$C:$C,0)),"")</f>
        <v/>
      </c>
    </row>
    <row r="539" spans="1:32" x14ac:dyDescent="0.25">
      <c r="A539" t="str">
        <f t="shared" si="64"/>
        <v/>
      </c>
      <c r="B539" s="16"/>
      <c r="D539" t="str">
        <f>IF($C539="","",IFERROR(INDEX('Asset Register'!$B:$B,MATCH($C539,'Asset Register'!$A:$A,0)),""))</f>
        <v/>
      </c>
      <c r="H539" t="str">
        <f>IFERROR(INDEX('Task Master'!$E:$E,MATCH($F539&amp;"||"&amp;$G539,'Task Master'!$K:$K,0)),"")</f>
        <v/>
      </c>
      <c r="I539" t="str">
        <f>IFERROR(INDEX('Task Master'!$F:$F,MATCH($F539&amp;"||"&amp;$G539,'Task Master'!$K:$K,0)),"")</f>
        <v/>
      </c>
      <c r="J539" t="str">
        <f>IFERROR(INDEX('Task Master'!$H:$H,MATCH($F539&amp;"||"&amp;$G539,'Task Master'!$K:$K,0)),"")</f>
        <v/>
      </c>
      <c r="N539" s="18" t="str">
        <f t="shared" si="65"/>
        <v/>
      </c>
      <c r="R539" s="18">
        <f t="shared" si="66"/>
        <v>0</v>
      </c>
      <c r="V539" s="18">
        <f t="shared" si="67"/>
        <v>0</v>
      </c>
      <c r="Z539" s="18">
        <f t="shared" si="68"/>
        <v>0</v>
      </c>
      <c r="AA539" s="18"/>
      <c r="AB539" s="18">
        <f t="shared" si="69"/>
        <v>0</v>
      </c>
      <c r="AC539" s="18" t="str">
        <f t="shared" si="70"/>
        <v/>
      </c>
      <c r="AD539" s="18" t="str">
        <f t="shared" si="71"/>
        <v/>
      </c>
      <c r="AF539" t="str">
        <f>IFERROR(INDEX('Task Master'!$D:$D,MATCH($F539,'Task Master'!$C:$C,0)),"")</f>
        <v/>
      </c>
    </row>
    <row r="540" spans="1:32" x14ac:dyDescent="0.25">
      <c r="A540" t="str">
        <f t="shared" si="64"/>
        <v/>
      </c>
      <c r="B540" s="16"/>
      <c r="D540" t="str">
        <f>IF($C540="","",IFERROR(INDEX('Asset Register'!$B:$B,MATCH($C540,'Asset Register'!$A:$A,0)),""))</f>
        <v/>
      </c>
      <c r="H540" t="str">
        <f>IFERROR(INDEX('Task Master'!$E:$E,MATCH($F540&amp;"||"&amp;$G540,'Task Master'!$K:$K,0)),"")</f>
        <v/>
      </c>
      <c r="I540" t="str">
        <f>IFERROR(INDEX('Task Master'!$F:$F,MATCH($F540&amp;"||"&amp;$G540,'Task Master'!$K:$K,0)),"")</f>
        <v/>
      </c>
      <c r="J540" t="str">
        <f>IFERROR(INDEX('Task Master'!$H:$H,MATCH($F540&amp;"||"&amp;$G540,'Task Master'!$K:$K,0)),"")</f>
        <v/>
      </c>
      <c r="N540" s="18" t="str">
        <f t="shared" si="65"/>
        <v/>
      </c>
      <c r="R540" s="18">
        <f t="shared" si="66"/>
        <v>0</v>
      </c>
      <c r="V540" s="18">
        <f t="shared" si="67"/>
        <v>0</v>
      </c>
      <c r="Z540" s="18">
        <f t="shared" si="68"/>
        <v>0</v>
      </c>
      <c r="AA540" s="18"/>
      <c r="AB540" s="18">
        <f t="shared" si="69"/>
        <v>0</v>
      </c>
      <c r="AC540" s="18" t="str">
        <f t="shared" si="70"/>
        <v/>
      </c>
      <c r="AD540" s="18" t="str">
        <f t="shared" si="71"/>
        <v/>
      </c>
      <c r="AF540" t="str">
        <f>IFERROR(INDEX('Task Master'!$D:$D,MATCH($F540,'Task Master'!$C:$C,0)),"")</f>
        <v/>
      </c>
    </row>
    <row r="541" spans="1:32" x14ac:dyDescent="0.25">
      <c r="A541" t="str">
        <f t="shared" si="64"/>
        <v/>
      </c>
      <c r="B541" s="16"/>
      <c r="D541" t="str">
        <f>IF($C541="","",IFERROR(INDEX('Asset Register'!$B:$B,MATCH($C541,'Asset Register'!$A:$A,0)),""))</f>
        <v/>
      </c>
      <c r="H541" t="str">
        <f>IFERROR(INDEX('Task Master'!$E:$E,MATCH($F541&amp;"||"&amp;$G541,'Task Master'!$K:$K,0)),"")</f>
        <v/>
      </c>
      <c r="I541" t="str">
        <f>IFERROR(INDEX('Task Master'!$F:$F,MATCH($F541&amp;"||"&amp;$G541,'Task Master'!$K:$K,0)),"")</f>
        <v/>
      </c>
      <c r="J541" t="str">
        <f>IFERROR(INDEX('Task Master'!$H:$H,MATCH($F541&amp;"||"&amp;$G541,'Task Master'!$K:$K,0)),"")</f>
        <v/>
      </c>
      <c r="N541" s="18" t="str">
        <f t="shared" si="65"/>
        <v/>
      </c>
      <c r="R541" s="18">
        <f t="shared" si="66"/>
        <v>0</v>
      </c>
      <c r="V541" s="18">
        <f t="shared" si="67"/>
        <v>0</v>
      </c>
      <c r="Z541" s="18">
        <f t="shared" si="68"/>
        <v>0</v>
      </c>
      <c r="AA541" s="18"/>
      <c r="AB541" s="18">
        <f t="shared" si="69"/>
        <v>0</v>
      </c>
      <c r="AC541" s="18" t="str">
        <f t="shared" si="70"/>
        <v/>
      </c>
      <c r="AD541" s="18" t="str">
        <f t="shared" si="71"/>
        <v/>
      </c>
      <c r="AF541" t="str">
        <f>IFERROR(INDEX('Task Master'!$D:$D,MATCH($F541,'Task Master'!$C:$C,0)),"")</f>
        <v/>
      </c>
    </row>
    <row r="542" spans="1:32" x14ac:dyDescent="0.25">
      <c r="A542" t="str">
        <f t="shared" si="64"/>
        <v/>
      </c>
      <c r="B542" s="16"/>
      <c r="D542" t="str">
        <f>IF($C542="","",IFERROR(INDEX('Asset Register'!$B:$B,MATCH($C542,'Asset Register'!$A:$A,0)),""))</f>
        <v/>
      </c>
      <c r="H542" t="str">
        <f>IFERROR(INDEX('Task Master'!$E:$E,MATCH($F542&amp;"||"&amp;$G542,'Task Master'!$K:$K,0)),"")</f>
        <v/>
      </c>
      <c r="I542" t="str">
        <f>IFERROR(INDEX('Task Master'!$F:$F,MATCH($F542&amp;"||"&amp;$G542,'Task Master'!$K:$K,0)),"")</f>
        <v/>
      </c>
      <c r="J542" t="str">
        <f>IFERROR(INDEX('Task Master'!$H:$H,MATCH($F542&amp;"||"&amp;$G542,'Task Master'!$K:$K,0)),"")</f>
        <v/>
      </c>
      <c r="N542" s="18" t="str">
        <f t="shared" si="65"/>
        <v/>
      </c>
      <c r="R542" s="18">
        <f t="shared" si="66"/>
        <v>0</v>
      </c>
      <c r="V542" s="18">
        <f t="shared" si="67"/>
        <v>0</v>
      </c>
      <c r="Z542" s="18">
        <f t="shared" si="68"/>
        <v>0</v>
      </c>
      <c r="AA542" s="18"/>
      <c r="AB542" s="18">
        <f t="shared" si="69"/>
        <v>0</v>
      </c>
      <c r="AC542" s="18" t="str">
        <f t="shared" si="70"/>
        <v/>
      </c>
      <c r="AD542" s="18" t="str">
        <f t="shared" si="71"/>
        <v/>
      </c>
      <c r="AF542" t="str">
        <f>IFERROR(INDEX('Task Master'!$D:$D,MATCH($F542,'Task Master'!$C:$C,0)),"")</f>
        <v/>
      </c>
    </row>
    <row r="543" spans="1:32" x14ac:dyDescent="0.25">
      <c r="A543" t="str">
        <f t="shared" si="64"/>
        <v/>
      </c>
      <c r="B543" s="16"/>
      <c r="D543" t="str">
        <f>IF($C543="","",IFERROR(INDEX('Asset Register'!$B:$B,MATCH($C543,'Asset Register'!$A:$A,0)),""))</f>
        <v/>
      </c>
      <c r="H543" t="str">
        <f>IFERROR(INDEX('Task Master'!$E:$E,MATCH($F543&amp;"||"&amp;$G543,'Task Master'!$K:$K,0)),"")</f>
        <v/>
      </c>
      <c r="I543" t="str">
        <f>IFERROR(INDEX('Task Master'!$F:$F,MATCH($F543&amp;"||"&amp;$G543,'Task Master'!$K:$K,0)),"")</f>
        <v/>
      </c>
      <c r="J543" t="str">
        <f>IFERROR(INDEX('Task Master'!$H:$H,MATCH($F543&amp;"||"&amp;$G543,'Task Master'!$K:$K,0)),"")</f>
        <v/>
      </c>
      <c r="N543" s="18" t="str">
        <f t="shared" si="65"/>
        <v/>
      </c>
      <c r="R543" s="18">
        <f t="shared" si="66"/>
        <v>0</v>
      </c>
      <c r="V543" s="18">
        <f t="shared" si="67"/>
        <v>0</v>
      </c>
      <c r="Z543" s="18">
        <f t="shared" si="68"/>
        <v>0</v>
      </c>
      <c r="AA543" s="18"/>
      <c r="AB543" s="18">
        <f t="shared" si="69"/>
        <v>0</v>
      </c>
      <c r="AC543" s="18" t="str">
        <f t="shared" si="70"/>
        <v/>
      </c>
      <c r="AD543" s="18" t="str">
        <f t="shared" si="71"/>
        <v/>
      </c>
      <c r="AF543" t="str">
        <f>IFERROR(INDEX('Task Master'!$D:$D,MATCH($F543,'Task Master'!$C:$C,0)),"")</f>
        <v/>
      </c>
    </row>
    <row r="544" spans="1:32" x14ac:dyDescent="0.25">
      <c r="A544" t="str">
        <f t="shared" si="64"/>
        <v/>
      </c>
      <c r="B544" s="16"/>
      <c r="D544" t="str">
        <f>IF($C544="","",IFERROR(INDEX('Asset Register'!$B:$B,MATCH($C544,'Asset Register'!$A:$A,0)),""))</f>
        <v/>
      </c>
      <c r="H544" t="str">
        <f>IFERROR(INDEX('Task Master'!$E:$E,MATCH($F544&amp;"||"&amp;$G544,'Task Master'!$K:$K,0)),"")</f>
        <v/>
      </c>
      <c r="I544" t="str">
        <f>IFERROR(INDEX('Task Master'!$F:$F,MATCH($F544&amp;"||"&amp;$G544,'Task Master'!$K:$K,0)),"")</f>
        <v/>
      </c>
      <c r="J544" t="str">
        <f>IFERROR(INDEX('Task Master'!$H:$H,MATCH($F544&amp;"||"&amp;$G544,'Task Master'!$K:$K,0)),"")</f>
        <v/>
      </c>
      <c r="N544" s="18" t="str">
        <f t="shared" si="65"/>
        <v/>
      </c>
      <c r="R544" s="18">
        <f t="shared" si="66"/>
        <v>0</v>
      </c>
      <c r="V544" s="18">
        <f t="shared" si="67"/>
        <v>0</v>
      </c>
      <c r="Z544" s="18">
        <f t="shared" si="68"/>
        <v>0</v>
      </c>
      <c r="AA544" s="18"/>
      <c r="AB544" s="18">
        <f t="shared" si="69"/>
        <v>0</v>
      </c>
      <c r="AC544" s="18" t="str">
        <f t="shared" si="70"/>
        <v/>
      </c>
      <c r="AD544" s="18" t="str">
        <f t="shared" si="71"/>
        <v/>
      </c>
      <c r="AF544" t="str">
        <f>IFERROR(INDEX('Task Master'!$D:$D,MATCH($F544,'Task Master'!$C:$C,0)),"")</f>
        <v/>
      </c>
    </row>
    <row r="545" spans="1:32" x14ac:dyDescent="0.25">
      <c r="A545" t="str">
        <f t="shared" si="64"/>
        <v/>
      </c>
      <c r="B545" s="16"/>
      <c r="D545" t="str">
        <f>IF($C545="","",IFERROR(INDEX('Asset Register'!$B:$B,MATCH($C545,'Asset Register'!$A:$A,0)),""))</f>
        <v/>
      </c>
      <c r="H545" t="str">
        <f>IFERROR(INDEX('Task Master'!$E:$E,MATCH($F545&amp;"||"&amp;$G545,'Task Master'!$K:$K,0)),"")</f>
        <v/>
      </c>
      <c r="I545" t="str">
        <f>IFERROR(INDEX('Task Master'!$F:$F,MATCH($F545&amp;"||"&amp;$G545,'Task Master'!$K:$K,0)),"")</f>
        <v/>
      </c>
      <c r="J545" t="str">
        <f>IFERROR(INDEX('Task Master'!$H:$H,MATCH($F545&amp;"||"&amp;$G545,'Task Master'!$K:$K,0)),"")</f>
        <v/>
      </c>
      <c r="N545" s="18" t="str">
        <f t="shared" si="65"/>
        <v/>
      </c>
      <c r="R545" s="18">
        <f t="shared" si="66"/>
        <v>0</v>
      </c>
      <c r="V545" s="18">
        <f t="shared" si="67"/>
        <v>0</v>
      </c>
      <c r="Z545" s="18">
        <f t="shared" si="68"/>
        <v>0</v>
      </c>
      <c r="AA545" s="18"/>
      <c r="AB545" s="18">
        <f t="shared" si="69"/>
        <v>0</v>
      </c>
      <c r="AC545" s="18" t="str">
        <f t="shared" si="70"/>
        <v/>
      </c>
      <c r="AD545" s="18" t="str">
        <f t="shared" si="71"/>
        <v/>
      </c>
      <c r="AF545" t="str">
        <f>IFERROR(INDEX('Task Master'!$D:$D,MATCH($F545,'Task Master'!$C:$C,0)),"")</f>
        <v/>
      </c>
    </row>
    <row r="546" spans="1:32" x14ac:dyDescent="0.25">
      <c r="A546" t="str">
        <f t="shared" si="64"/>
        <v/>
      </c>
      <c r="B546" s="16"/>
      <c r="D546" t="str">
        <f>IF($C546="","",IFERROR(INDEX('Asset Register'!$B:$B,MATCH($C546,'Asset Register'!$A:$A,0)),""))</f>
        <v/>
      </c>
      <c r="H546" t="str">
        <f>IFERROR(INDEX('Task Master'!$E:$E,MATCH($F546&amp;"||"&amp;$G546,'Task Master'!$K:$K,0)),"")</f>
        <v/>
      </c>
      <c r="I546" t="str">
        <f>IFERROR(INDEX('Task Master'!$F:$F,MATCH($F546&amp;"||"&amp;$G546,'Task Master'!$K:$K,0)),"")</f>
        <v/>
      </c>
      <c r="J546" t="str">
        <f>IFERROR(INDEX('Task Master'!$H:$H,MATCH($F546&amp;"||"&amp;$G546,'Task Master'!$K:$K,0)),"")</f>
        <v/>
      </c>
      <c r="N546" s="18" t="str">
        <f t="shared" si="65"/>
        <v/>
      </c>
      <c r="R546" s="18">
        <f t="shared" si="66"/>
        <v>0</v>
      </c>
      <c r="V546" s="18">
        <f t="shared" si="67"/>
        <v>0</v>
      </c>
      <c r="Z546" s="18">
        <f t="shared" si="68"/>
        <v>0</v>
      </c>
      <c r="AA546" s="18"/>
      <c r="AB546" s="18">
        <f t="shared" si="69"/>
        <v>0</v>
      </c>
      <c r="AC546" s="18" t="str">
        <f t="shared" si="70"/>
        <v/>
      </c>
      <c r="AD546" s="18" t="str">
        <f t="shared" si="71"/>
        <v/>
      </c>
      <c r="AF546" t="str">
        <f>IFERROR(INDEX('Task Master'!$D:$D,MATCH($F546,'Task Master'!$C:$C,0)),"")</f>
        <v/>
      </c>
    </row>
    <row r="547" spans="1:32" x14ac:dyDescent="0.25">
      <c r="A547" t="str">
        <f t="shared" si="64"/>
        <v/>
      </c>
      <c r="B547" s="16"/>
      <c r="D547" t="str">
        <f>IF($C547="","",IFERROR(INDEX('Asset Register'!$B:$B,MATCH($C547,'Asset Register'!$A:$A,0)),""))</f>
        <v/>
      </c>
      <c r="H547" t="str">
        <f>IFERROR(INDEX('Task Master'!$E:$E,MATCH($F547&amp;"||"&amp;$G547,'Task Master'!$K:$K,0)),"")</f>
        <v/>
      </c>
      <c r="I547" t="str">
        <f>IFERROR(INDEX('Task Master'!$F:$F,MATCH($F547&amp;"||"&amp;$G547,'Task Master'!$K:$K,0)),"")</f>
        <v/>
      </c>
      <c r="J547" t="str">
        <f>IFERROR(INDEX('Task Master'!$H:$H,MATCH($F547&amp;"||"&amp;$G547,'Task Master'!$K:$K,0)),"")</f>
        <v/>
      </c>
      <c r="N547" s="18" t="str">
        <f t="shared" si="65"/>
        <v/>
      </c>
      <c r="R547" s="18">
        <f t="shared" si="66"/>
        <v>0</v>
      </c>
      <c r="V547" s="18">
        <f t="shared" si="67"/>
        <v>0</v>
      </c>
      <c r="Z547" s="18">
        <f t="shared" si="68"/>
        <v>0</v>
      </c>
      <c r="AA547" s="18"/>
      <c r="AB547" s="18">
        <f t="shared" si="69"/>
        <v>0</v>
      </c>
      <c r="AC547" s="18" t="str">
        <f t="shared" si="70"/>
        <v/>
      </c>
      <c r="AD547" s="18" t="str">
        <f t="shared" si="71"/>
        <v/>
      </c>
      <c r="AF547" t="str">
        <f>IFERROR(INDEX('Task Master'!$D:$D,MATCH($F547,'Task Master'!$C:$C,0)),"")</f>
        <v/>
      </c>
    </row>
    <row r="548" spans="1:32" x14ac:dyDescent="0.25">
      <c r="A548" t="str">
        <f t="shared" si="64"/>
        <v/>
      </c>
      <c r="B548" s="16"/>
      <c r="D548" t="str">
        <f>IF($C548="","",IFERROR(INDEX('Asset Register'!$B:$B,MATCH($C548,'Asset Register'!$A:$A,0)),""))</f>
        <v/>
      </c>
      <c r="H548" t="str">
        <f>IFERROR(INDEX('Task Master'!$E:$E,MATCH($F548&amp;"||"&amp;$G548,'Task Master'!$K:$K,0)),"")</f>
        <v/>
      </c>
      <c r="I548" t="str">
        <f>IFERROR(INDEX('Task Master'!$F:$F,MATCH($F548&amp;"||"&amp;$G548,'Task Master'!$K:$K,0)),"")</f>
        <v/>
      </c>
      <c r="J548" t="str">
        <f>IFERROR(INDEX('Task Master'!$H:$H,MATCH($F548&amp;"||"&amp;$G548,'Task Master'!$K:$K,0)),"")</f>
        <v/>
      </c>
      <c r="N548" s="18" t="str">
        <f t="shared" si="65"/>
        <v/>
      </c>
      <c r="R548" s="18">
        <f t="shared" si="66"/>
        <v>0</v>
      </c>
      <c r="V548" s="18">
        <f t="shared" si="67"/>
        <v>0</v>
      </c>
      <c r="Z548" s="18">
        <f t="shared" si="68"/>
        <v>0</v>
      </c>
      <c r="AA548" s="18"/>
      <c r="AB548" s="18">
        <f t="shared" si="69"/>
        <v>0</v>
      </c>
      <c r="AC548" s="18" t="str">
        <f t="shared" si="70"/>
        <v/>
      </c>
      <c r="AD548" s="18" t="str">
        <f t="shared" si="71"/>
        <v/>
      </c>
      <c r="AF548" t="str">
        <f>IFERROR(INDEX('Task Master'!$D:$D,MATCH($F548,'Task Master'!$C:$C,0)),"")</f>
        <v/>
      </c>
    </row>
    <row r="549" spans="1:32" x14ac:dyDescent="0.25">
      <c r="A549" t="str">
        <f t="shared" si="64"/>
        <v/>
      </c>
      <c r="B549" s="16"/>
      <c r="D549" t="str">
        <f>IF($C549="","",IFERROR(INDEX('Asset Register'!$B:$B,MATCH($C549,'Asset Register'!$A:$A,0)),""))</f>
        <v/>
      </c>
      <c r="H549" t="str">
        <f>IFERROR(INDEX('Task Master'!$E:$E,MATCH($F549&amp;"||"&amp;$G549,'Task Master'!$K:$K,0)),"")</f>
        <v/>
      </c>
      <c r="I549" t="str">
        <f>IFERROR(INDEX('Task Master'!$F:$F,MATCH($F549&amp;"||"&amp;$G549,'Task Master'!$K:$K,0)),"")</f>
        <v/>
      </c>
      <c r="J549" t="str">
        <f>IFERROR(INDEX('Task Master'!$H:$H,MATCH($F549&amp;"||"&amp;$G549,'Task Master'!$K:$K,0)),"")</f>
        <v/>
      </c>
      <c r="N549" s="18" t="str">
        <f t="shared" si="65"/>
        <v/>
      </c>
      <c r="R549" s="18">
        <f t="shared" si="66"/>
        <v>0</v>
      </c>
      <c r="V549" s="18">
        <f t="shared" si="67"/>
        <v>0</v>
      </c>
      <c r="Z549" s="18">
        <f t="shared" si="68"/>
        <v>0</v>
      </c>
      <c r="AA549" s="18"/>
      <c r="AB549" s="18">
        <f t="shared" si="69"/>
        <v>0</v>
      </c>
      <c r="AC549" s="18" t="str">
        <f t="shared" si="70"/>
        <v/>
      </c>
      <c r="AD549" s="18" t="str">
        <f t="shared" si="71"/>
        <v/>
      </c>
      <c r="AF549" t="str">
        <f>IFERROR(INDEX('Task Master'!$D:$D,MATCH($F549,'Task Master'!$C:$C,0)),"")</f>
        <v/>
      </c>
    </row>
    <row r="550" spans="1:32" x14ac:dyDescent="0.25">
      <c r="A550" t="str">
        <f t="shared" si="64"/>
        <v/>
      </c>
      <c r="B550" s="16"/>
      <c r="D550" t="str">
        <f>IF($C550="","",IFERROR(INDEX('Asset Register'!$B:$B,MATCH($C550,'Asset Register'!$A:$A,0)),""))</f>
        <v/>
      </c>
      <c r="H550" t="str">
        <f>IFERROR(INDEX('Task Master'!$E:$E,MATCH($F550&amp;"||"&amp;$G550,'Task Master'!$K:$K,0)),"")</f>
        <v/>
      </c>
      <c r="I550" t="str">
        <f>IFERROR(INDEX('Task Master'!$F:$F,MATCH($F550&amp;"||"&amp;$G550,'Task Master'!$K:$K,0)),"")</f>
        <v/>
      </c>
      <c r="J550" t="str">
        <f>IFERROR(INDEX('Task Master'!$H:$H,MATCH($F550&amp;"||"&amp;$G550,'Task Master'!$K:$K,0)),"")</f>
        <v/>
      </c>
      <c r="N550" s="18" t="str">
        <f t="shared" si="65"/>
        <v/>
      </c>
      <c r="R550" s="18">
        <f t="shared" si="66"/>
        <v>0</v>
      </c>
      <c r="V550" s="18">
        <f t="shared" si="67"/>
        <v>0</v>
      </c>
      <c r="Z550" s="18">
        <f t="shared" si="68"/>
        <v>0</v>
      </c>
      <c r="AA550" s="18"/>
      <c r="AB550" s="18">
        <f t="shared" si="69"/>
        <v>0</v>
      </c>
      <c r="AC550" s="18" t="str">
        <f t="shared" si="70"/>
        <v/>
      </c>
      <c r="AD550" s="18" t="str">
        <f t="shared" si="71"/>
        <v/>
      </c>
      <c r="AF550" t="str">
        <f>IFERROR(INDEX('Task Master'!$D:$D,MATCH($F550,'Task Master'!$C:$C,0)),"")</f>
        <v/>
      </c>
    </row>
    <row r="551" spans="1:32" x14ac:dyDescent="0.25">
      <c r="A551" t="str">
        <f t="shared" si="64"/>
        <v/>
      </c>
      <c r="B551" s="16"/>
      <c r="D551" t="str">
        <f>IF($C551="","",IFERROR(INDEX('Asset Register'!$B:$B,MATCH($C551,'Asset Register'!$A:$A,0)),""))</f>
        <v/>
      </c>
      <c r="H551" t="str">
        <f>IFERROR(INDEX('Task Master'!$E:$E,MATCH($F551&amp;"||"&amp;$G551,'Task Master'!$K:$K,0)),"")</f>
        <v/>
      </c>
      <c r="I551" t="str">
        <f>IFERROR(INDEX('Task Master'!$F:$F,MATCH($F551&amp;"||"&amp;$G551,'Task Master'!$K:$K,0)),"")</f>
        <v/>
      </c>
      <c r="J551" t="str">
        <f>IFERROR(INDEX('Task Master'!$H:$H,MATCH($F551&amp;"||"&amp;$G551,'Task Master'!$K:$K,0)),"")</f>
        <v/>
      </c>
      <c r="N551" s="18" t="str">
        <f t="shared" si="65"/>
        <v/>
      </c>
      <c r="R551" s="18">
        <f t="shared" si="66"/>
        <v>0</v>
      </c>
      <c r="V551" s="18">
        <f t="shared" si="67"/>
        <v>0</v>
      </c>
      <c r="Z551" s="18">
        <f t="shared" si="68"/>
        <v>0</v>
      </c>
      <c r="AA551" s="18"/>
      <c r="AB551" s="18">
        <f t="shared" si="69"/>
        <v>0</v>
      </c>
      <c r="AC551" s="18" t="str">
        <f t="shared" si="70"/>
        <v/>
      </c>
      <c r="AD551" s="18" t="str">
        <f t="shared" si="71"/>
        <v/>
      </c>
      <c r="AF551" t="str">
        <f>IFERROR(INDEX('Task Master'!$D:$D,MATCH($F551,'Task Master'!$C:$C,0)),"")</f>
        <v/>
      </c>
    </row>
    <row r="552" spans="1:32" x14ac:dyDescent="0.25">
      <c r="A552" t="str">
        <f t="shared" si="64"/>
        <v/>
      </c>
      <c r="B552" s="16"/>
      <c r="D552" t="str">
        <f>IF($C552="","",IFERROR(INDEX('Asset Register'!$B:$B,MATCH($C552,'Asset Register'!$A:$A,0)),""))</f>
        <v/>
      </c>
      <c r="H552" t="str">
        <f>IFERROR(INDEX('Task Master'!$E:$E,MATCH($F552&amp;"||"&amp;$G552,'Task Master'!$K:$K,0)),"")</f>
        <v/>
      </c>
      <c r="I552" t="str">
        <f>IFERROR(INDEX('Task Master'!$F:$F,MATCH($F552&amp;"||"&amp;$G552,'Task Master'!$K:$K,0)),"")</f>
        <v/>
      </c>
      <c r="J552" t="str">
        <f>IFERROR(INDEX('Task Master'!$H:$H,MATCH($F552&amp;"||"&amp;$G552,'Task Master'!$K:$K,0)),"")</f>
        <v/>
      </c>
      <c r="N552" s="18" t="str">
        <f t="shared" si="65"/>
        <v/>
      </c>
      <c r="R552" s="18">
        <f t="shared" si="66"/>
        <v>0</v>
      </c>
      <c r="V552" s="18">
        <f t="shared" si="67"/>
        <v>0</v>
      </c>
      <c r="Z552" s="18">
        <f t="shared" si="68"/>
        <v>0</v>
      </c>
      <c r="AA552" s="18"/>
      <c r="AB552" s="18">
        <f t="shared" si="69"/>
        <v>0</v>
      </c>
      <c r="AC552" s="18" t="str">
        <f t="shared" si="70"/>
        <v/>
      </c>
      <c r="AD552" s="18" t="str">
        <f t="shared" si="71"/>
        <v/>
      </c>
      <c r="AF552" t="str">
        <f>IFERROR(INDEX('Task Master'!$D:$D,MATCH($F552,'Task Master'!$C:$C,0)),"")</f>
        <v/>
      </c>
    </row>
    <row r="553" spans="1:32" x14ac:dyDescent="0.25">
      <c r="A553" t="str">
        <f t="shared" si="64"/>
        <v/>
      </c>
      <c r="B553" s="16"/>
      <c r="D553" t="str">
        <f>IF($C553="","",IFERROR(INDEX('Asset Register'!$B:$B,MATCH($C553,'Asset Register'!$A:$A,0)),""))</f>
        <v/>
      </c>
      <c r="H553" t="str">
        <f>IFERROR(INDEX('Task Master'!$E:$E,MATCH($F553&amp;"||"&amp;$G553,'Task Master'!$K:$K,0)),"")</f>
        <v/>
      </c>
      <c r="I553" t="str">
        <f>IFERROR(INDEX('Task Master'!$F:$F,MATCH($F553&amp;"||"&amp;$G553,'Task Master'!$K:$K,0)),"")</f>
        <v/>
      </c>
      <c r="J553" t="str">
        <f>IFERROR(INDEX('Task Master'!$H:$H,MATCH($F553&amp;"||"&amp;$G553,'Task Master'!$K:$K,0)),"")</f>
        <v/>
      </c>
      <c r="N553" s="18" t="str">
        <f t="shared" si="65"/>
        <v/>
      </c>
      <c r="R553" s="18">
        <f t="shared" si="66"/>
        <v>0</v>
      </c>
      <c r="V553" s="18">
        <f t="shared" si="67"/>
        <v>0</v>
      </c>
      <c r="Z553" s="18">
        <f t="shared" si="68"/>
        <v>0</v>
      </c>
      <c r="AA553" s="18"/>
      <c r="AB553" s="18">
        <f t="shared" si="69"/>
        <v>0</v>
      </c>
      <c r="AC553" s="18" t="str">
        <f t="shared" si="70"/>
        <v/>
      </c>
      <c r="AD553" s="18" t="str">
        <f t="shared" si="71"/>
        <v/>
      </c>
      <c r="AF553" t="str">
        <f>IFERROR(INDEX('Task Master'!$D:$D,MATCH($F553,'Task Master'!$C:$C,0)),"")</f>
        <v/>
      </c>
    </row>
    <row r="554" spans="1:32" x14ac:dyDescent="0.25">
      <c r="A554" t="str">
        <f t="shared" si="64"/>
        <v/>
      </c>
      <c r="B554" s="16"/>
      <c r="D554" t="str">
        <f>IF($C554="","",IFERROR(INDEX('Asset Register'!$B:$B,MATCH($C554,'Asset Register'!$A:$A,0)),""))</f>
        <v/>
      </c>
      <c r="H554" t="str">
        <f>IFERROR(INDEX('Task Master'!$E:$E,MATCH($F554&amp;"||"&amp;$G554,'Task Master'!$K:$K,0)),"")</f>
        <v/>
      </c>
      <c r="I554" t="str">
        <f>IFERROR(INDEX('Task Master'!$F:$F,MATCH($F554&amp;"||"&amp;$G554,'Task Master'!$K:$K,0)),"")</f>
        <v/>
      </c>
      <c r="J554" t="str">
        <f>IFERROR(INDEX('Task Master'!$H:$H,MATCH($F554&amp;"||"&amp;$G554,'Task Master'!$K:$K,0)),"")</f>
        <v/>
      </c>
      <c r="N554" s="18" t="str">
        <f t="shared" si="65"/>
        <v/>
      </c>
      <c r="R554" s="18">
        <f t="shared" si="66"/>
        <v>0</v>
      </c>
      <c r="V554" s="18">
        <f t="shared" si="67"/>
        <v>0</v>
      </c>
      <c r="Z554" s="18">
        <f t="shared" si="68"/>
        <v>0</v>
      </c>
      <c r="AA554" s="18"/>
      <c r="AB554" s="18">
        <f t="shared" si="69"/>
        <v>0</v>
      </c>
      <c r="AC554" s="18" t="str">
        <f t="shared" si="70"/>
        <v/>
      </c>
      <c r="AD554" s="18" t="str">
        <f t="shared" si="71"/>
        <v/>
      </c>
      <c r="AF554" t="str">
        <f>IFERROR(INDEX('Task Master'!$D:$D,MATCH($F554,'Task Master'!$C:$C,0)),"")</f>
        <v/>
      </c>
    </row>
    <row r="555" spans="1:32" x14ac:dyDescent="0.25">
      <c r="A555" t="str">
        <f t="shared" si="64"/>
        <v/>
      </c>
      <c r="B555" s="16"/>
      <c r="D555" t="str">
        <f>IF($C555="","",IFERROR(INDEX('Asset Register'!$B:$B,MATCH($C555,'Asset Register'!$A:$A,0)),""))</f>
        <v/>
      </c>
      <c r="H555" t="str">
        <f>IFERROR(INDEX('Task Master'!$E:$E,MATCH($F555&amp;"||"&amp;$G555,'Task Master'!$K:$K,0)),"")</f>
        <v/>
      </c>
      <c r="I555" t="str">
        <f>IFERROR(INDEX('Task Master'!$F:$F,MATCH($F555&amp;"||"&amp;$G555,'Task Master'!$K:$K,0)),"")</f>
        <v/>
      </c>
      <c r="J555" t="str">
        <f>IFERROR(INDEX('Task Master'!$H:$H,MATCH($F555&amp;"||"&amp;$G555,'Task Master'!$K:$K,0)),"")</f>
        <v/>
      </c>
      <c r="N555" s="18" t="str">
        <f t="shared" si="65"/>
        <v/>
      </c>
      <c r="R555" s="18">
        <f t="shared" si="66"/>
        <v>0</v>
      </c>
      <c r="V555" s="18">
        <f t="shared" si="67"/>
        <v>0</v>
      </c>
      <c r="Z555" s="18">
        <f t="shared" si="68"/>
        <v>0</v>
      </c>
      <c r="AA555" s="18"/>
      <c r="AB555" s="18">
        <f t="shared" si="69"/>
        <v>0</v>
      </c>
      <c r="AC555" s="18" t="str">
        <f t="shared" si="70"/>
        <v/>
      </c>
      <c r="AD555" s="18" t="str">
        <f t="shared" si="71"/>
        <v/>
      </c>
      <c r="AF555" t="str">
        <f>IFERROR(INDEX('Task Master'!$D:$D,MATCH($F555,'Task Master'!$C:$C,0)),"")</f>
        <v/>
      </c>
    </row>
    <row r="556" spans="1:32" x14ac:dyDescent="0.25">
      <c r="A556" t="str">
        <f t="shared" si="64"/>
        <v/>
      </c>
      <c r="B556" s="16"/>
      <c r="D556" t="str">
        <f>IF($C556="","",IFERROR(INDEX('Asset Register'!$B:$B,MATCH($C556,'Asset Register'!$A:$A,0)),""))</f>
        <v/>
      </c>
      <c r="H556" t="str">
        <f>IFERROR(INDEX('Task Master'!$E:$E,MATCH($F556&amp;"||"&amp;$G556,'Task Master'!$K:$K,0)),"")</f>
        <v/>
      </c>
      <c r="I556" t="str">
        <f>IFERROR(INDEX('Task Master'!$F:$F,MATCH($F556&amp;"||"&amp;$G556,'Task Master'!$K:$K,0)),"")</f>
        <v/>
      </c>
      <c r="J556" t="str">
        <f>IFERROR(INDEX('Task Master'!$H:$H,MATCH($F556&amp;"||"&amp;$G556,'Task Master'!$K:$K,0)),"")</f>
        <v/>
      </c>
      <c r="N556" s="18" t="str">
        <f t="shared" si="65"/>
        <v/>
      </c>
      <c r="R556" s="18">
        <f t="shared" si="66"/>
        <v>0</v>
      </c>
      <c r="V556" s="18">
        <f t="shared" si="67"/>
        <v>0</v>
      </c>
      <c r="Z556" s="18">
        <f t="shared" si="68"/>
        <v>0</v>
      </c>
      <c r="AA556" s="18"/>
      <c r="AB556" s="18">
        <f t="shared" si="69"/>
        <v>0</v>
      </c>
      <c r="AC556" s="18" t="str">
        <f t="shared" si="70"/>
        <v/>
      </c>
      <c r="AD556" s="18" t="str">
        <f t="shared" si="71"/>
        <v/>
      </c>
      <c r="AF556" t="str">
        <f>IFERROR(INDEX('Task Master'!$D:$D,MATCH($F556,'Task Master'!$C:$C,0)),"")</f>
        <v/>
      </c>
    </row>
    <row r="557" spans="1:32" x14ac:dyDescent="0.25">
      <c r="A557" t="str">
        <f t="shared" si="64"/>
        <v/>
      </c>
      <c r="B557" s="16"/>
      <c r="D557" t="str">
        <f>IF($C557="","",IFERROR(INDEX('Asset Register'!$B:$B,MATCH($C557,'Asset Register'!$A:$A,0)),""))</f>
        <v/>
      </c>
      <c r="H557" t="str">
        <f>IFERROR(INDEX('Task Master'!$E:$E,MATCH($F557&amp;"||"&amp;$G557,'Task Master'!$K:$K,0)),"")</f>
        <v/>
      </c>
      <c r="I557" t="str">
        <f>IFERROR(INDEX('Task Master'!$F:$F,MATCH($F557&amp;"||"&amp;$G557,'Task Master'!$K:$K,0)),"")</f>
        <v/>
      </c>
      <c r="J557" t="str">
        <f>IFERROR(INDEX('Task Master'!$H:$H,MATCH($F557&amp;"||"&amp;$G557,'Task Master'!$K:$K,0)),"")</f>
        <v/>
      </c>
      <c r="N557" s="18" t="str">
        <f t="shared" si="65"/>
        <v/>
      </c>
      <c r="R557" s="18">
        <f t="shared" si="66"/>
        <v>0</v>
      </c>
      <c r="V557" s="18">
        <f t="shared" si="67"/>
        <v>0</v>
      </c>
      <c r="Z557" s="18">
        <f t="shared" si="68"/>
        <v>0</v>
      </c>
      <c r="AA557" s="18"/>
      <c r="AB557" s="18">
        <f t="shared" si="69"/>
        <v>0</v>
      </c>
      <c r="AC557" s="18" t="str">
        <f t="shared" si="70"/>
        <v/>
      </c>
      <c r="AD557" s="18" t="str">
        <f t="shared" si="71"/>
        <v/>
      </c>
      <c r="AF557" t="str">
        <f>IFERROR(INDEX('Task Master'!$D:$D,MATCH($F557,'Task Master'!$C:$C,0)),"")</f>
        <v/>
      </c>
    </row>
    <row r="558" spans="1:32" x14ac:dyDescent="0.25">
      <c r="A558" t="str">
        <f t="shared" si="64"/>
        <v/>
      </c>
      <c r="B558" s="16"/>
      <c r="D558" t="str">
        <f>IF($C558="","",IFERROR(INDEX('Asset Register'!$B:$B,MATCH($C558,'Asset Register'!$A:$A,0)),""))</f>
        <v/>
      </c>
      <c r="H558" t="str">
        <f>IFERROR(INDEX('Task Master'!$E:$E,MATCH($F558&amp;"||"&amp;$G558,'Task Master'!$K:$K,0)),"")</f>
        <v/>
      </c>
      <c r="I558" t="str">
        <f>IFERROR(INDEX('Task Master'!$F:$F,MATCH($F558&amp;"||"&amp;$G558,'Task Master'!$K:$K,0)),"")</f>
        <v/>
      </c>
      <c r="J558" t="str">
        <f>IFERROR(INDEX('Task Master'!$H:$H,MATCH($F558&amp;"||"&amp;$G558,'Task Master'!$K:$K,0)),"")</f>
        <v/>
      </c>
      <c r="N558" s="18" t="str">
        <f t="shared" si="65"/>
        <v/>
      </c>
      <c r="R558" s="18">
        <f t="shared" si="66"/>
        <v>0</v>
      </c>
      <c r="V558" s="18">
        <f t="shared" si="67"/>
        <v>0</v>
      </c>
      <c r="Z558" s="18">
        <f t="shared" si="68"/>
        <v>0</v>
      </c>
      <c r="AA558" s="18"/>
      <c r="AB558" s="18">
        <f t="shared" si="69"/>
        <v>0</v>
      </c>
      <c r="AC558" s="18" t="str">
        <f t="shared" si="70"/>
        <v/>
      </c>
      <c r="AD558" s="18" t="str">
        <f t="shared" si="71"/>
        <v/>
      </c>
      <c r="AF558" t="str">
        <f>IFERROR(INDEX('Task Master'!$D:$D,MATCH($F558,'Task Master'!$C:$C,0)),"")</f>
        <v/>
      </c>
    </row>
    <row r="559" spans="1:32" x14ac:dyDescent="0.25">
      <c r="A559" t="str">
        <f t="shared" si="64"/>
        <v/>
      </c>
      <c r="B559" s="16"/>
      <c r="D559" t="str">
        <f>IF($C559="","",IFERROR(INDEX('Asset Register'!$B:$B,MATCH($C559,'Asset Register'!$A:$A,0)),""))</f>
        <v/>
      </c>
      <c r="H559" t="str">
        <f>IFERROR(INDEX('Task Master'!$E:$E,MATCH($F559&amp;"||"&amp;$G559,'Task Master'!$K:$K,0)),"")</f>
        <v/>
      </c>
      <c r="I559" t="str">
        <f>IFERROR(INDEX('Task Master'!$F:$F,MATCH($F559&amp;"||"&amp;$G559,'Task Master'!$K:$K,0)),"")</f>
        <v/>
      </c>
      <c r="J559" t="str">
        <f>IFERROR(INDEX('Task Master'!$H:$H,MATCH($F559&amp;"||"&amp;$G559,'Task Master'!$K:$K,0)),"")</f>
        <v/>
      </c>
      <c r="N559" s="18" t="str">
        <f t="shared" si="65"/>
        <v/>
      </c>
      <c r="R559" s="18">
        <f t="shared" si="66"/>
        <v>0</v>
      </c>
      <c r="V559" s="18">
        <f t="shared" si="67"/>
        <v>0</v>
      </c>
      <c r="Z559" s="18">
        <f t="shared" si="68"/>
        <v>0</v>
      </c>
      <c r="AA559" s="18"/>
      <c r="AB559" s="18">
        <f t="shared" si="69"/>
        <v>0</v>
      </c>
      <c r="AC559" s="18" t="str">
        <f t="shared" si="70"/>
        <v/>
      </c>
      <c r="AD559" s="18" t="str">
        <f t="shared" si="71"/>
        <v/>
      </c>
      <c r="AF559" t="str">
        <f>IFERROR(INDEX('Task Master'!$D:$D,MATCH($F559,'Task Master'!$C:$C,0)),"")</f>
        <v/>
      </c>
    </row>
    <row r="560" spans="1:32" x14ac:dyDescent="0.25">
      <c r="A560" t="str">
        <f t="shared" si="64"/>
        <v/>
      </c>
      <c r="B560" s="16"/>
      <c r="D560" t="str">
        <f>IF($C560="","",IFERROR(INDEX('Asset Register'!$B:$B,MATCH($C560,'Asset Register'!$A:$A,0)),""))</f>
        <v/>
      </c>
      <c r="H560" t="str">
        <f>IFERROR(INDEX('Task Master'!$E:$E,MATCH($F560&amp;"||"&amp;$G560,'Task Master'!$K:$K,0)),"")</f>
        <v/>
      </c>
      <c r="I560" t="str">
        <f>IFERROR(INDEX('Task Master'!$F:$F,MATCH($F560&amp;"||"&amp;$G560,'Task Master'!$K:$K,0)),"")</f>
        <v/>
      </c>
      <c r="J560" t="str">
        <f>IFERROR(INDEX('Task Master'!$H:$H,MATCH($F560&amp;"||"&amp;$G560,'Task Master'!$K:$K,0)),"")</f>
        <v/>
      </c>
      <c r="N560" s="18" t="str">
        <f t="shared" si="65"/>
        <v/>
      </c>
      <c r="R560" s="18">
        <f t="shared" si="66"/>
        <v>0</v>
      </c>
      <c r="V560" s="18">
        <f t="shared" si="67"/>
        <v>0</v>
      </c>
      <c r="Z560" s="18">
        <f t="shared" si="68"/>
        <v>0</v>
      </c>
      <c r="AA560" s="18"/>
      <c r="AB560" s="18">
        <f t="shared" si="69"/>
        <v>0</v>
      </c>
      <c r="AC560" s="18" t="str">
        <f t="shared" si="70"/>
        <v/>
      </c>
      <c r="AD560" s="18" t="str">
        <f t="shared" si="71"/>
        <v/>
      </c>
      <c r="AF560" t="str">
        <f>IFERROR(INDEX('Task Master'!$D:$D,MATCH($F560,'Task Master'!$C:$C,0)),"")</f>
        <v/>
      </c>
    </row>
    <row r="561" spans="1:32" x14ac:dyDescent="0.25">
      <c r="A561" t="str">
        <f t="shared" si="64"/>
        <v/>
      </c>
      <c r="B561" s="16"/>
      <c r="D561" t="str">
        <f>IF($C561="","",IFERROR(INDEX('Asset Register'!$B:$B,MATCH($C561,'Asset Register'!$A:$A,0)),""))</f>
        <v/>
      </c>
      <c r="H561" t="str">
        <f>IFERROR(INDEX('Task Master'!$E:$E,MATCH($F561&amp;"||"&amp;$G561,'Task Master'!$K:$K,0)),"")</f>
        <v/>
      </c>
      <c r="I561" t="str">
        <f>IFERROR(INDEX('Task Master'!$F:$F,MATCH($F561&amp;"||"&amp;$G561,'Task Master'!$K:$K,0)),"")</f>
        <v/>
      </c>
      <c r="J561" t="str">
        <f>IFERROR(INDEX('Task Master'!$H:$H,MATCH($F561&amp;"||"&amp;$G561,'Task Master'!$K:$K,0)),"")</f>
        <v/>
      </c>
      <c r="N561" s="18" t="str">
        <f t="shared" si="65"/>
        <v/>
      </c>
      <c r="R561" s="18">
        <f t="shared" si="66"/>
        <v>0</v>
      </c>
      <c r="V561" s="18">
        <f t="shared" si="67"/>
        <v>0</v>
      </c>
      <c r="Z561" s="18">
        <f t="shared" si="68"/>
        <v>0</v>
      </c>
      <c r="AA561" s="18"/>
      <c r="AB561" s="18">
        <f t="shared" si="69"/>
        <v>0</v>
      </c>
      <c r="AC561" s="18" t="str">
        <f t="shared" si="70"/>
        <v/>
      </c>
      <c r="AD561" s="18" t="str">
        <f t="shared" si="71"/>
        <v/>
      </c>
      <c r="AF561" t="str">
        <f>IFERROR(INDEX('Task Master'!$D:$D,MATCH($F561,'Task Master'!$C:$C,0)),"")</f>
        <v/>
      </c>
    </row>
    <row r="562" spans="1:32" x14ac:dyDescent="0.25">
      <c r="A562" t="str">
        <f t="shared" si="64"/>
        <v/>
      </c>
      <c r="B562" s="16"/>
      <c r="D562" t="str">
        <f>IF($C562="","",IFERROR(INDEX('Asset Register'!$B:$B,MATCH($C562,'Asset Register'!$A:$A,0)),""))</f>
        <v/>
      </c>
      <c r="H562" t="str">
        <f>IFERROR(INDEX('Task Master'!$E:$E,MATCH($F562&amp;"||"&amp;$G562,'Task Master'!$K:$K,0)),"")</f>
        <v/>
      </c>
      <c r="I562" t="str">
        <f>IFERROR(INDEX('Task Master'!$F:$F,MATCH($F562&amp;"||"&amp;$G562,'Task Master'!$K:$K,0)),"")</f>
        <v/>
      </c>
      <c r="J562" t="str">
        <f>IFERROR(INDEX('Task Master'!$H:$H,MATCH($F562&amp;"||"&amp;$G562,'Task Master'!$K:$K,0)),"")</f>
        <v/>
      </c>
      <c r="N562" s="18" t="str">
        <f t="shared" si="65"/>
        <v/>
      </c>
      <c r="R562" s="18">
        <f t="shared" si="66"/>
        <v>0</v>
      </c>
      <c r="V562" s="18">
        <f t="shared" si="67"/>
        <v>0</v>
      </c>
      <c r="Z562" s="18">
        <f t="shared" si="68"/>
        <v>0</v>
      </c>
      <c r="AA562" s="18"/>
      <c r="AB562" s="18">
        <f t="shared" si="69"/>
        <v>0</v>
      </c>
      <c r="AC562" s="18" t="str">
        <f t="shared" si="70"/>
        <v/>
      </c>
      <c r="AD562" s="18" t="str">
        <f t="shared" si="71"/>
        <v/>
      </c>
      <c r="AF562" t="str">
        <f>IFERROR(INDEX('Task Master'!$D:$D,MATCH($F562,'Task Master'!$C:$C,0)),"")</f>
        <v/>
      </c>
    </row>
    <row r="563" spans="1:32" x14ac:dyDescent="0.25">
      <c r="A563" t="str">
        <f t="shared" si="64"/>
        <v/>
      </c>
      <c r="B563" s="16"/>
      <c r="D563" t="str">
        <f>IF($C563="","",IFERROR(INDEX('Asset Register'!$B:$B,MATCH($C563,'Asset Register'!$A:$A,0)),""))</f>
        <v/>
      </c>
      <c r="H563" t="str">
        <f>IFERROR(INDEX('Task Master'!$E:$E,MATCH($F563&amp;"||"&amp;$G563,'Task Master'!$K:$K,0)),"")</f>
        <v/>
      </c>
      <c r="I563" t="str">
        <f>IFERROR(INDEX('Task Master'!$F:$F,MATCH($F563&amp;"||"&amp;$G563,'Task Master'!$K:$K,0)),"")</f>
        <v/>
      </c>
      <c r="J563" t="str">
        <f>IFERROR(INDEX('Task Master'!$H:$H,MATCH($F563&amp;"||"&amp;$G563,'Task Master'!$K:$K,0)),"")</f>
        <v/>
      </c>
      <c r="N563" s="18" t="str">
        <f t="shared" si="65"/>
        <v/>
      </c>
      <c r="R563" s="18">
        <f t="shared" si="66"/>
        <v>0</v>
      </c>
      <c r="V563" s="18">
        <f t="shared" si="67"/>
        <v>0</v>
      </c>
      <c r="Z563" s="18">
        <f t="shared" si="68"/>
        <v>0</v>
      </c>
      <c r="AA563" s="18"/>
      <c r="AB563" s="18">
        <f t="shared" si="69"/>
        <v>0</v>
      </c>
      <c r="AC563" s="18" t="str">
        <f t="shared" si="70"/>
        <v/>
      </c>
      <c r="AD563" s="18" t="str">
        <f t="shared" si="71"/>
        <v/>
      </c>
      <c r="AF563" t="str">
        <f>IFERROR(INDEX('Task Master'!$D:$D,MATCH($F563,'Task Master'!$C:$C,0)),"")</f>
        <v/>
      </c>
    </row>
    <row r="564" spans="1:32" x14ac:dyDescent="0.25">
      <c r="A564" t="str">
        <f t="shared" si="64"/>
        <v/>
      </c>
      <c r="B564" s="16"/>
      <c r="D564" t="str">
        <f>IF($C564="","",IFERROR(INDEX('Asset Register'!$B:$B,MATCH($C564,'Asset Register'!$A:$A,0)),""))</f>
        <v/>
      </c>
      <c r="H564" t="str">
        <f>IFERROR(INDEX('Task Master'!$E:$E,MATCH($F564&amp;"||"&amp;$G564,'Task Master'!$K:$K,0)),"")</f>
        <v/>
      </c>
      <c r="I564" t="str">
        <f>IFERROR(INDEX('Task Master'!$F:$F,MATCH($F564&amp;"||"&amp;$G564,'Task Master'!$K:$K,0)),"")</f>
        <v/>
      </c>
      <c r="J564" t="str">
        <f>IFERROR(INDEX('Task Master'!$H:$H,MATCH($F564&amp;"||"&amp;$G564,'Task Master'!$K:$K,0)),"")</f>
        <v/>
      </c>
      <c r="N564" s="18" t="str">
        <f t="shared" si="65"/>
        <v/>
      </c>
      <c r="R564" s="18">
        <f t="shared" si="66"/>
        <v>0</v>
      </c>
      <c r="V564" s="18">
        <f t="shared" si="67"/>
        <v>0</v>
      </c>
      <c r="Z564" s="18">
        <f t="shared" si="68"/>
        <v>0</v>
      </c>
      <c r="AA564" s="18"/>
      <c r="AB564" s="18">
        <f t="shared" si="69"/>
        <v>0</v>
      </c>
      <c r="AC564" s="18" t="str">
        <f t="shared" si="70"/>
        <v/>
      </c>
      <c r="AD564" s="18" t="str">
        <f t="shared" si="71"/>
        <v/>
      </c>
      <c r="AF564" t="str">
        <f>IFERROR(INDEX('Task Master'!$D:$D,MATCH($F564,'Task Master'!$C:$C,0)),"")</f>
        <v/>
      </c>
    </row>
    <row r="565" spans="1:32" x14ac:dyDescent="0.25">
      <c r="A565" t="str">
        <f t="shared" si="64"/>
        <v/>
      </c>
      <c r="B565" s="16"/>
      <c r="D565" t="str">
        <f>IF($C565="","",IFERROR(INDEX('Asset Register'!$B:$B,MATCH($C565,'Asset Register'!$A:$A,0)),""))</f>
        <v/>
      </c>
      <c r="H565" t="str">
        <f>IFERROR(INDEX('Task Master'!$E:$E,MATCH($F565&amp;"||"&amp;$G565,'Task Master'!$K:$K,0)),"")</f>
        <v/>
      </c>
      <c r="I565" t="str">
        <f>IFERROR(INDEX('Task Master'!$F:$F,MATCH($F565&amp;"||"&amp;$G565,'Task Master'!$K:$K,0)),"")</f>
        <v/>
      </c>
      <c r="J565" t="str">
        <f>IFERROR(INDEX('Task Master'!$H:$H,MATCH($F565&amp;"||"&amp;$G565,'Task Master'!$K:$K,0)),"")</f>
        <v/>
      </c>
      <c r="N565" s="18" t="str">
        <f t="shared" si="65"/>
        <v/>
      </c>
      <c r="R565" s="18">
        <f t="shared" si="66"/>
        <v>0</v>
      </c>
      <c r="V565" s="18">
        <f t="shared" si="67"/>
        <v>0</v>
      </c>
      <c r="Z565" s="18">
        <f t="shared" si="68"/>
        <v>0</v>
      </c>
      <c r="AA565" s="18"/>
      <c r="AB565" s="18">
        <f t="shared" si="69"/>
        <v>0</v>
      </c>
      <c r="AC565" s="18" t="str">
        <f t="shared" si="70"/>
        <v/>
      </c>
      <c r="AD565" s="18" t="str">
        <f t="shared" si="71"/>
        <v/>
      </c>
      <c r="AF565" t="str">
        <f>IFERROR(INDEX('Task Master'!$D:$D,MATCH($F565,'Task Master'!$C:$C,0)),"")</f>
        <v/>
      </c>
    </row>
    <row r="566" spans="1:32" x14ac:dyDescent="0.25">
      <c r="A566" t="str">
        <f t="shared" si="64"/>
        <v/>
      </c>
      <c r="B566" s="16"/>
      <c r="D566" t="str">
        <f>IF($C566="","",IFERROR(INDEX('Asset Register'!$B:$B,MATCH($C566,'Asset Register'!$A:$A,0)),""))</f>
        <v/>
      </c>
      <c r="H566" t="str">
        <f>IFERROR(INDEX('Task Master'!$E:$E,MATCH($F566&amp;"||"&amp;$G566,'Task Master'!$K:$K,0)),"")</f>
        <v/>
      </c>
      <c r="I566" t="str">
        <f>IFERROR(INDEX('Task Master'!$F:$F,MATCH($F566&amp;"||"&amp;$G566,'Task Master'!$K:$K,0)),"")</f>
        <v/>
      </c>
      <c r="J566" t="str">
        <f>IFERROR(INDEX('Task Master'!$H:$H,MATCH($F566&amp;"||"&amp;$G566,'Task Master'!$K:$K,0)),"")</f>
        <v/>
      </c>
      <c r="N566" s="18" t="str">
        <f t="shared" si="65"/>
        <v/>
      </c>
      <c r="R566" s="18">
        <f t="shared" si="66"/>
        <v>0</v>
      </c>
      <c r="V566" s="18">
        <f t="shared" si="67"/>
        <v>0</v>
      </c>
      <c r="Z566" s="18">
        <f t="shared" si="68"/>
        <v>0</v>
      </c>
      <c r="AA566" s="18"/>
      <c r="AB566" s="18">
        <f t="shared" si="69"/>
        <v>0</v>
      </c>
      <c r="AC566" s="18" t="str">
        <f t="shared" si="70"/>
        <v/>
      </c>
      <c r="AD566" s="18" t="str">
        <f t="shared" si="71"/>
        <v/>
      </c>
      <c r="AF566" t="str">
        <f>IFERROR(INDEX('Task Master'!$D:$D,MATCH($F566,'Task Master'!$C:$C,0)),"")</f>
        <v/>
      </c>
    </row>
    <row r="567" spans="1:32" x14ac:dyDescent="0.25">
      <c r="A567" t="str">
        <f t="shared" si="64"/>
        <v/>
      </c>
      <c r="B567" s="16"/>
      <c r="D567" t="str">
        <f>IF($C567="","",IFERROR(INDEX('Asset Register'!$B:$B,MATCH($C567,'Asset Register'!$A:$A,0)),""))</f>
        <v/>
      </c>
      <c r="H567" t="str">
        <f>IFERROR(INDEX('Task Master'!$E:$E,MATCH($F567&amp;"||"&amp;$G567,'Task Master'!$K:$K,0)),"")</f>
        <v/>
      </c>
      <c r="I567" t="str">
        <f>IFERROR(INDEX('Task Master'!$F:$F,MATCH($F567&amp;"||"&amp;$G567,'Task Master'!$K:$K,0)),"")</f>
        <v/>
      </c>
      <c r="J567" t="str">
        <f>IFERROR(INDEX('Task Master'!$H:$H,MATCH($F567&amp;"||"&amp;$G567,'Task Master'!$K:$K,0)),"")</f>
        <v/>
      </c>
      <c r="N567" s="18" t="str">
        <f t="shared" si="65"/>
        <v/>
      </c>
      <c r="R567" s="18">
        <f t="shared" si="66"/>
        <v>0</v>
      </c>
      <c r="V567" s="18">
        <f t="shared" si="67"/>
        <v>0</v>
      </c>
      <c r="Z567" s="18">
        <f t="shared" si="68"/>
        <v>0</v>
      </c>
      <c r="AA567" s="18"/>
      <c r="AB567" s="18">
        <f t="shared" si="69"/>
        <v>0</v>
      </c>
      <c r="AC567" s="18" t="str">
        <f t="shared" si="70"/>
        <v/>
      </c>
      <c r="AD567" s="18" t="str">
        <f t="shared" si="71"/>
        <v/>
      </c>
      <c r="AF567" t="str">
        <f>IFERROR(INDEX('Task Master'!$D:$D,MATCH($F567,'Task Master'!$C:$C,0)),"")</f>
        <v/>
      </c>
    </row>
    <row r="568" spans="1:32" x14ac:dyDescent="0.25">
      <c r="A568" t="str">
        <f t="shared" si="64"/>
        <v/>
      </c>
      <c r="B568" s="16"/>
      <c r="D568" t="str">
        <f>IF($C568="","",IFERROR(INDEX('Asset Register'!$B:$B,MATCH($C568,'Asset Register'!$A:$A,0)),""))</f>
        <v/>
      </c>
      <c r="H568" t="str">
        <f>IFERROR(INDEX('Task Master'!$E:$E,MATCH($F568&amp;"||"&amp;$G568,'Task Master'!$K:$K,0)),"")</f>
        <v/>
      </c>
      <c r="I568" t="str">
        <f>IFERROR(INDEX('Task Master'!$F:$F,MATCH($F568&amp;"||"&amp;$G568,'Task Master'!$K:$K,0)),"")</f>
        <v/>
      </c>
      <c r="J568" t="str">
        <f>IFERROR(INDEX('Task Master'!$H:$H,MATCH($F568&amp;"||"&amp;$G568,'Task Master'!$K:$K,0)),"")</f>
        <v/>
      </c>
      <c r="N568" s="18" t="str">
        <f t="shared" si="65"/>
        <v/>
      </c>
      <c r="R568" s="18">
        <f t="shared" si="66"/>
        <v>0</v>
      </c>
      <c r="V568" s="18">
        <f t="shared" si="67"/>
        <v>0</v>
      </c>
      <c r="Z568" s="18">
        <f t="shared" si="68"/>
        <v>0</v>
      </c>
      <c r="AA568" s="18"/>
      <c r="AB568" s="18">
        <f t="shared" si="69"/>
        <v>0</v>
      </c>
      <c r="AC568" s="18" t="str">
        <f t="shared" si="70"/>
        <v/>
      </c>
      <c r="AD568" s="18" t="str">
        <f t="shared" si="71"/>
        <v/>
      </c>
      <c r="AF568" t="str">
        <f>IFERROR(INDEX('Task Master'!$D:$D,MATCH($F568,'Task Master'!$C:$C,0)),"")</f>
        <v/>
      </c>
    </row>
    <row r="569" spans="1:32" x14ac:dyDescent="0.25">
      <c r="A569" t="str">
        <f t="shared" si="64"/>
        <v/>
      </c>
      <c r="B569" s="16"/>
      <c r="D569" t="str">
        <f>IF($C569="","",IFERROR(INDEX('Asset Register'!$B:$B,MATCH($C569,'Asset Register'!$A:$A,0)),""))</f>
        <v/>
      </c>
      <c r="H569" t="str">
        <f>IFERROR(INDEX('Task Master'!$E:$E,MATCH($F569&amp;"||"&amp;$G569,'Task Master'!$K:$K,0)),"")</f>
        <v/>
      </c>
      <c r="I569" t="str">
        <f>IFERROR(INDEX('Task Master'!$F:$F,MATCH($F569&amp;"||"&amp;$G569,'Task Master'!$K:$K,0)),"")</f>
        <v/>
      </c>
      <c r="J569" t="str">
        <f>IFERROR(INDEX('Task Master'!$H:$H,MATCH($F569&amp;"||"&amp;$G569,'Task Master'!$K:$K,0)),"")</f>
        <v/>
      </c>
      <c r="N569" s="18" t="str">
        <f t="shared" si="65"/>
        <v/>
      </c>
      <c r="R569" s="18">
        <f t="shared" si="66"/>
        <v>0</v>
      </c>
      <c r="V569" s="18">
        <f t="shared" si="67"/>
        <v>0</v>
      </c>
      <c r="Z569" s="18">
        <f t="shared" si="68"/>
        <v>0</v>
      </c>
      <c r="AA569" s="18"/>
      <c r="AB569" s="18">
        <f t="shared" si="69"/>
        <v>0</v>
      </c>
      <c r="AC569" s="18" t="str">
        <f t="shared" si="70"/>
        <v/>
      </c>
      <c r="AD569" s="18" t="str">
        <f t="shared" si="71"/>
        <v/>
      </c>
      <c r="AF569" t="str">
        <f>IFERROR(INDEX('Task Master'!$D:$D,MATCH($F569,'Task Master'!$C:$C,0)),"")</f>
        <v/>
      </c>
    </row>
    <row r="570" spans="1:32" x14ac:dyDescent="0.25">
      <c r="A570" t="str">
        <f t="shared" si="64"/>
        <v/>
      </c>
      <c r="B570" s="16"/>
      <c r="D570" t="str">
        <f>IF($C570="","",IFERROR(INDEX('Asset Register'!$B:$B,MATCH($C570,'Asset Register'!$A:$A,0)),""))</f>
        <v/>
      </c>
      <c r="H570" t="str">
        <f>IFERROR(INDEX('Task Master'!$E:$E,MATCH($F570&amp;"||"&amp;$G570,'Task Master'!$K:$K,0)),"")</f>
        <v/>
      </c>
      <c r="I570" t="str">
        <f>IFERROR(INDEX('Task Master'!$F:$F,MATCH($F570&amp;"||"&amp;$G570,'Task Master'!$K:$K,0)),"")</f>
        <v/>
      </c>
      <c r="J570" t="str">
        <f>IFERROR(INDEX('Task Master'!$H:$H,MATCH($F570&amp;"||"&amp;$G570,'Task Master'!$K:$K,0)),"")</f>
        <v/>
      </c>
      <c r="N570" s="18" t="str">
        <f t="shared" si="65"/>
        <v/>
      </c>
      <c r="R570" s="18">
        <f t="shared" si="66"/>
        <v>0</v>
      </c>
      <c r="V570" s="18">
        <f t="shared" si="67"/>
        <v>0</v>
      </c>
      <c r="Z570" s="18">
        <f t="shared" si="68"/>
        <v>0</v>
      </c>
      <c r="AA570" s="18"/>
      <c r="AB570" s="18">
        <f t="shared" si="69"/>
        <v>0</v>
      </c>
      <c r="AC570" s="18" t="str">
        <f t="shared" si="70"/>
        <v/>
      </c>
      <c r="AD570" s="18" t="str">
        <f t="shared" si="71"/>
        <v/>
      </c>
      <c r="AF570" t="str">
        <f>IFERROR(INDEX('Task Master'!$D:$D,MATCH($F570,'Task Master'!$C:$C,0)),"")</f>
        <v/>
      </c>
    </row>
    <row r="571" spans="1:32" x14ac:dyDescent="0.25">
      <c r="A571" t="str">
        <f t="shared" si="64"/>
        <v/>
      </c>
      <c r="B571" s="16"/>
      <c r="D571" t="str">
        <f>IF($C571="","",IFERROR(INDEX('Asset Register'!$B:$B,MATCH($C571,'Asset Register'!$A:$A,0)),""))</f>
        <v/>
      </c>
      <c r="H571" t="str">
        <f>IFERROR(INDEX('Task Master'!$E:$E,MATCH($F571&amp;"||"&amp;$G571,'Task Master'!$K:$K,0)),"")</f>
        <v/>
      </c>
      <c r="I571" t="str">
        <f>IFERROR(INDEX('Task Master'!$F:$F,MATCH($F571&amp;"||"&amp;$G571,'Task Master'!$K:$K,0)),"")</f>
        <v/>
      </c>
      <c r="J571" t="str">
        <f>IFERROR(INDEX('Task Master'!$H:$H,MATCH($F571&amp;"||"&amp;$G571,'Task Master'!$K:$K,0)),"")</f>
        <v/>
      </c>
      <c r="N571" s="18" t="str">
        <f t="shared" si="65"/>
        <v/>
      </c>
      <c r="R571" s="18">
        <f t="shared" si="66"/>
        <v>0</v>
      </c>
      <c r="V571" s="18">
        <f t="shared" si="67"/>
        <v>0</v>
      </c>
      <c r="Z571" s="18">
        <f t="shared" si="68"/>
        <v>0</v>
      </c>
      <c r="AA571" s="18"/>
      <c r="AB571" s="18">
        <f t="shared" si="69"/>
        <v>0</v>
      </c>
      <c r="AC571" s="18" t="str">
        <f t="shared" si="70"/>
        <v/>
      </c>
      <c r="AD571" s="18" t="str">
        <f t="shared" si="71"/>
        <v/>
      </c>
      <c r="AF571" t="str">
        <f>IFERROR(INDEX('Task Master'!$D:$D,MATCH($F571,'Task Master'!$C:$C,0)),"")</f>
        <v/>
      </c>
    </row>
    <row r="572" spans="1:32" x14ac:dyDescent="0.25">
      <c r="A572" t="str">
        <f t="shared" si="64"/>
        <v/>
      </c>
      <c r="B572" s="16"/>
      <c r="D572" t="str">
        <f>IF($C572="","",IFERROR(INDEX('Asset Register'!$B:$B,MATCH($C572,'Asset Register'!$A:$A,0)),""))</f>
        <v/>
      </c>
      <c r="H572" t="str">
        <f>IFERROR(INDEX('Task Master'!$E:$E,MATCH($F572&amp;"||"&amp;$G572,'Task Master'!$K:$K,0)),"")</f>
        <v/>
      </c>
      <c r="I572" t="str">
        <f>IFERROR(INDEX('Task Master'!$F:$F,MATCH($F572&amp;"||"&amp;$G572,'Task Master'!$K:$K,0)),"")</f>
        <v/>
      </c>
      <c r="J572" t="str">
        <f>IFERROR(INDEX('Task Master'!$H:$H,MATCH($F572&amp;"||"&amp;$G572,'Task Master'!$K:$K,0)),"")</f>
        <v/>
      </c>
      <c r="N572" s="18" t="str">
        <f t="shared" si="65"/>
        <v/>
      </c>
      <c r="R572" s="18">
        <f t="shared" si="66"/>
        <v>0</v>
      </c>
      <c r="V572" s="18">
        <f t="shared" si="67"/>
        <v>0</v>
      </c>
      <c r="Z572" s="18">
        <f t="shared" si="68"/>
        <v>0</v>
      </c>
      <c r="AA572" s="18"/>
      <c r="AB572" s="18">
        <f t="shared" si="69"/>
        <v>0</v>
      </c>
      <c r="AC572" s="18" t="str">
        <f t="shared" si="70"/>
        <v/>
      </c>
      <c r="AD572" s="18" t="str">
        <f t="shared" si="71"/>
        <v/>
      </c>
      <c r="AF572" t="str">
        <f>IFERROR(INDEX('Task Master'!$D:$D,MATCH($F572,'Task Master'!$C:$C,0)),"")</f>
        <v/>
      </c>
    </row>
    <row r="573" spans="1:32" x14ac:dyDescent="0.25">
      <c r="A573" t="str">
        <f t="shared" si="64"/>
        <v/>
      </c>
      <c r="B573" s="16"/>
      <c r="D573" t="str">
        <f>IF($C573="","",IFERROR(INDEX('Asset Register'!$B:$B,MATCH($C573,'Asset Register'!$A:$A,0)),""))</f>
        <v/>
      </c>
      <c r="H573" t="str">
        <f>IFERROR(INDEX('Task Master'!$E:$E,MATCH($F573&amp;"||"&amp;$G573,'Task Master'!$K:$K,0)),"")</f>
        <v/>
      </c>
      <c r="I573" t="str">
        <f>IFERROR(INDEX('Task Master'!$F:$F,MATCH($F573&amp;"||"&amp;$G573,'Task Master'!$K:$K,0)),"")</f>
        <v/>
      </c>
      <c r="J573" t="str">
        <f>IFERROR(INDEX('Task Master'!$H:$H,MATCH($F573&amp;"||"&amp;$G573,'Task Master'!$K:$K,0)),"")</f>
        <v/>
      </c>
      <c r="N573" s="18" t="str">
        <f t="shared" si="65"/>
        <v/>
      </c>
      <c r="R573" s="18">
        <f t="shared" si="66"/>
        <v>0</v>
      </c>
      <c r="V573" s="18">
        <f t="shared" si="67"/>
        <v>0</v>
      </c>
      <c r="Z573" s="18">
        <f t="shared" si="68"/>
        <v>0</v>
      </c>
      <c r="AA573" s="18"/>
      <c r="AB573" s="18">
        <f t="shared" si="69"/>
        <v>0</v>
      </c>
      <c r="AC573" s="18" t="str">
        <f t="shared" si="70"/>
        <v/>
      </c>
      <c r="AD573" s="18" t="str">
        <f t="shared" si="71"/>
        <v/>
      </c>
      <c r="AF573" t="str">
        <f>IFERROR(INDEX('Task Master'!$D:$D,MATCH($F573,'Task Master'!$C:$C,0)),"")</f>
        <v/>
      </c>
    </row>
    <row r="574" spans="1:32" x14ac:dyDescent="0.25">
      <c r="A574" t="str">
        <f t="shared" si="64"/>
        <v/>
      </c>
      <c r="B574" s="16"/>
      <c r="D574" t="str">
        <f>IF($C574="","",IFERROR(INDEX('Asset Register'!$B:$B,MATCH($C574,'Asset Register'!$A:$A,0)),""))</f>
        <v/>
      </c>
      <c r="H574" t="str">
        <f>IFERROR(INDEX('Task Master'!$E:$E,MATCH($F574&amp;"||"&amp;$G574,'Task Master'!$K:$K,0)),"")</f>
        <v/>
      </c>
      <c r="I574" t="str">
        <f>IFERROR(INDEX('Task Master'!$F:$F,MATCH($F574&amp;"||"&amp;$G574,'Task Master'!$K:$K,0)),"")</f>
        <v/>
      </c>
      <c r="J574" t="str">
        <f>IFERROR(INDEX('Task Master'!$H:$H,MATCH($F574&amp;"||"&amp;$G574,'Task Master'!$K:$K,0)),"")</f>
        <v/>
      </c>
      <c r="N574" s="18" t="str">
        <f t="shared" si="65"/>
        <v/>
      </c>
      <c r="R574" s="18">
        <f t="shared" si="66"/>
        <v>0</v>
      </c>
      <c r="V574" s="18">
        <f t="shared" si="67"/>
        <v>0</v>
      </c>
      <c r="Z574" s="18">
        <f t="shared" si="68"/>
        <v>0</v>
      </c>
      <c r="AA574" s="18"/>
      <c r="AB574" s="18">
        <f t="shared" si="69"/>
        <v>0</v>
      </c>
      <c r="AC574" s="18" t="str">
        <f t="shared" si="70"/>
        <v/>
      </c>
      <c r="AD574" s="18" t="str">
        <f t="shared" si="71"/>
        <v/>
      </c>
      <c r="AF574" t="str">
        <f>IFERROR(INDEX('Task Master'!$D:$D,MATCH($F574,'Task Master'!$C:$C,0)),"")</f>
        <v/>
      </c>
    </row>
    <row r="575" spans="1:32" x14ac:dyDescent="0.25">
      <c r="A575" t="str">
        <f t="shared" si="64"/>
        <v/>
      </c>
      <c r="B575" s="16"/>
      <c r="D575" t="str">
        <f>IF($C575="","",IFERROR(INDEX('Asset Register'!$B:$B,MATCH($C575,'Asset Register'!$A:$A,0)),""))</f>
        <v/>
      </c>
      <c r="H575" t="str">
        <f>IFERROR(INDEX('Task Master'!$E:$E,MATCH($F575&amp;"||"&amp;$G575,'Task Master'!$K:$K,0)),"")</f>
        <v/>
      </c>
      <c r="I575" t="str">
        <f>IFERROR(INDEX('Task Master'!$F:$F,MATCH($F575&amp;"||"&amp;$G575,'Task Master'!$K:$K,0)),"")</f>
        <v/>
      </c>
      <c r="J575" t="str">
        <f>IFERROR(INDEX('Task Master'!$H:$H,MATCH($F575&amp;"||"&amp;$G575,'Task Master'!$K:$K,0)),"")</f>
        <v/>
      </c>
      <c r="N575" s="18" t="str">
        <f t="shared" si="65"/>
        <v/>
      </c>
      <c r="R575" s="18">
        <f t="shared" si="66"/>
        <v>0</v>
      </c>
      <c r="V575" s="18">
        <f t="shared" si="67"/>
        <v>0</v>
      </c>
      <c r="Z575" s="18">
        <f t="shared" si="68"/>
        <v>0</v>
      </c>
      <c r="AA575" s="18"/>
      <c r="AB575" s="18">
        <f t="shared" si="69"/>
        <v>0</v>
      </c>
      <c r="AC575" s="18" t="str">
        <f t="shared" si="70"/>
        <v/>
      </c>
      <c r="AD575" s="18" t="str">
        <f t="shared" si="71"/>
        <v/>
      </c>
      <c r="AF575" t="str">
        <f>IFERROR(INDEX('Task Master'!$D:$D,MATCH($F575,'Task Master'!$C:$C,0)),"")</f>
        <v/>
      </c>
    </row>
    <row r="576" spans="1:32" x14ac:dyDescent="0.25">
      <c r="A576" t="str">
        <f t="shared" si="64"/>
        <v/>
      </c>
      <c r="B576" s="16"/>
      <c r="D576" t="str">
        <f>IF($C576="","",IFERROR(INDEX('Asset Register'!$B:$B,MATCH($C576,'Asset Register'!$A:$A,0)),""))</f>
        <v/>
      </c>
      <c r="H576" t="str">
        <f>IFERROR(INDEX('Task Master'!$E:$E,MATCH($F576&amp;"||"&amp;$G576,'Task Master'!$K:$K,0)),"")</f>
        <v/>
      </c>
      <c r="I576" t="str">
        <f>IFERROR(INDEX('Task Master'!$F:$F,MATCH($F576&amp;"||"&amp;$G576,'Task Master'!$K:$K,0)),"")</f>
        <v/>
      </c>
      <c r="J576" t="str">
        <f>IFERROR(INDEX('Task Master'!$H:$H,MATCH($F576&amp;"||"&amp;$G576,'Task Master'!$K:$K,0)),"")</f>
        <v/>
      </c>
      <c r="N576" s="18" t="str">
        <f t="shared" si="65"/>
        <v/>
      </c>
      <c r="R576" s="18">
        <f t="shared" si="66"/>
        <v>0</v>
      </c>
      <c r="V576" s="18">
        <f t="shared" si="67"/>
        <v>0</v>
      </c>
      <c r="Z576" s="18">
        <f t="shared" si="68"/>
        <v>0</v>
      </c>
      <c r="AA576" s="18"/>
      <c r="AB576" s="18">
        <f t="shared" si="69"/>
        <v>0</v>
      </c>
      <c r="AC576" s="18" t="str">
        <f t="shared" si="70"/>
        <v/>
      </c>
      <c r="AD576" s="18" t="str">
        <f t="shared" si="71"/>
        <v/>
      </c>
      <c r="AF576" t="str">
        <f>IFERROR(INDEX('Task Master'!$D:$D,MATCH($F576,'Task Master'!$C:$C,0)),"")</f>
        <v/>
      </c>
    </row>
    <row r="577" spans="1:32" x14ac:dyDescent="0.25">
      <c r="A577" t="str">
        <f t="shared" si="64"/>
        <v/>
      </c>
      <c r="B577" s="16"/>
      <c r="D577" t="str">
        <f>IF($C577="","",IFERROR(INDEX('Asset Register'!$B:$B,MATCH($C577,'Asset Register'!$A:$A,0)),""))</f>
        <v/>
      </c>
      <c r="H577" t="str">
        <f>IFERROR(INDEX('Task Master'!$E:$E,MATCH($F577&amp;"||"&amp;$G577,'Task Master'!$K:$K,0)),"")</f>
        <v/>
      </c>
      <c r="I577" t="str">
        <f>IFERROR(INDEX('Task Master'!$F:$F,MATCH($F577&amp;"||"&amp;$G577,'Task Master'!$K:$K,0)),"")</f>
        <v/>
      </c>
      <c r="J577" t="str">
        <f>IFERROR(INDEX('Task Master'!$H:$H,MATCH($F577&amp;"||"&amp;$G577,'Task Master'!$K:$K,0)),"")</f>
        <v/>
      </c>
      <c r="N577" s="18" t="str">
        <f t="shared" si="65"/>
        <v/>
      </c>
      <c r="R577" s="18">
        <f t="shared" si="66"/>
        <v>0</v>
      </c>
      <c r="V577" s="18">
        <f t="shared" si="67"/>
        <v>0</v>
      </c>
      <c r="Z577" s="18">
        <f t="shared" si="68"/>
        <v>0</v>
      </c>
      <c r="AA577" s="18"/>
      <c r="AB577" s="18">
        <f t="shared" si="69"/>
        <v>0</v>
      </c>
      <c r="AC577" s="18" t="str">
        <f t="shared" si="70"/>
        <v/>
      </c>
      <c r="AD577" s="18" t="str">
        <f t="shared" si="71"/>
        <v/>
      </c>
      <c r="AF577" t="str">
        <f>IFERROR(INDEX('Task Master'!$D:$D,MATCH($F577,'Task Master'!$C:$C,0)),"")</f>
        <v/>
      </c>
    </row>
    <row r="578" spans="1:32" x14ac:dyDescent="0.25">
      <c r="A578" t="str">
        <f t="shared" ref="A578:A641" si="72">IF(B578="","",ROW()-1)</f>
        <v/>
      </c>
      <c r="B578" s="16"/>
      <c r="D578" t="str">
        <f>IF($C578="","",IFERROR(INDEX('Asset Register'!$B:$B,MATCH($C578,'Asset Register'!$A:$A,0)),""))</f>
        <v/>
      </c>
      <c r="H578" t="str">
        <f>IFERROR(INDEX('Task Master'!$E:$E,MATCH($F578&amp;"||"&amp;$G578,'Task Master'!$K:$K,0)),"")</f>
        <v/>
      </c>
      <c r="I578" t="str">
        <f>IFERROR(INDEX('Task Master'!$F:$F,MATCH($F578&amp;"||"&amp;$G578,'Task Master'!$K:$K,0)),"")</f>
        <v/>
      </c>
      <c r="J578" t="str">
        <f>IFERROR(INDEX('Task Master'!$H:$H,MATCH($F578&amp;"||"&amp;$G578,'Task Master'!$K:$K,0)),"")</f>
        <v/>
      </c>
      <c r="N578" s="18" t="str">
        <f t="shared" ref="N578:N641" si="73">IF(OR($K578="",$L578="",$M578=""),"",$K578*$L578*$M578)</f>
        <v/>
      </c>
      <c r="R578" s="18">
        <f t="shared" ref="R578:R641" si="74">IF(OR($P578="",$Q578=""),0,$P578*$Q578)</f>
        <v>0</v>
      </c>
      <c r="V578" s="18">
        <f t="shared" ref="V578:V641" si="75">IF(OR($T578="",$U578=""),0,$T578*$U578)</f>
        <v>0</v>
      </c>
      <c r="Z578" s="18">
        <f t="shared" ref="Z578:Z641" si="76">IF(OR($X578="",$Y578=""),0,$X578*$Y578)</f>
        <v>0</v>
      </c>
      <c r="AA578" s="18"/>
      <c r="AB578" s="18">
        <f t="shared" ref="AB578:AB641" si="77">$R578+$V578+$Z578</f>
        <v>0</v>
      </c>
      <c r="AC578" s="18" t="str">
        <f t="shared" ref="AC578:AC641" si="78">IF($B578="","",$AB578+$AA578+$N578)</f>
        <v/>
      </c>
      <c r="AD578" s="18" t="str">
        <f t="shared" ref="AD578:AD641" si="79">IF(OR($K578="",$K578=0,$AC578=""),"",$AC578/$K578)</f>
        <v/>
      </c>
      <c r="AF578" t="str">
        <f>IFERROR(INDEX('Task Master'!$D:$D,MATCH($F578,'Task Master'!$C:$C,0)),"")</f>
        <v/>
      </c>
    </row>
    <row r="579" spans="1:32" x14ac:dyDescent="0.25">
      <c r="A579" t="str">
        <f t="shared" si="72"/>
        <v/>
      </c>
      <c r="B579" s="16"/>
      <c r="D579" t="str">
        <f>IF($C579="","",IFERROR(INDEX('Asset Register'!$B:$B,MATCH($C579,'Asset Register'!$A:$A,0)),""))</f>
        <v/>
      </c>
      <c r="H579" t="str">
        <f>IFERROR(INDEX('Task Master'!$E:$E,MATCH($F579&amp;"||"&amp;$G579,'Task Master'!$K:$K,0)),"")</f>
        <v/>
      </c>
      <c r="I579" t="str">
        <f>IFERROR(INDEX('Task Master'!$F:$F,MATCH($F579&amp;"||"&amp;$G579,'Task Master'!$K:$K,0)),"")</f>
        <v/>
      </c>
      <c r="J579" t="str">
        <f>IFERROR(INDEX('Task Master'!$H:$H,MATCH($F579&amp;"||"&amp;$G579,'Task Master'!$K:$K,0)),"")</f>
        <v/>
      </c>
      <c r="N579" s="18" t="str">
        <f t="shared" si="73"/>
        <v/>
      </c>
      <c r="R579" s="18">
        <f t="shared" si="74"/>
        <v>0</v>
      </c>
      <c r="V579" s="18">
        <f t="shared" si="75"/>
        <v>0</v>
      </c>
      <c r="Z579" s="18">
        <f t="shared" si="76"/>
        <v>0</v>
      </c>
      <c r="AA579" s="18"/>
      <c r="AB579" s="18">
        <f t="shared" si="77"/>
        <v>0</v>
      </c>
      <c r="AC579" s="18" t="str">
        <f t="shared" si="78"/>
        <v/>
      </c>
      <c r="AD579" s="18" t="str">
        <f t="shared" si="79"/>
        <v/>
      </c>
      <c r="AF579" t="str">
        <f>IFERROR(INDEX('Task Master'!$D:$D,MATCH($F579,'Task Master'!$C:$C,0)),"")</f>
        <v/>
      </c>
    </row>
    <row r="580" spans="1:32" x14ac:dyDescent="0.25">
      <c r="A580" t="str">
        <f t="shared" si="72"/>
        <v/>
      </c>
      <c r="B580" s="16"/>
      <c r="D580" t="str">
        <f>IF($C580="","",IFERROR(INDEX('Asset Register'!$B:$B,MATCH($C580,'Asset Register'!$A:$A,0)),""))</f>
        <v/>
      </c>
      <c r="H580" t="str">
        <f>IFERROR(INDEX('Task Master'!$E:$E,MATCH($F580&amp;"||"&amp;$G580,'Task Master'!$K:$K,0)),"")</f>
        <v/>
      </c>
      <c r="I580" t="str">
        <f>IFERROR(INDEX('Task Master'!$F:$F,MATCH($F580&amp;"||"&amp;$G580,'Task Master'!$K:$K,0)),"")</f>
        <v/>
      </c>
      <c r="J580" t="str">
        <f>IFERROR(INDEX('Task Master'!$H:$H,MATCH($F580&amp;"||"&amp;$G580,'Task Master'!$K:$K,0)),"")</f>
        <v/>
      </c>
      <c r="N580" s="18" t="str">
        <f t="shared" si="73"/>
        <v/>
      </c>
      <c r="R580" s="18">
        <f t="shared" si="74"/>
        <v>0</v>
      </c>
      <c r="V580" s="18">
        <f t="shared" si="75"/>
        <v>0</v>
      </c>
      <c r="Z580" s="18">
        <f t="shared" si="76"/>
        <v>0</v>
      </c>
      <c r="AA580" s="18"/>
      <c r="AB580" s="18">
        <f t="shared" si="77"/>
        <v>0</v>
      </c>
      <c r="AC580" s="18" t="str">
        <f t="shared" si="78"/>
        <v/>
      </c>
      <c r="AD580" s="18" t="str">
        <f t="shared" si="79"/>
        <v/>
      </c>
      <c r="AF580" t="str">
        <f>IFERROR(INDEX('Task Master'!$D:$D,MATCH($F580,'Task Master'!$C:$C,0)),"")</f>
        <v/>
      </c>
    </row>
    <row r="581" spans="1:32" x14ac:dyDescent="0.25">
      <c r="A581" t="str">
        <f t="shared" si="72"/>
        <v/>
      </c>
      <c r="B581" s="16"/>
      <c r="D581" t="str">
        <f>IF($C581="","",IFERROR(INDEX('Asset Register'!$B:$B,MATCH($C581,'Asset Register'!$A:$A,0)),""))</f>
        <v/>
      </c>
      <c r="H581" t="str">
        <f>IFERROR(INDEX('Task Master'!$E:$E,MATCH($F581&amp;"||"&amp;$G581,'Task Master'!$K:$K,0)),"")</f>
        <v/>
      </c>
      <c r="I581" t="str">
        <f>IFERROR(INDEX('Task Master'!$F:$F,MATCH($F581&amp;"||"&amp;$G581,'Task Master'!$K:$K,0)),"")</f>
        <v/>
      </c>
      <c r="J581" t="str">
        <f>IFERROR(INDEX('Task Master'!$H:$H,MATCH($F581&amp;"||"&amp;$G581,'Task Master'!$K:$K,0)),"")</f>
        <v/>
      </c>
      <c r="N581" s="18" t="str">
        <f t="shared" si="73"/>
        <v/>
      </c>
      <c r="R581" s="18">
        <f t="shared" si="74"/>
        <v>0</v>
      </c>
      <c r="V581" s="18">
        <f t="shared" si="75"/>
        <v>0</v>
      </c>
      <c r="Z581" s="18">
        <f t="shared" si="76"/>
        <v>0</v>
      </c>
      <c r="AA581" s="18"/>
      <c r="AB581" s="18">
        <f t="shared" si="77"/>
        <v>0</v>
      </c>
      <c r="AC581" s="18" t="str">
        <f t="shared" si="78"/>
        <v/>
      </c>
      <c r="AD581" s="18" t="str">
        <f t="shared" si="79"/>
        <v/>
      </c>
      <c r="AF581" t="str">
        <f>IFERROR(INDEX('Task Master'!$D:$D,MATCH($F581,'Task Master'!$C:$C,0)),"")</f>
        <v/>
      </c>
    </row>
    <row r="582" spans="1:32" x14ac:dyDescent="0.25">
      <c r="A582" t="str">
        <f t="shared" si="72"/>
        <v/>
      </c>
      <c r="B582" s="16"/>
      <c r="D582" t="str">
        <f>IF($C582="","",IFERROR(INDEX('Asset Register'!$B:$B,MATCH($C582,'Asset Register'!$A:$A,0)),""))</f>
        <v/>
      </c>
      <c r="H582" t="str">
        <f>IFERROR(INDEX('Task Master'!$E:$E,MATCH($F582&amp;"||"&amp;$G582,'Task Master'!$K:$K,0)),"")</f>
        <v/>
      </c>
      <c r="I582" t="str">
        <f>IFERROR(INDEX('Task Master'!$F:$F,MATCH($F582&amp;"||"&amp;$G582,'Task Master'!$K:$K,0)),"")</f>
        <v/>
      </c>
      <c r="J582" t="str">
        <f>IFERROR(INDEX('Task Master'!$H:$H,MATCH($F582&amp;"||"&amp;$G582,'Task Master'!$K:$K,0)),"")</f>
        <v/>
      </c>
      <c r="N582" s="18" t="str">
        <f t="shared" si="73"/>
        <v/>
      </c>
      <c r="R582" s="18">
        <f t="shared" si="74"/>
        <v>0</v>
      </c>
      <c r="V582" s="18">
        <f t="shared" si="75"/>
        <v>0</v>
      </c>
      <c r="Z582" s="18">
        <f t="shared" si="76"/>
        <v>0</v>
      </c>
      <c r="AA582" s="18"/>
      <c r="AB582" s="18">
        <f t="shared" si="77"/>
        <v>0</v>
      </c>
      <c r="AC582" s="18" t="str">
        <f t="shared" si="78"/>
        <v/>
      </c>
      <c r="AD582" s="18" t="str">
        <f t="shared" si="79"/>
        <v/>
      </c>
      <c r="AF582" t="str">
        <f>IFERROR(INDEX('Task Master'!$D:$D,MATCH($F582,'Task Master'!$C:$C,0)),"")</f>
        <v/>
      </c>
    </row>
    <row r="583" spans="1:32" x14ac:dyDescent="0.25">
      <c r="A583" t="str">
        <f t="shared" si="72"/>
        <v/>
      </c>
      <c r="B583" s="16"/>
      <c r="D583" t="str">
        <f>IF($C583="","",IFERROR(INDEX('Asset Register'!$B:$B,MATCH($C583,'Asset Register'!$A:$A,0)),""))</f>
        <v/>
      </c>
      <c r="H583" t="str">
        <f>IFERROR(INDEX('Task Master'!$E:$E,MATCH($F583&amp;"||"&amp;$G583,'Task Master'!$K:$K,0)),"")</f>
        <v/>
      </c>
      <c r="I583" t="str">
        <f>IFERROR(INDEX('Task Master'!$F:$F,MATCH($F583&amp;"||"&amp;$G583,'Task Master'!$K:$K,0)),"")</f>
        <v/>
      </c>
      <c r="J583" t="str">
        <f>IFERROR(INDEX('Task Master'!$H:$H,MATCH($F583&amp;"||"&amp;$G583,'Task Master'!$K:$K,0)),"")</f>
        <v/>
      </c>
      <c r="N583" s="18" t="str">
        <f t="shared" si="73"/>
        <v/>
      </c>
      <c r="R583" s="18">
        <f t="shared" si="74"/>
        <v>0</v>
      </c>
      <c r="V583" s="18">
        <f t="shared" si="75"/>
        <v>0</v>
      </c>
      <c r="Z583" s="18">
        <f t="shared" si="76"/>
        <v>0</v>
      </c>
      <c r="AA583" s="18"/>
      <c r="AB583" s="18">
        <f t="shared" si="77"/>
        <v>0</v>
      </c>
      <c r="AC583" s="18" t="str">
        <f t="shared" si="78"/>
        <v/>
      </c>
      <c r="AD583" s="18" t="str">
        <f t="shared" si="79"/>
        <v/>
      </c>
      <c r="AF583" t="str">
        <f>IFERROR(INDEX('Task Master'!$D:$D,MATCH($F583,'Task Master'!$C:$C,0)),"")</f>
        <v/>
      </c>
    </row>
    <row r="584" spans="1:32" x14ac:dyDescent="0.25">
      <c r="A584" t="str">
        <f t="shared" si="72"/>
        <v/>
      </c>
      <c r="B584" s="16"/>
      <c r="D584" t="str">
        <f>IF($C584="","",IFERROR(INDEX('Asset Register'!$B:$B,MATCH($C584,'Asset Register'!$A:$A,0)),""))</f>
        <v/>
      </c>
      <c r="H584" t="str">
        <f>IFERROR(INDEX('Task Master'!$E:$E,MATCH($F584&amp;"||"&amp;$G584,'Task Master'!$K:$K,0)),"")</f>
        <v/>
      </c>
      <c r="I584" t="str">
        <f>IFERROR(INDEX('Task Master'!$F:$F,MATCH($F584&amp;"||"&amp;$G584,'Task Master'!$K:$K,0)),"")</f>
        <v/>
      </c>
      <c r="J584" t="str">
        <f>IFERROR(INDEX('Task Master'!$H:$H,MATCH($F584&amp;"||"&amp;$G584,'Task Master'!$K:$K,0)),"")</f>
        <v/>
      </c>
      <c r="N584" s="18" t="str">
        <f t="shared" si="73"/>
        <v/>
      </c>
      <c r="R584" s="18">
        <f t="shared" si="74"/>
        <v>0</v>
      </c>
      <c r="V584" s="18">
        <f t="shared" si="75"/>
        <v>0</v>
      </c>
      <c r="Z584" s="18">
        <f t="shared" si="76"/>
        <v>0</v>
      </c>
      <c r="AA584" s="18"/>
      <c r="AB584" s="18">
        <f t="shared" si="77"/>
        <v>0</v>
      </c>
      <c r="AC584" s="18" t="str">
        <f t="shared" si="78"/>
        <v/>
      </c>
      <c r="AD584" s="18" t="str">
        <f t="shared" si="79"/>
        <v/>
      </c>
      <c r="AF584" t="str">
        <f>IFERROR(INDEX('Task Master'!$D:$D,MATCH($F584,'Task Master'!$C:$C,0)),"")</f>
        <v/>
      </c>
    </row>
    <row r="585" spans="1:32" x14ac:dyDescent="0.25">
      <c r="A585" t="str">
        <f t="shared" si="72"/>
        <v/>
      </c>
      <c r="B585" s="16"/>
      <c r="D585" t="str">
        <f>IF($C585="","",IFERROR(INDEX('Asset Register'!$B:$B,MATCH($C585,'Asset Register'!$A:$A,0)),""))</f>
        <v/>
      </c>
      <c r="H585" t="str">
        <f>IFERROR(INDEX('Task Master'!$E:$E,MATCH($F585&amp;"||"&amp;$G585,'Task Master'!$K:$K,0)),"")</f>
        <v/>
      </c>
      <c r="I585" t="str">
        <f>IFERROR(INDEX('Task Master'!$F:$F,MATCH($F585&amp;"||"&amp;$G585,'Task Master'!$K:$K,0)),"")</f>
        <v/>
      </c>
      <c r="J585" t="str">
        <f>IFERROR(INDEX('Task Master'!$H:$H,MATCH($F585&amp;"||"&amp;$G585,'Task Master'!$K:$K,0)),"")</f>
        <v/>
      </c>
      <c r="N585" s="18" t="str">
        <f t="shared" si="73"/>
        <v/>
      </c>
      <c r="R585" s="18">
        <f t="shared" si="74"/>
        <v>0</v>
      </c>
      <c r="V585" s="18">
        <f t="shared" si="75"/>
        <v>0</v>
      </c>
      <c r="Z585" s="18">
        <f t="shared" si="76"/>
        <v>0</v>
      </c>
      <c r="AA585" s="18"/>
      <c r="AB585" s="18">
        <f t="shared" si="77"/>
        <v>0</v>
      </c>
      <c r="AC585" s="18" t="str">
        <f t="shared" si="78"/>
        <v/>
      </c>
      <c r="AD585" s="18" t="str">
        <f t="shared" si="79"/>
        <v/>
      </c>
      <c r="AF585" t="str">
        <f>IFERROR(INDEX('Task Master'!$D:$D,MATCH($F585,'Task Master'!$C:$C,0)),"")</f>
        <v/>
      </c>
    </row>
    <row r="586" spans="1:32" x14ac:dyDescent="0.25">
      <c r="A586" t="str">
        <f t="shared" si="72"/>
        <v/>
      </c>
      <c r="B586" s="16"/>
      <c r="D586" t="str">
        <f>IF($C586="","",IFERROR(INDEX('Asset Register'!$B:$B,MATCH($C586,'Asset Register'!$A:$A,0)),""))</f>
        <v/>
      </c>
      <c r="H586" t="str">
        <f>IFERROR(INDEX('Task Master'!$E:$E,MATCH($F586&amp;"||"&amp;$G586,'Task Master'!$K:$K,0)),"")</f>
        <v/>
      </c>
      <c r="I586" t="str">
        <f>IFERROR(INDEX('Task Master'!$F:$F,MATCH($F586&amp;"||"&amp;$G586,'Task Master'!$K:$K,0)),"")</f>
        <v/>
      </c>
      <c r="J586" t="str">
        <f>IFERROR(INDEX('Task Master'!$H:$H,MATCH($F586&amp;"||"&amp;$G586,'Task Master'!$K:$K,0)),"")</f>
        <v/>
      </c>
      <c r="N586" s="18" t="str">
        <f t="shared" si="73"/>
        <v/>
      </c>
      <c r="R586" s="18">
        <f t="shared" si="74"/>
        <v>0</v>
      </c>
      <c r="V586" s="18">
        <f t="shared" si="75"/>
        <v>0</v>
      </c>
      <c r="Z586" s="18">
        <f t="shared" si="76"/>
        <v>0</v>
      </c>
      <c r="AA586" s="18"/>
      <c r="AB586" s="18">
        <f t="shared" si="77"/>
        <v>0</v>
      </c>
      <c r="AC586" s="18" t="str">
        <f t="shared" si="78"/>
        <v/>
      </c>
      <c r="AD586" s="18" t="str">
        <f t="shared" si="79"/>
        <v/>
      </c>
      <c r="AF586" t="str">
        <f>IFERROR(INDEX('Task Master'!$D:$D,MATCH($F586,'Task Master'!$C:$C,0)),"")</f>
        <v/>
      </c>
    </row>
    <row r="587" spans="1:32" x14ac:dyDescent="0.25">
      <c r="A587" t="str">
        <f t="shared" si="72"/>
        <v/>
      </c>
      <c r="B587" s="16"/>
      <c r="D587" t="str">
        <f>IF($C587="","",IFERROR(INDEX('Asset Register'!$B:$B,MATCH($C587,'Asset Register'!$A:$A,0)),""))</f>
        <v/>
      </c>
      <c r="H587" t="str">
        <f>IFERROR(INDEX('Task Master'!$E:$E,MATCH($F587&amp;"||"&amp;$G587,'Task Master'!$K:$K,0)),"")</f>
        <v/>
      </c>
      <c r="I587" t="str">
        <f>IFERROR(INDEX('Task Master'!$F:$F,MATCH($F587&amp;"||"&amp;$G587,'Task Master'!$K:$K,0)),"")</f>
        <v/>
      </c>
      <c r="J587" t="str">
        <f>IFERROR(INDEX('Task Master'!$H:$H,MATCH($F587&amp;"||"&amp;$G587,'Task Master'!$K:$K,0)),"")</f>
        <v/>
      </c>
      <c r="N587" s="18" t="str">
        <f t="shared" si="73"/>
        <v/>
      </c>
      <c r="R587" s="18">
        <f t="shared" si="74"/>
        <v>0</v>
      </c>
      <c r="V587" s="18">
        <f t="shared" si="75"/>
        <v>0</v>
      </c>
      <c r="Z587" s="18">
        <f t="shared" si="76"/>
        <v>0</v>
      </c>
      <c r="AA587" s="18"/>
      <c r="AB587" s="18">
        <f t="shared" si="77"/>
        <v>0</v>
      </c>
      <c r="AC587" s="18" t="str">
        <f t="shared" si="78"/>
        <v/>
      </c>
      <c r="AD587" s="18" t="str">
        <f t="shared" si="79"/>
        <v/>
      </c>
      <c r="AF587" t="str">
        <f>IFERROR(INDEX('Task Master'!$D:$D,MATCH($F587,'Task Master'!$C:$C,0)),"")</f>
        <v/>
      </c>
    </row>
    <row r="588" spans="1:32" x14ac:dyDescent="0.25">
      <c r="A588" t="str">
        <f t="shared" si="72"/>
        <v/>
      </c>
      <c r="B588" s="16"/>
      <c r="D588" t="str">
        <f>IF($C588="","",IFERROR(INDEX('Asset Register'!$B:$B,MATCH($C588,'Asset Register'!$A:$A,0)),""))</f>
        <v/>
      </c>
      <c r="H588" t="str">
        <f>IFERROR(INDEX('Task Master'!$E:$E,MATCH($F588&amp;"||"&amp;$G588,'Task Master'!$K:$K,0)),"")</f>
        <v/>
      </c>
      <c r="I588" t="str">
        <f>IFERROR(INDEX('Task Master'!$F:$F,MATCH($F588&amp;"||"&amp;$G588,'Task Master'!$K:$K,0)),"")</f>
        <v/>
      </c>
      <c r="J588" t="str">
        <f>IFERROR(INDEX('Task Master'!$H:$H,MATCH($F588&amp;"||"&amp;$G588,'Task Master'!$K:$K,0)),"")</f>
        <v/>
      </c>
      <c r="N588" s="18" t="str">
        <f t="shared" si="73"/>
        <v/>
      </c>
      <c r="R588" s="18">
        <f t="shared" si="74"/>
        <v>0</v>
      </c>
      <c r="V588" s="18">
        <f t="shared" si="75"/>
        <v>0</v>
      </c>
      <c r="Z588" s="18">
        <f t="shared" si="76"/>
        <v>0</v>
      </c>
      <c r="AA588" s="18"/>
      <c r="AB588" s="18">
        <f t="shared" si="77"/>
        <v>0</v>
      </c>
      <c r="AC588" s="18" t="str">
        <f t="shared" si="78"/>
        <v/>
      </c>
      <c r="AD588" s="18" t="str">
        <f t="shared" si="79"/>
        <v/>
      </c>
      <c r="AF588" t="str">
        <f>IFERROR(INDEX('Task Master'!$D:$D,MATCH($F588,'Task Master'!$C:$C,0)),"")</f>
        <v/>
      </c>
    </row>
    <row r="589" spans="1:32" x14ac:dyDescent="0.25">
      <c r="A589" t="str">
        <f t="shared" si="72"/>
        <v/>
      </c>
      <c r="B589" s="16"/>
      <c r="D589" t="str">
        <f>IF($C589="","",IFERROR(INDEX('Asset Register'!$B:$B,MATCH($C589,'Asset Register'!$A:$A,0)),""))</f>
        <v/>
      </c>
      <c r="H589" t="str">
        <f>IFERROR(INDEX('Task Master'!$E:$E,MATCH($F589&amp;"||"&amp;$G589,'Task Master'!$K:$K,0)),"")</f>
        <v/>
      </c>
      <c r="I589" t="str">
        <f>IFERROR(INDEX('Task Master'!$F:$F,MATCH($F589&amp;"||"&amp;$G589,'Task Master'!$K:$K,0)),"")</f>
        <v/>
      </c>
      <c r="J589" t="str">
        <f>IFERROR(INDEX('Task Master'!$H:$H,MATCH($F589&amp;"||"&amp;$G589,'Task Master'!$K:$K,0)),"")</f>
        <v/>
      </c>
      <c r="N589" s="18" t="str">
        <f t="shared" si="73"/>
        <v/>
      </c>
      <c r="R589" s="18">
        <f t="shared" si="74"/>
        <v>0</v>
      </c>
      <c r="V589" s="18">
        <f t="shared" si="75"/>
        <v>0</v>
      </c>
      <c r="Z589" s="18">
        <f t="shared" si="76"/>
        <v>0</v>
      </c>
      <c r="AA589" s="18"/>
      <c r="AB589" s="18">
        <f t="shared" si="77"/>
        <v>0</v>
      </c>
      <c r="AC589" s="18" t="str">
        <f t="shared" si="78"/>
        <v/>
      </c>
      <c r="AD589" s="18" t="str">
        <f t="shared" si="79"/>
        <v/>
      </c>
      <c r="AF589" t="str">
        <f>IFERROR(INDEX('Task Master'!$D:$D,MATCH($F589,'Task Master'!$C:$C,0)),"")</f>
        <v/>
      </c>
    </row>
    <row r="590" spans="1:32" x14ac:dyDescent="0.25">
      <c r="A590" t="str">
        <f t="shared" si="72"/>
        <v/>
      </c>
      <c r="B590" s="16"/>
      <c r="D590" t="str">
        <f>IF($C590="","",IFERROR(INDEX('Asset Register'!$B:$B,MATCH($C590,'Asset Register'!$A:$A,0)),""))</f>
        <v/>
      </c>
      <c r="H590" t="str">
        <f>IFERROR(INDEX('Task Master'!$E:$E,MATCH($F590&amp;"||"&amp;$G590,'Task Master'!$K:$K,0)),"")</f>
        <v/>
      </c>
      <c r="I590" t="str">
        <f>IFERROR(INDEX('Task Master'!$F:$F,MATCH($F590&amp;"||"&amp;$G590,'Task Master'!$K:$K,0)),"")</f>
        <v/>
      </c>
      <c r="J590" t="str">
        <f>IFERROR(INDEX('Task Master'!$H:$H,MATCH($F590&amp;"||"&amp;$G590,'Task Master'!$K:$K,0)),"")</f>
        <v/>
      </c>
      <c r="N590" s="18" t="str">
        <f t="shared" si="73"/>
        <v/>
      </c>
      <c r="R590" s="18">
        <f t="shared" si="74"/>
        <v>0</v>
      </c>
      <c r="V590" s="18">
        <f t="shared" si="75"/>
        <v>0</v>
      </c>
      <c r="Z590" s="18">
        <f t="shared" si="76"/>
        <v>0</v>
      </c>
      <c r="AA590" s="18"/>
      <c r="AB590" s="18">
        <f t="shared" si="77"/>
        <v>0</v>
      </c>
      <c r="AC590" s="18" t="str">
        <f t="shared" si="78"/>
        <v/>
      </c>
      <c r="AD590" s="18" t="str">
        <f t="shared" si="79"/>
        <v/>
      </c>
      <c r="AF590" t="str">
        <f>IFERROR(INDEX('Task Master'!$D:$D,MATCH($F590,'Task Master'!$C:$C,0)),"")</f>
        <v/>
      </c>
    </row>
    <row r="591" spans="1:32" x14ac:dyDescent="0.25">
      <c r="A591" t="str">
        <f t="shared" si="72"/>
        <v/>
      </c>
      <c r="B591" s="16"/>
      <c r="D591" t="str">
        <f>IF($C591="","",IFERROR(INDEX('Asset Register'!$B:$B,MATCH($C591,'Asset Register'!$A:$A,0)),""))</f>
        <v/>
      </c>
      <c r="H591" t="str">
        <f>IFERROR(INDEX('Task Master'!$E:$E,MATCH($F591&amp;"||"&amp;$G591,'Task Master'!$K:$K,0)),"")</f>
        <v/>
      </c>
      <c r="I591" t="str">
        <f>IFERROR(INDEX('Task Master'!$F:$F,MATCH($F591&amp;"||"&amp;$G591,'Task Master'!$K:$K,0)),"")</f>
        <v/>
      </c>
      <c r="J591" t="str">
        <f>IFERROR(INDEX('Task Master'!$H:$H,MATCH($F591&amp;"||"&amp;$G591,'Task Master'!$K:$K,0)),"")</f>
        <v/>
      </c>
      <c r="N591" s="18" t="str">
        <f t="shared" si="73"/>
        <v/>
      </c>
      <c r="R591" s="18">
        <f t="shared" si="74"/>
        <v>0</v>
      </c>
      <c r="V591" s="18">
        <f t="shared" si="75"/>
        <v>0</v>
      </c>
      <c r="Z591" s="18">
        <f t="shared" si="76"/>
        <v>0</v>
      </c>
      <c r="AA591" s="18"/>
      <c r="AB591" s="18">
        <f t="shared" si="77"/>
        <v>0</v>
      </c>
      <c r="AC591" s="18" t="str">
        <f t="shared" si="78"/>
        <v/>
      </c>
      <c r="AD591" s="18" t="str">
        <f t="shared" si="79"/>
        <v/>
      </c>
      <c r="AF591" t="str">
        <f>IFERROR(INDEX('Task Master'!$D:$D,MATCH($F591,'Task Master'!$C:$C,0)),"")</f>
        <v/>
      </c>
    </row>
    <row r="592" spans="1:32" x14ac:dyDescent="0.25">
      <c r="A592" t="str">
        <f t="shared" si="72"/>
        <v/>
      </c>
      <c r="B592" s="16"/>
      <c r="D592" t="str">
        <f>IF($C592="","",IFERROR(INDEX('Asset Register'!$B:$B,MATCH($C592,'Asset Register'!$A:$A,0)),""))</f>
        <v/>
      </c>
      <c r="H592" t="str">
        <f>IFERROR(INDEX('Task Master'!$E:$E,MATCH($F592&amp;"||"&amp;$G592,'Task Master'!$K:$K,0)),"")</f>
        <v/>
      </c>
      <c r="I592" t="str">
        <f>IFERROR(INDEX('Task Master'!$F:$F,MATCH($F592&amp;"||"&amp;$G592,'Task Master'!$K:$K,0)),"")</f>
        <v/>
      </c>
      <c r="J592" t="str">
        <f>IFERROR(INDEX('Task Master'!$H:$H,MATCH($F592&amp;"||"&amp;$G592,'Task Master'!$K:$K,0)),"")</f>
        <v/>
      </c>
      <c r="N592" s="18" t="str">
        <f t="shared" si="73"/>
        <v/>
      </c>
      <c r="R592" s="18">
        <f t="shared" si="74"/>
        <v>0</v>
      </c>
      <c r="V592" s="18">
        <f t="shared" si="75"/>
        <v>0</v>
      </c>
      <c r="Z592" s="18">
        <f t="shared" si="76"/>
        <v>0</v>
      </c>
      <c r="AA592" s="18"/>
      <c r="AB592" s="18">
        <f t="shared" si="77"/>
        <v>0</v>
      </c>
      <c r="AC592" s="18" t="str">
        <f t="shared" si="78"/>
        <v/>
      </c>
      <c r="AD592" s="18" t="str">
        <f t="shared" si="79"/>
        <v/>
      </c>
      <c r="AF592" t="str">
        <f>IFERROR(INDEX('Task Master'!$D:$D,MATCH($F592,'Task Master'!$C:$C,0)),"")</f>
        <v/>
      </c>
    </row>
    <row r="593" spans="1:32" x14ac:dyDescent="0.25">
      <c r="A593" t="str">
        <f t="shared" si="72"/>
        <v/>
      </c>
      <c r="B593" s="16"/>
      <c r="D593" t="str">
        <f>IF($C593="","",IFERROR(INDEX('Asset Register'!$B:$B,MATCH($C593,'Asset Register'!$A:$A,0)),""))</f>
        <v/>
      </c>
      <c r="H593" t="str">
        <f>IFERROR(INDEX('Task Master'!$E:$E,MATCH($F593&amp;"||"&amp;$G593,'Task Master'!$K:$K,0)),"")</f>
        <v/>
      </c>
      <c r="I593" t="str">
        <f>IFERROR(INDEX('Task Master'!$F:$F,MATCH($F593&amp;"||"&amp;$G593,'Task Master'!$K:$K,0)),"")</f>
        <v/>
      </c>
      <c r="J593" t="str">
        <f>IFERROR(INDEX('Task Master'!$H:$H,MATCH($F593&amp;"||"&amp;$G593,'Task Master'!$K:$K,0)),"")</f>
        <v/>
      </c>
      <c r="N593" s="18" t="str">
        <f t="shared" si="73"/>
        <v/>
      </c>
      <c r="R593" s="18">
        <f t="shared" si="74"/>
        <v>0</v>
      </c>
      <c r="V593" s="18">
        <f t="shared" si="75"/>
        <v>0</v>
      </c>
      <c r="Z593" s="18">
        <f t="shared" si="76"/>
        <v>0</v>
      </c>
      <c r="AA593" s="18"/>
      <c r="AB593" s="18">
        <f t="shared" si="77"/>
        <v>0</v>
      </c>
      <c r="AC593" s="18" t="str">
        <f t="shared" si="78"/>
        <v/>
      </c>
      <c r="AD593" s="18" t="str">
        <f t="shared" si="79"/>
        <v/>
      </c>
      <c r="AF593" t="str">
        <f>IFERROR(INDEX('Task Master'!$D:$D,MATCH($F593,'Task Master'!$C:$C,0)),"")</f>
        <v/>
      </c>
    </row>
    <row r="594" spans="1:32" x14ac:dyDescent="0.25">
      <c r="A594" t="str">
        <f t="shared" si="72"/>
        <v/>
      </c>
      <c r="B594" s="16"/>
      <c r="D594" t="str">
        <f>IF($C594="","",IFERROR(INDEX('Asset Register'!$B:$B,MATCH($C594,'Asset Register'!$A:$A,0)),""))</f>
        <v/>
      </c>
      <c r="H594" t="str">
        <f>IFERROR(INDEX('Task Master'!$E:$E,MATCH($F594&amp;"||"&amp;$G594,'Task Master'!$K:$K,0)),"")</f>
        <v/>
      </c>
      <c r="I594" t="str">
        <f>IFERROR(INDEX('Task Master'!$F:$F,MATCH($F594&amp;"||"&amp;$G594,'Task Master'!$K:$K,0)),"")</f>
        <v/>
      </c>
      <c r="J594" t="str">
        <f>IFERROR(INDEX('Task Master'!$H:$H,MATCH($F594&amp;"||"&amp;$G594,'Task Master'!$K:$K,0)),"")</f>
        <v/>
      </c>
      <c r="N594" s="18" t="str">
        <f t="shared" si="73"/>
        <v/>
      </c>
      <c r="R594" s="18">
        <f t="shared" si="74"/>
        <v>0</v>
      </c>
      <c r="V594" s="18">
        <f t="shared" si="75"/>
        <v>0</v>
      </c>
      <c r="Z594" s="18">
        <f t="shared" si="76"/>
        <v>0</v>
      </c>
      <c r="AA594" s="18"/>
      <c r="AB594" s="18">
        <f t="shared" si="77"/>
        <v>0</v>
      </c>
      <c r="AC594" s="18" t="str">
        <f t="shared" si="78"/>
        <v/>
      </c>
      <c r="AD594" s="18" t="str">
        <f t="shared" si="79"/>
        <v/>
      </c>
      <c r="AF594" t="str">
        <f>IFERROR(INDEX('Task Master'!$D:$D,MATCH($F594,'Task Master'!$C:$C,0)),"")</f>
        <v/>
      </c>
    </row>
    <row r="595" spans="1:32" x14ac:dyDescent="0.25">
      <c r="A595" t="str">
        <f t="shared" si="72"/>
        <v/>
      </c>
      <c r="B595" s="16"/>
      <c r="D595" t="str">
        <f>IF($C595="","",IFERROR(INDEX('Asset Register'!$B:$B,MATCH($C595,'Asset Register'!$A:$A,0)),""))</f>
        <v/>
      </c>
      <c r="H595" t="str">
        <f>IFERROR(INDEX('Task Master'!$E:$E,MATCH($F595&amp;"||"&amp;$G595,'Task Master'!$K:$K,0)),"")</f>
        <v/>
      </c>
      <c r="I595" t="str">
        <f>IFERROR(INDEX('Task Master'!$F:$F,MATCH($F595&amp;"||"&amp;$G595,'Task Master'!$K:$K,0)),"")</f>
        <v/>
      </c>
      <c r="J595" t="str">
        <f>IFERROR(INDEX('Task Master'!$H:$H,MATCH($F595&amp;"||"&amp;$G595,'Task Master'!$K:$K,0)),"")</f>
        <v/>
      </c>
      <c r="N595" s="18" t="str">
        <f t="shared" si="73"/>
        <v/>
      </c>
      <c r="R595" s="18">
        <f t="shared" si="74"/>
        <v>0</v>
      </c>
      <c r="V595" s="18">
        <f t="shared" si="75"/>
        <v>0</v>
      </c>
      <c r="Z595" s="18">
        <f t="shared" si="76"/>
        <v>0</v>
      </c>
      <c r="AA595" s="18"/>
      <c r="AB595" s="18">
        <f t="shared" si="77"/>
        <v>0</v>
      </c>
      <c r="AC595" s="18" t="str">
        <f t="shared" si="78"/>
        <v/>
      </c>
      <c r="AD595" s="18" t="str">
        <f t="shared" si="79"/>
        <v/>
      </c>
      <c r="AF595" t="str">
        <f>IFERROR(INDEX('Task Master'!$D:$D,MATCH($F595,'Task Master'!$C:$C,0)),"")</f>
        <v/>
      </c>
    </row>
    <row r="596" spans="1:32" x14ac:dyDescent="0.25">
      <c r="A596" t="str">
        <f t="shared" si="72"/>
        <v/>
      </c>
      <c r="B596" s="16"/>
      <c r="D596" t="str">
        <f>IF($C596="","",IFERROR(INDEX('Asset Register'!$B:$B,MATCH($C596,'Asset Register'!$A:$A,0)),""))</f>
        <v/>
      </c>
      <c r="H596" t="str">
        <f>IFERROR(INDEX('Task Master'!$E:$E,MATCH($F596&amp;"||"&amp;$G596,'Task Master'!$K:$K,0)),"")</f>
        <v/>
      </c>
      <c r="I596" t="str">
        <f>IFERROR(INDEX('Task Master'!$F:$F,MATCH($F596&amp;"||"&amp;$G596,'Task Master'!$K:$K,0)),"")</f>
        <v/>
      </c>
      <c r="J596" t="str">
        <f>IFERROR(INDEX('Task Master'!$H:$H,MATCH($F596&amp;"||"&amp;$G596,'Task Master'!$K:$K,0)),"")</f>
        <v/>
      </c>
      <c r="N596" s="18" t="str">
        <f t="shared" si="73"/>
        <v/>
      </c>
      <c r="R596" s="18">
        <f t="shared" si="74"/>
        <v>0</v>
      </c>
      <c r="V596" s="18">
        <f t="shared" si="75"/>
        <v>0</v>
      </c>
      <c r="Z596" s="18">
        <f t="shared" si="76"/>
        <v>0</v>
      </c>
      <c r="AA596" s="18"/>
      <c r="AB596" s="18">
        <f t="shared" si="77"/>
        <v>0</v>
      </c>
      <c r="AC596" s="18" t="str">
        <f t="shared" si="78"/>
        <v/>
      </c>
      <c r="AD596" s="18" t="str">
        <f t="shared" si="79"/>
        <v/>
      </c>
      <c r="AF596" t="str">
        <f>IFERROR(INDEX('Task Master'!$D:$D,MATCH($F596,'Task Master'!$C:$C,0)),"")</f>
        <v/>
      </c>
    </row>
    <row r="597" spans="1:32" x14ac:dyDescent="0.25">
      <c r="A597" t="str">
        <f t="shared" si="72"/>
        <v/>
      </c>
      <c r="B597" s="16"/>
      <c r="D597" t="str">
        <f>IF($C597="","",IFERROR(INDEX('Asset Register'!$B:$B,MATCH($C597,'Asset Register'!$A:$A,0)),""))</f>
        <v/>
      </c>
      <c r="H597" t="str">
        <f>IFERROR(INDEX('Task Master'!$E:$E,MATCH($F597&amp;"||"&amp;$G597,'Task Master'!$K:$K,0)),"")</f>
        <v/>
      </c>
      <c r="I597" t="str">
        <f>IFERROR(INDEX('Task Master'!$F:$F,MATCH($F597&amp;"||"&amp;$G597,'Task Master'!$K:$K,0)),"")</f>
        <v/>
      </c>
      <c r="J597" t="str">
        <f>IFERROR(INDEX('Task Master'!$H:$H,MATCH($F597&amp;"||"&amp;$G597,'Task Master'!$K:$K,0)),"")</f>
        <v/>
      </c>
      <c r="N597" s="18" t="str">
        <f t="shared" si="73"/>
        <v/>
      </c>
      <c r="R597" s="18">
        <f t="shared" si="74"/>
        <v>0</v>
      </c>
      <c r="V597" s="18">
        <f t="shared" si="75"/>
        <v>0</v>
      </c>
      <c r="Z597" s="18">
        <f t="shared" si="76"/>
        <v>0</v>
      </c>
      <c r="AA597" s="18"/>
      <c r="AB597" s="18">
        <f t="shared" si="77"/>
        <v>0</v>
      </c>
      <c r="AC597" s="18" t="str">
        <f t="shared" si="78"/>
        <v/>
      </c>
      <c r="AD597" s="18" t="str">
        <f t="shared" si="79"/>
        <v/>
      </c>
      <c r="AF597" t="str">
        <f>IFERROR(INDEX('Task Master'!$D:$D,MATCH($F597,'Task Master'!$C:$C,0)),"")</f>
        <v/>
      </c>
    </row>
    <row r="598" spans="1:32" x14ac:dyDescent="0.25">
      <c r="A598" t="str">
        <f t="shared" si="72"/>
        <v/>
      </c>
      <c r="B598" s="16"/>
      <c r="D598" t="str">
        <f>IF($C598="","",IFERROR(INDEX('Asset Register'!$B:$B,MATCH($C598,'Asset Register'!$A:$A,0)),""))</f>
        <v/>
      </c>
      <c r="H598" t="str">
        <f>IFERROR(INDEX('Task Master'!$E:$E,MATCH($F598&amp;"||"&amp;$G598,'Task Master'!$K:$K,0)),"")</f>
        <v/>
      </c>
      <c r="I598" t="str">
        <f>IFERROR(INDEX('Task Master'!$F:$F,MATCH($F598&amp;"||"&amp;$G598,'Task Master'!$K:$K,0)),"")</f>
        <v/>
      </c>
      <c r="J598" t="str">
        <f>IFERROR(INDEX('Task Master'!$H:$H,MATCH($F598&amp;"||"&amp;$G598,'Task Master'!$K:$K,0)),"")</f>
        <v/>
      </c>
      <c r="N598" s="18" t="str">
        <f t="shared" si="73"/>
        <v/>
      </c>
      <c r="R598" s="18">
        <f t="shared" si="74"/>
        <v>0</v>
      </c>
      <c r="V598" s="18">
        <f t="shared" si="75"/>
        <v>0</v>
      </c>
      <c r="Z598" s="18">
        <f t="shared" si="76"/>
        <v>0</v>
      </c>
      <c r="AA598" s="18"/>
      <c r="AB598" s="18">
        <f t="shared" si="77"/>
        <v>0</v>
      </c>
      <c r="AC598" s="18" t="str">
        <f t="shared" si="78"/>
        <v/>
      </c>
      <c r="AD598" s="18" t="str">
        <f t="shared" si="79"/>
        <v/>
      </c>
      <c r="AF598" t="str">
        <f>IFERROR(INDEX('Task Master'!$D:$D,MATCH($F598,'Task Master'!$C:$C,0)),"")</f>
        <v/>
      </c>
    </row>
    <row r="599" spans="1:32" x14ac:dyDescent="0.25">
      <c r="A599" t="str">
        <f t="shared" si="72"/>
        <v/>
      </c>
      <c r="B599" s="16"/>
      <c r="D599" t="str">
        <f>IF($C599="","",IFERROR(INDEX('Asset Register'!$B:$B,MATCH($C599,'Asset Register'!$A:$A,0)),""))</f>
        <v/>
      </c>
      <c r="H599" t="str">
        <f>IFERROR(INDEX('Task Master'!$E:$E,MATCH($F599&amp;"||"&amp;$G599,'Task Master'!$K:$K,0)),"")</f>
        <v/>
      </c>
      <c r="I599" t="str">
        <f>IFERROR(INDEX('Task Master'!$F:$F,MATCH($F599&amp;"||"&amp;$G599,'Task Master'!$K:$K,0)),"")</f>
        <v/>
      </c>
      <c r="J599" t="str">
        <f>IFERROR(INDEX('Task Master'!$H:$H,MATCH($F599&amp;"||"&amp;$G599,'Task Master'!$K:$K,0)),"")</f>
        <v/>
      </c>
      <c r="N599" s="18" t="str">
        <f t="shared" si="73"/>
        <v/>
      </c>
      <c r="R599" s="18">
        <f t="shared" si="74"/>
        <v>0</v>
      </c>
      <c r="V599" s="18">
        <f t="shared" si="75"/>
        <v>0</v>
      </c>
      <c r="Z599" s="18">
        <f t="shared" si="76"/>
        <v>0</v>
      </c>
      <c r="AA599" s="18"/>
      <c r="AB599" s="18">
        <f t="shared" si="77"/>
        <v>0</v>
      </c>
      <c r="AC599" s="18" t="str">
        <f t="shared" si="78"/>
        <v/>
      </c>
      <c r="AD599" s="18" t="str">
        <f t="shared" si="79"/>
        <v/>
      </c>
      <c r="AF599" t="str">
        <f>IFERROR(INDEX('Task Master'!$D:$D,MATCH($F599,'Task Master'!$C:$C,0)),"")</f>
        <v/>
      </c>
    </row>
    <row r="600" spans="1:32" x14ac:dyDescent="0.25">
      <c r="A600" t="str">
        <f t="shared" si="72"/>
        <v/>
      </c>
      <c r="B600" s="16"/>
      <c r="D600" t="str">
        <f>IF($C600="","",IFERROR(INDEX('Asset Register'!$B:$B,MATCH($C600,'Asset Register'!$A:$A,0)),""))</f>
        <v/>
      </c>
      <c r="H600" t="str">
        <f>IFERROR(INDEX('Task Master'!$E:$E,MATCH($F600&amp;"||"&amp;$G600,'Task Master'!$K:$K,0)),"")</f>
        <v/>
      </c>
      <c r="I600" t="str">
        <f>IFERROR(INDEX('Task Master'!$F:$F,MATCH($F600&amp;"||"&amp;$G600,'Task Master'!$K:$K,0)),"")</f>
        <v/>
      </c>
      <c r="J600" t="str">
        <f>IFERROR(INDEX('Task Master'!$H:$H,MATCH($F600&amp;"||"&amp;$G600,'Task Master'!$K:$K,0)),"")</f>
        <v/>
      </c>
      <c r="N600" s="18" t="str">
        <f t="shared" si="73"/>
        <v/>
      </c>
      <c r="R600" s="18">
        <f t="shared" si="74"/>
        <v>0</v>
      </c>
      <c r="V600" s="18">
        <f t="shared" si="75"/>
        <v>0</v>
      </c>
      <c r="Z600" s="18">
        <f t="shared" si="76"/>
        <v>0</v>
      </c>
      <c r="AA600" s="18"/>
      <c r="AB600" s="18">
        <f t="shared" si="77"/>
        <v>0</v>
      </c>
      <c r="AC600" s="18" t="str">
        <f t="shared" si="78"/>
        <v/>
      </c>
      <c r="AD600" s="18" t="str">
        <f t="shared" si="79"/>
        <v/>
      </c>
      <c r="AF600" t="str">
        <f>IFERROR(INDEX('Task Master'!$D:$D,MATCH($F600,'Task Master'!$C:$C,0)),"")</f>
        <v/>
      </c>
    </row>
    <row r="601" spans="1:32" x14ac:dyDescent="0.25">
      <c r="A601" t="str">
        <f t="shared" si="72"/>
        <v/>
      </c>
      <c r="B601" s="16"/>
      <c r="D601" t="str">
        <f>IF($C601="","",IFERROR(INDEX('Asset Register'!$B:$B,MATCH($C601,'Asset Register'!$A:$A,0)),""))</f>
        <v/>
      </c>
      <c r="H601" t="str">
        <f>IFERROR(INDEX('Task Master'!$E:$E,MATCH($F601&amp;"||"&amp;$G601,'Task Master'!$K:$K,0)),"")</f>
        <v/>
      </c>
      <c r="I601" t="str">
        <f>IFERROR(INDEX('Task Master'!$F:$F,MATCH($F601&amp;"||"&amp;$G601,'Task Master'!$K:$K,0)),"")</f>
        <v/>
      </c>
      <c r="J601" t="str">
        <f>IFERROR(INDEX('Task Master'!$H:$H,MATCH($F601&amp;"||"&amp;$G601,'Task Master'!$K:$K,0)),"")</f>
        <v/>
      </c>
      <c r="N601" s="18" t="str">
        <f t="shared" si="73"/>
        <v/>
      </c>
      <c r="R601" s="18">
        <f t="shared" si="74"/>
        <v>0</v>
      </c>
      <c r="V601" s="18">
        <f t="shared" si="75"/>
        <v>0</v>
      </c>
      <c r="Z601" s="18">
        <f t="shared" si="76"/>
        <v>0</v>
      </c>
      <c r="AA601" s="18"/>
      <c r="AB601" s="18">
        <f t="shared" si="77"/>
        <v>0</v>
      </c>
      <c r="AC601" s="18" t="str">
        <f t="shared" si="78"/>
        <v/>
      </c>
      <c r="AD601" s="18" t="str">
        <f t="shared" si="79"/>
        <v/>
      </c>
      <c r="AF601" t="str">
        <f>IFERROR(INDEX('Task Master'!$D:$D,MATCH($F601,'Task Master'!$C:$C,0)),"")</f>
        <v/>
      </c>
    </row>
    <row r="602" spans="1:32" x14ac:dyDescent="0.25">
      <c r="A602" t="str">
        <f t="shared" si="72"/>
        <v/>
      </c>
      <c r="B602" s="16"/>
      <c r="D602" t="str">
        <f>IF($C602="","",IFERROR(INDEX('Asset Register'!$B:$B,MATCH($C602,'Asset Register'!$A:$A,0)),""))</f>
        <v/>
      </c>
      <c r="H602" t="str">
        <f>IFERROR(INDEX('Task Master'!$E:$E,MATCH($F602&amp;"||"&amp;$G602,'Task Master'!$K:$K,0)),"")</f>
        <v/>
      </c>
      <c r="I602" t="str">
        <f>IFERROR(INDEX('Task Master'!$F:$F,MATCH($F602&amp;"||"&amp;$G602,'Task Master'!$K:$K,0)),"")</f>
        <v/>
      </c>
      <c r="J602" t="str">
        <f>IFERROR(INDEX('Task Master'!$H:$H,MATCH($F602&amp;"||"&amp;$G602,'Task Master'!$K:$K,0)),"")</f>
        <v/>
      </c>
      <c r="N602" s="18" t="str">
        <f t="shared" si="73"/>
        <v/>
      </c>
      <c r="R602" s="18">
        <f t="shared" si="74"/>
        <v>0</v>
      </c>
      <c r="V602" s="18">
        <f t="shared" si="75"/>
        <v>0</v>
      </c>
      <c r="Z602" s="18">
        <f t="shared" si="76"/>
        <v>0</v>
      </c>
      <c r="AA602" s="18"/>
      <c r="AB602" s="18">
        <f t="shared" si="77"/>
        <v>0</v>
      </c>
      <c r="AC602" s="18" t="str">
        <f t="shared" si="78"/>
        <v/>
      </c>
      <c r="AD602" s="18" t="str">
        <f t="shared" si="79"/>
        <v/>
      </c>
      <c r="AF602" t="str">
        <f>IFERROR(INDEX('Task Master'!$D:$D,MATCH($F602,'Task Master'!$C:$C,0)),"")</f>
        <v/>
      </c>
    </row>
    <row r="603" spans="1:32" x14ac:dyDescent="0.25">
      <c r="A603" t="str">
        <f t="shared" si="72"/>
        <v/>
      </c>
      <c r="B603" s="16"/>
      <c r="D603" t="str">
        <f>IF($C603="","",IFERROR(INDEX('Asset Register'!$B:$B,MATCH($C603,'Asset Register'!$A:$A,0)),""))</f>
        <v/>
      </c>
      <c r="H603" t="str">
        <f>IFERROR(INDEX('Task Master'!$E:$E,MATCH($F603&amp;"||"&amp;$G603,'Task Master'!$K:$K,0)),"")</f>
        <v/>
      </c>
      <c r="I603" t="str">
        <f>IFERROR(INDEX('Task Master'!$F:$F,MATCH($F603&amp;"||"&amp;$G603,'Task Master'!$K:$K,0)),"")</f>
        <v/>
      </c>
      <c r="J603" t="str">
        <f>IFERROR(INDEX('Task Master'!$H:$H,MATCH($F603&amp;"||"&amp;$G603,'Task Master'!$K:$K,0)),"")</f>
        <v/>
      </c>
      <c r="N603" s="18" t="str">
        <f t="shared" si="73"/>
        <v/>
      </c>
      <c r="R603" s="18">
        <f t="shared" si="74"/>
        <v>0</v>
      </c>
      <c r="V603" s="18">
        <f t="shared" si="75"/>
        <v>0</v>
      </c>
      <c r="Z603" s="18">
        <f t="shared" si="76"/>
        <v>0</v>
      </c>
      <c r="AA603" s="18"/>
      <c r="AB603" s="18">
        <f t="shared" si="77"/>
        <v>0</v>
      </c>
      <c r="AC603" s="18" t="str">
        <f t="shared" si="78"/>
        <v/>
      </c>
      <c r="AD603" s="18" t="str">
        <f t="shared" si="79"/>
        <v/>
      </c>
      <c r="AF603" t="str">
        <f>IFERROR(INDEX('Task Master'!$D:$D,MATCH($F603,'Task Master'!$C:$C,0)),"")</f>
        <v/>
      </c>
    </row>
    <row r="604" spans="1:32" x14ac:dyDescent="0.25">
      <c r="A604" t="str">
        <f t="shared" si="72"/>
        <v/>
      </c>
      <c r="B604" s="16"/>
      <c r="D604" t="str">
        <f>IF($C604="","",IFERROR(INDEX('Asset Register'!$B:$B,MATCH($C604,'Asset Register'!$A:$A,0)),""))</f>
        <v/>
      </c>
      <c r="H604" t="str">
        <f>IFERROR(INDEX('Task Master'!$E:$E,MATCH($F604&amp;"||"&amp;$G604,'Task Master'!$K:$K,0)),"")</f>
        <v/>
      </c>
      <c r="I604" t="str">
        <f>IFERROR(INDEX('Task Master'!$F:$F,MATCH($F604&amp;"||"&amp;$G604,'Task Master'!$K:$K,0)),"")</f>
        <v/>
      </c>
      <c r="J604" t="str">
        <f>IFERROR(INDEX('Task Master'!$H:$H,MATCH($F604&amp;"||"&amp;$G604,'Task Master'!$K:$K,0)),"")</f>
        <v/>
      </c>
      <c r="N604" s="18" t="str">
        <f t="shared" si="73"/>
        <v/>
      </c>
      <c r="R604" s="18">
        <f t="shared" si="74"/>
        <v>0</v>
      </c>
      <c r="V604" s="18">
        <f t="shared" si="75"/>
        <v>0</v>
      </c>
      <c r="Z604" s="18">
        <f t="shared" si="76"/>
        <v>0</v>
      </c>
      <c r="AA604" s="18"/>
      <c r="AB604" s="18">
        <f t="shared" si="77"/>
        <v>0</v>
      </c>
      <c r="AC604" s="18" t="str">
        <f t="shared" si="78"/>
        <v/>
      </c>
      <c r="AD604" s="18" t="str">
        <f t="shared" si="79"/>
        <v/>
      </c>
      <c r="AF604" t="str">
        <f>IFERROR(INDEX('Task Master'!$D:$D,MATCH($F604,'Task Master'!$C:$C,0)),"")</f>
        <v/>
      </c>
    </row>
    <row r="605" spans="1:32" x14ac:dyDescent="0.25">
      <c r="A605" t="str">
        <f t="shared" si="72"/>
        <v/>
      </c>
      <c r="B605" s="16"/>
      <c r="D605" t="str">
        <f>IF($C605="","",IFERROR(INDEX('Asset Register'!$B:$B,MATCH($C605,'Asset Register'!$A:$A,0)),""))</f>
        <v/>
      </c>
      <c r="H605" t="str">
        <f>IFERROR(INDEX('Task Master'!$E:$E,MATCH($F605&amp;"||"&amp;$G605,'Task Master'!$K:$K,0)),"")</f>
        <v/>
      </c>
      <c r="I605" t="str">
        <f>IFERROR(INDEX('Task Master'!$F:$F,MATCH($F605&amp;"||"&amp;$G605,'Task Master'!$K:$K,0)),"")</f>
        <v/>
      </c>
      <c r="J605" t="str">
        <f>IFERROR(INDEX('Task Master'!$H:$H,MATCH($F605&amp;"||"&amp;$G605,'Task Master'!$K:$K,0)),"")</f>
        <v/>
      </c>
      <c r="N605" s="18" t="str">
        <f t="shared" si="73"/>
        <v/>
      </c>
      <c r="R605" s="18">
        <f t="shared" si="74"/>
        <v>0</v>
      </c>
      <c r="V605" s="18">
        <f t="shared" si="75"/>
        <v>0</v>
      </c>
      <c r="Z605" s="18">
        <f t="shared" si="76"/>
        <v>0</v>
      </c>
      <c r="AA605" s="18"/>
      <c r="AB605" s="18">
        <f t="shared" si="77"/>
        <v>0</v>
      </c>
      <c r="AC605" s="18" t="str">
        <f t="shared" si="78"/>
        <v/>
      </c>
      <c r="AD605" s="18" t="str">
        <f t="shared" si="79"/>
        <v/>
      </c>
      <c r="AF605" t="str">
        <f>IFERROR(INDEX('Task Master'!$D:$D,MATCH($F605,'Task Master'!$C:$C,0)),"")</f>
        <v/>
      </c>
    </row>
    <row r="606" spans="1:32" x14ac:dyDescent="0.25">
      <c r="A606" t="str">
        <f t="shared" si="72"/>
        <v/>
      </c>
      <c r="B606" s="16"/>
      <c r="D606" t="str">
        <f>IF($C606="","",IFERROR(INDEX('Asset Register'!$B:$B,MATCH($C606,'Asset Register'!$A:$A,0)),""))</f>
        <v/>
      </c>
      <c r="H606" t="str">
        <f>IFERROR(INDEX('Task Master'!$E:$E,MATCH($F606&amp;"||"&amp;$G606,'Task Master'!$K:$K,0)),"")</f>
        <v/>
      </c>
      <c r="I606" t="str">
        <f>IFERROR(INDEX('Task Master'!$F:$F,MATCH($F606&amp;"||"&amp;$G606,'Task Master'!$K:$K,0)),"")</f>
        <v/>
      </c>
      <c r="J606" t="str">
        <f>IFERROR(INDEX('Task Master'!$H:$H,MATCH($F606&amp;"||"&amp;$G606,'Task Master'!$K:$K,0)),"")</f>
        <v/>
      </c>
      <c r="N606" s="18" t="str">
        <f t="shared" si="73"/>
        <v/>
      </c>
      <c r="R606" s="18">
        <f t="shared" si="74"/>
        <v>0</v>
      </c>
      <c r="V606" s="18">
        <f t="shared" si="75"/>
        <v>0</v>
      </c>
      <c r="Z606" s="18">
        <f t="shared" si="76"/>
        <v>0</v>
      </c>
      <c r="AA606" s="18"/>
      <c r="AB606" s="18">
        <f t="shared" si="77"/>
        <v>0</v>
      </c>
      <c r="AC606" s="18" t="str">
        <f t="shared" si="78"/>
        <v/>
      </c>
      <c r="AD606" s="18" t="str">
        <f t="shared" si="79"/>
        <v/>
      </c>
      <c r="AF606" t="str">
        <f>IFERROR(INDEX('Task Master'!$D:$D,MATCH($F606,'Task Master'!$C:$C,0)),"")</f>
        <v/>
      </c>
    </row>
    <row r="607" spans="1:32" x14ac:dyDescent="0.25">
      <c r="A607" t="str">
        <f t="shared" si="72"/>
        <v/>
      </c>
      <c r="B607" s="16"/>
      <c r="D607" t="str">
        <f>IF($C607="","",IFERROR(INDEX('Asset Register'!$B:$B,MATCH($C607,'Asset Register'!$A:$A,0)),""))</f>
        <v/>
      </c>
      <c r="H607" t="str">
        <f>IFERROR(INDEX('Task Master'!$E:$E,MATCH($F607&amp;"||"&amp;$G607,'Task Master'!$K:$K,0)),"")</f>
        <v/>
      </c>
      <c r="I607" t="str">
        <f>IFERROR(INDEX('Task Master'!$F:$F,MATCH($F607&amp;"||"&amp;$G607,'Task Master'!$K:$K,0)),"")</f>
        <v/>
      </c>
      <c r="J607" t="str">
        <f>IFERROR(INDEX('Task Master'!$H:$H,MATCH($F607&amp;"||"&amp;$G607,'Task Master'!$K:$K,0)),"")</f>
        <v/>
      </c>
      <c r="N607" s="18" t="str">
        <f t="shared" si="73"/>
        <v/>
      </c>
      <c r="R607" s="18">
        <f t="shared" si="74"/>
        <v>0</v>
      </c>
      <c r="V607" s="18">
        <f t="shared" si="75"/>
        <v>0</v>
      </c>
      <c r="Z607" s="18">
        <f t="shared" si="76"/>
        <v>0</v>
      </c>
      <c r="AA607" s="18"/>
      <c r="AB607" s="18">
        <f t="shared" si="77"/>
        <v>0</v>
      </c>
      <c r="AC607" s="18" t="str">
        <f t="shared" si="78"/>
        <v/>
      </c>
      <c r="AD607" s="18" t="str">
        <f t="shared" si="79"/>
        <v/>
      </c>
      <c r="AF607" t="str">
        <f>IFERROR(INDEX('Task Master'!$D:$D,MATCH($F607,'Task Master'!$C:$C,0)),"")</f>
        <v/>
      </c>
    </row>
    <row r="608" spans="1:32" x14ac:dyDescent="0.25">
      <c r="A608" t="str">
        <f t="shared" si="72"/>
        <v/>
      </c>
      <c r="B608" s="16"/>
      <c r="D608" t="str">
        <f>IF($C608="","",IFERROR(INDEX('Asset Register'!$B:$B,MATCH($C608,'Asset Register'!$A:$A,0)),""))</f>
        <v/>
      </c>
      <c r="H608" t="str">
        <f>IFERROR(INDEX('Task Master'!$E:$E,MATCH($F608&amp;"||"&amp;$G608,'Task Master'!$K:$K,0)),"")</f>
        <v/>
      </c>
      <c r="I608" t="str">
        <f>IFERROR(INDEX('Task Master'!$F:$F,MATCH($F608&amp;"||"&amp;$G608,'Task Master'!$K:$K,0)),"")</f>
        <v/>
      </c>
      <c r="J608" t="str">
        <f>IFERROR(INDEX('Task Master'!$H:$H,MATCH($F608&amp;"||"&amp;$G608,'Task Master'!$K:$K,0)),"")</f>
        <v/>
      </c>
      <c r="N608" s="18" t="str">
        <f t="shared" si="73"/>
        <v/>
      </c>
      <c r="R608" s="18">
        <f t="shared" si="74"/>
        <v>0</v>
      </c>
      <c r="V608" s="18">
        <f t="shared" si="75"/>
        <v>0</v>
      </c>
      <c r="Z608" s="18">
        <f t="shared" si="76"/>
        <v>0</v>
      </c>
      <c r="AA608" s="18"/>
      <c r="AB608" s="18">
        <f t="shared" si="77"/>
        <v>0</v>
      </c>
      <c r="AC608" s="18" t="str">
        <f t="shared" si="78"/>
        <v/>
      </c>
      <c r="AD608" s="18" t="str">
        <f t="shared" si="79"/>
        <v/>
      </c>
      <c r="AF608" t="str">
        <f>IFERROR(INDEX('Task Master'!$D:$D,MATCH($F608,'Task Master'!$C:$C,0)),"")</f>
        <v/>
      </c>
    </row>
    <row r="609" spans="1:32" x14ac:dyDescent="0.25">
      <c r="A609" t="str">
        <f t="shared" si="72"/>
        <v/>
      </c>
      <c r="B609" s="16"/>
      <c r="D609" t="str">
        <f>IF($C609="","",IFERROR(INDEX('Asset Register'!$B:$B,MATCH($C609,'Asset Register'!$A:$A,0)),""))</f>
        <v/>
      </c>
      <c r="H609" t="str">
        <f>IFERROR(INDEX('Task Master'!$E:$E,MATCH($F609&amp;"||"&amp;$G609,'Task Master'!$K:$K,0)),"")</f>
        <v/>
      </c>
      <c r="I609" t="str">
        <f>IFERROR(INDEX('Task Master'!$F:$F,MATCH($F609&amp;"||"&amp;$G609,'Task Master'!$K:$K,0)),"")</f>
        <v/>
      </c>
      <c r="J609" t="str">
        <f>IFERROR(INDEX('Task Master'!$H:$H,MATCH($F609&amp;"||"&amp;$G609,'Task Master'!$K:$K,0)),"")</f>
        <v/>
      </c>
      <c r="N609" s="18" t="str">
        <f t="shared" si="73"/>
        <v/>
      </c>
      <c r="R609" s="18">
        <f t="shared" si="74"/>
        <v>0</v>
      </c>
      <c r="V609" s="18">
        <f t="shared" si="75"/>
        <v>0</v>
      </c>
      <c r="Z609" s="18">
        <f t="shared" si="76"/>
        <v>0</v>
      </c>
      <c r="AA609" s="18"/>
      <c r="AB609" s="18">
        <f t="shared" si="77"/>
        <v>0</v>
      </c>
      <c r="AC609" s="18" t="str">
        <f t="shared" si="78"/>
        <v/>
      </c>
      <c r="AD609" s="18" t="str">
        <f t="shared" si="79"/>
        <v/>
      </c>
      <c r="AF609" t="str">
        <f>IFERROR(INDEX('Task Master'!$D:$D,MATCH($F609,'Task Master'!$C:$C,0)),"")</f>
        <v/>
      </c>
    </row>
    <row r="610" spans="1:32" x14ac:dyDescent="0.25">
      <c r="A610" t="str">
        <f t="shared" si="72"/>
        <v/>
      </c>
      <c r="B610" s="16"/>
      <c r="D610" t="str">
        <f>IF($C610="","",IFERROR(INDEX('Asset Register'!$B:$B,MATCH($C610,'Asset Register'!$A:$A,0)),""))</f>
        <v/>
      </c>
      <c r="H610" t="str">
        <f>IFERROR(INDEX('Task Master'!$E:$E,MATCH($F610&amp;"||"&amp;$G610,'Task Master'!$K:$K,0)),"")</f>
        <v/>
      </c>
      <c r="I610" t="str">
        <f>IFERROR(INDEX('Task Master'!$F:$F,MATCH($F610&amp;"||"&amp;$G610,'Task Master'!$K:$K,0)),"")</f>
        <v/>
      </c>
      <c r="J610" t="str">
        <f>IFERROR(INDEX('Task Master'!$H:$H,MATCH($F610&amp;"||"&amp;$G610,'Task Master'!$K:$K,0)),"")</f>
        <v/>
      </c>
      <c r="N610" s="18" t="str">
        <f t="shared" si="73"/>
        <v/>
      </c>
      <c r="R610" s="18">
        <f t="shared" si="74"/>
        <v>0</v>
      </c>
      <c r="V610" s="18">
        <f t="shared" si="75"/>
        <v>0</v>
      </c>
      <c r="Z610" s="18">
        <f t="shared" si="76"/>
        <v>0</v>
      </c>
      <c r="AA610" s="18"/>
      <c r="AB610" s="18">
        <f t="shared" si="77"/>
        <v>0</v>
      </c>
      <c r="AC610" s="18" t="str">
        <f t="shared" si="78"/>
        <v/>
      </c>
      <c r="AD610" s="18" t="str">
        <f t="shared" si="79"/>
        <v/>
      </c>
      <c r="AF610" t="str">
        <f>IFERROR(INDEX('Task Master'!$D:$D,MATCH($F610,'Task Master'!$C:$C,0)),"")</f>
        <v/>
      </c>
    </row>
    <row r="611" spans="1:32" x14ac:dyDescent="0.25">
      <c r="A611" t="str">
        <f t="shared" si="72"/>
        <v/>
      </c>
      <c r="B611" s="16"/>
      <c r="D611" t="str">
        <f>IF($C611="","",IFERROR(INDEX('Asset Register'!$B:$B,MATCH($C611,'Asset Register'!$A:$A,0)),""))</f>
        <v/>
      </c>
      <c r="H611" t="str">
        <f>IFERROR(INDEX('Task Master'!$E:$E,MATCH($F611&amp;"||"&amp;$G611,'Task Master'!$K:$K,0)),"")</f>
        <v/>
      </c>
      <c r="I611" t="str">
        <f>IFERROR(INDEX('Task Master'!$F:$F,MATCH($F611&amp;"||"&amp;$G611,'Task Master'!$K:$K,0)),"")</f>
        <v/>
      </c>
      <c r="J611" t="str">
        <f>IFERROR(INDEX('Task Master'!$H:$H,MATCH($F611&amp;"||"&amp;$G611,'Task Master'!$K:$K,0)),"")</f>
        <v/>
      </c>
      <c r="N611" s="18" t="str">
        <f t="shared" si="73"/>
        <v/>
      </c>
      <c r="R611" s="18">
        <f t="shared" si="74"/>
        <v>0</v>
      </c>
      <c r="V611" s="18">
        <f t="shared" si="75"/>
        <v>0</v>
      </c>
      <c r="Z611" s="18">
        <f t="shared" si="76"/>
        <v>0</v>
      </c>
      <c r="AA611" s="18"/>
      <c r="AB611" s="18">
        <f t="shared" si="77"/>
        <v>0</v>
      </c>
      <c r="AC611" s="18" t="str">
        <f t="shared" si="78"/>
        <v/>
      </c>
      <c r="AD611" s="18" t="str">
        <f t="shared" si="79"/>
        <v/>
      </c>
      <c r="AF611" t="str">
        <f>IFERROR(INDEX('Task Master'!$D:$D,MATCH($F611,'Task Master'!$C:$C,0)),"")</f>
        <v/>
      </c>
    </row>
    <row r="612" spans="1:32" x14ac:dyDescent="0.25">
      <c r="A612" t="str">
        <f t="shared" si="72"/>
        <v/>
      </c>
      <c r="B612" s="16"/>
      <c r="D612" t="str">
        <f>IF($C612="","",IFERROR(INDEX('Asset Register'!$B:$B,MATCH($C612,'Asset Register'!$A:$A,0)),""))</f>
        <v/>
      </c>
      <c r="H612" t="str">
        <f>IFERROR(INDEX('Task Master'!$E:$E,MATCH($F612&amp;"||"&amp;$G612,'Task Master'!$K:$K,0)),"")</f>
        <v/>
      </c>
      <c r="I612" t="str">
        <f>IFERROR(INDEX('Task Master'!$F:$F,MATCH($F612&amp;"||"&amp;$G612,'Task Master'!$K:$K,0)),"")</f>
        <v/>
      </c>
      <c r="J612" t="str">
        <f>IFERROR(INDEX('Task Master'!$H:$H,MATCH($F612&amp;"||"&amp;$G612,'Task Master'!$K:$K,0)),"")</f>
        <v/>
      </c>
      <c r="N612" s="18" t="str">
        <f t="shared" si="73"/>
        <v/>
      </c>
      <c r="R612" s="18">
        <f t="shared" si="74"/>
        <v>0</v>
      </c>
      <c r="V612" s="18">
        <f t="shared" si="75"/>
        <v>0</v>
      </c>
      <c r="Z612" s="18">
        <f t="shared" si="76"/>
        <v>0</v>
      </c>
      <c r="AA612" s="18"/>
      <c r="AB612" s="18">
        <f t="shared" si="77"/>
        <v>0</v>
      </c>
      <c r="AC612" s="18" t="str">
        <f t="shared" si="78"/>
        <v/>
      </c>
      <c r="AD612" s="18" t="str">
        <f t="shared" si="79"/>
        <v/>
      </c>
      <c r="AF612" t="str">
        <f>IFERROR(INDEX('Task Master'!$D:$D,MATCH($F612,'Task Master'!$C:$C,0)),"")</f>
        <v/>
      </c>
    </row>
    <row r="613" spans="1:32" x14ac:dyDescent="0.25">
      <c r="A613" t="str">
        <f t="shared" si="72"/>
        <v/>
      </c>
      <c r="B613" s="16"/>
      <c r="D613" t="str">
        <f>IF($C613="","",IFERROR(INDEX('Asset Register'!$B:$B,MATCH($C613,'Asset Register'!$A:$A,0)),""))</f>
        <v/>
      </c>
      <c r="H613" t="str">
        <f>IFERROR(INDEX('Task Master'!$E:$E,MATCH($F613&amp;"||"&amp;$G613,'Task Master'!$K:$K,0)),"")</f>
        <v/>
      </c>
      <c r="I613" t="str">
        <f>IFERROR(INDEX('Task Master'!$F:$F,MATCH($F613&amp;"||"&amp;$G613,'Task Master'!$K:$K,0)),"")</f>
        <v/>
      </c>
      <c r="J613" t="str">
        <f>IFERROR(INDEX('Task Master'!$H:$H,MATCH($F613&amp;"||"&amp;$G613,'Task Master'!$K:$K,0)),"")</f>
        <v/>
      </c>
      <c r="N613" s="18" t="str">
        <f t="shared" si="73"/>
        <v/>
      </c>
      <c r="R613" s="18">
        <f t="shared" si="74"/>
        <v>0</v>
      </c>
      <c r="V613" s="18">
        <f t="shared" si="75"/>
        <v>0</v>
      </c>
      <c r="Z613" s="18">
        <f t="shared" si="76"/>
        <v>0</v>
      </c>
      <c r="AA613" s="18"/>
      <c r="AB613" s="18">
        <f t="shared" si="77"/>
        <v>0</v>
      </c>
      <c r="AC613" s="18" t="str">
        <f t="shared" si="78"/>
        <v/>
      </c>
      <c r="AD613" s="18" t="str">
        <f t="shared" si="79"/>
        <v/>
      </c>
      <c r="AF613" t="str">
        <f>IFERROR(INDEX('Task Master'!$D:$D,MATCH($F613,'Task Master'!$C:$C,0)),"")</f>
        <v/>
      </c>
    </row>
    <row r="614" spans="1:32" x14ac:dyDescent="0.25">
      <c r="A614" t="str">
        <f t="shared" si="72"/>
        <v/>
      </c>
      <c r="B614" s="16"/>
      <c r="D614" t="str">
        <f>IF($C614="","",IFERROR(INDEX('Asset Register'!$B:$B,MATCH($C614,'Asset Register'!$A:$A,0)),""))</f>
        <v/>
      </c>
      <c r="H614" t="str">
        <f>IFERROR(INDEX('Task Master'!$E:$E,MATCH($F614&amp;"||"&amp;$G614,'Task Master'!$K:$K,0)),"")</f>
        <v/>
      </c>
      <c r="I614" t="str">
        <f>IFERROR(INDEX('Task Master'!$F:$F,MATCH($F614&amp;"||"&amp;$G614,'Task Master'!$K:$K,0)),"")</f>
        <v/>
      </c>
      <c r="J614" t="str">
        <f>IFERROR(INDEX('Task Master'!$H:$H,MATCH($F614&amp;"||"&amp;$G614,'Task Master'!$K:$K,0)),"")</f>
        <v/>
      </c>
      <c r="N614" s="18" t="str">
        <f t="shared" si="73"/>
        <v/>
      </c>
      <c r="R614" s="18">
        <f t="shared" si="74"/>
        <v>0</v>
      </c>
      <c r="V614" s="18">
        <f t="shared" si="75"/>
        <v>0</v>
      </c>
      <c r="Z614" s="18">
        <f t="shared" si="76"/>
        <v>0</v>
      </c>
      <c r="AA614" s="18"/>
      <c r="AB614" s="18">
        <f t="shared" si="77"/>
        <v>0</v>
      </c>
      <c r="AC614" s="18" t="str">
        <f t="shared" si="78"/>
        <v/>
      </c>
      <c r="AD614" s="18" t="str">
        <f t="shared" si="79"/>
        <v/>
      </c>
      <c r="AF614" t="str">
        <f>IFERROR(INDEX('Task Master'!$D:$D,MATCH($F614,'Task Master'!$C:$C,0)),"")</f>
        <v/>
      </c>
    </row>
    <row r="615" spans="1:32" x14ac:dyDescent="0.25">
      <c r="A615" t="str">
        <f t="shared" si="72"/>
        <v/>
      </c>
      <c r="B615" s="16"/>
      <c r="D615" t="str">
        <f>IF($C615="","",IFERROR(INDEX('Asset Register'!$B:$B,MATCH($C615,'Asset Register'!$A:$A,0)),""))</f>
        <v/>
      </c>
      <c r="H615" t="str">
        <f>IFERROR(INDEX('Task Master'!$E:$E,MATCH($F615&amp;"||"&amp;$G615,'Task Master'!$K:$K,0)),"")</f>
        <v/>
      </c>
      <c r="I615" t="str">
        <f>IFERROR(INDEX('Task Master'!$F:$F,MATCH($F615&amp;"||"&amp;$G615,'Task Master'!$K:$K,0)),"")</f>
        <v/>
      </c>
      <c r="J615" t="str">
        <f>IFERROR(INDEX('Task Master'!$H:$H,MATCH($F615&amp;"||"&amp;$G615,'Task Master'!$K:$K,0)),"")</f>
        <v/>
      </c>
      <c r="N615" s="18" t="str">
        <f t="shared" si="73"/>
        <v/>
      </c>
      <c r="R615" s="18">
        <f t="shared" si="74"/>
        <v>0</v>
      </c>
      <c r="V615" s="18">
        <f t="shared" si="75"/>
        <v>0</v>
      </c>
      <c r="Z615" s="18">
        <f t="shared" si="76"/>
        <v>0</v>
      </c>
      <c r="AA615" s="18"/>
      <c r="AB615" s="18">
        <f t="shared" si="77"/>
        <v>0</v>
      </c>
      <c r="AC615" s="18" t="str">
        <f t="shared" si="78"/>
        <v/>
      </c>
      <c r="AD615" s="18" t="str">
        <f t="shared" si="79"/>
        <v/>
      </c>
      <c r="AF615" t="str">
        <f>IFERROR(INDEX('Task Master'!$D:$D,MATCH($F615,'Task Master'!$C:$C,0)),"")</f>
        <v/>
      </c>
    </row>
    <row r="616" spans="1:32" x14ac:dyDescent="0.25">
      <c r="A616" t="str">
        <f t="shared" si="72"/>
        <v/>
      </c>
      <c r="B616" s="16"/>
      <c r="D616" t="str">
        <f>IF($C616="","",IFERROR(INDEX('Asset Register'!$B:$B,MATCH($C616,'Asset Register'!$A:$A,0)),""))</f>
        <v/>
      </c>
      <c r="H616" t="str">
        <f>IFERROR(INDEX('Task Master'!$E:$E,MATCH($F616&amp;"||"&amp;$G616,'Task Master'!$K:$K,0)),"")</f>
        <v/>
      </c>
      <c r="I616" t="str">
        <f>IFERROR(INDEX('Task Master'!$F:$F,MATCH($F616&amp;"||"&amp;$G616,'Task Master'!$K:$K,0)),"")</f>
        <v/>
      </c>
      <c r="J616" t="str">
        <f>IFERROR(INDEX('Task Master'!$H:$H,MATCH($F616&amp;"||"&amp;$G616,'Task Master'!$K:$K,0)),"")</f>
        <v/>
      </c>
      <c r="N616" s="18" t="str">
        <f t="shared" si="73"/>
        <v/>
      </c>
      <c r="R616" s="18">
        <f t="shared" si="74"/>
        <v>0</v>
      </c>
      <c r="V616" s="18">
        <f t="shared" si="75"/>
        <v>0</v>
      </c>
      <c r="Z616" s="18">
        <f t="shared" si="76"/>
        <v>0</v>
      </c>
      <c r="AA616" s="18"/>
      <c r="AB616" s="18">
        <f t="shared" si="77"/>
        <v>0</v>
      </c>
      <c r="AC616" s="18" t="str">
        <f t="shared" si="78"/>
        <v/>
      </c>
      <c r="AD616" s="18" t="str">
        <f t="shared" si="79"/>
        <v/>
      </c>
      <c r="AF616" t="str">
        <f>IFERROR(INDEX('Task Master'!$D:$D,MATCH($F616,'Task Master'!$C:$C,0)),"")</f>
        <v/>
      </c>
    </row>
    <row r="617" spans="1:32" x14ac:dyDescent="0.25">
      <c r="A617" t="str">
        <f t="shared" si="72"/>
        <v/>
      </c>
      <c r="B617" s="16"/>
      <c r="D617" t="str">
        <f>IF($C617="","",IFERROR(INDEX('Asset Register'!$B:$B,MATCH($C617,'Asset Register'!$A:$A,0)),""))</f>
        <v/>
      </c>
      <c r="H617" t="str">
        <f>IFERROR(INDEX('Task Master'!$E:$E,MATCH($F617&amp;"||"&amp;$G617,'Task Master'!$K:$K,0)),"")</f>
        <v/>
      </c>
      <c r="I617" t="str">
        <f>IFERROR(INDEX('Task Master'!$F:$F,MATCH($F617&amp;"||"&amp;$G617,'Task Master'!$K:$K,0)),"")</f>
        <v/>
      </c>
      <c r="J617" t="str">
        <f>IFERROR(INDEX('Task Master'!$H:$H,MATCH($F617&amp;"||"&amp;$G617,'Task Master'!$K:$K,0)),"")</f>
        <v/>
      </c>
      <c r="N617" s="18" t="str">
        <f t="shared" si="73"/>
        <v/>
      </c>
      <c r="R617" s="18">
        <f t="shared" si="74"/>
        <v>0</v>
      </c>
      <c r="V617" s="18">
        <f t="shared" si="75"/>
        <v>0</v>
      </c>
      <c r="Z617" s="18">
        <f t="shared" si="76"/>
        <v>0</v>
      </c>
      <c r="AA617" s="18"/>
      <c r="AB617" s="18">
        <f t="shared" si="77"/>
        <v>0</v>
      </c>
      <c r="AC617" s="18" t="str">
        <f t="shared" si="78"/>
        <v/>
      </c>
      <c r="AD617" s="18" t="str">
        <f t="shared" si="79"/>
        <v/>
      </c>
      <c r="AF617" t="str">
        <f>IFERROR(INDEX('Task Master'!$D:$D,MATCH($F617,'Task Master'!$C:$C,0)),"")</f>
        <v/>
      </c>
    </row>
    <row r="618" spans="1:32" x14ac:dyDescent="0.25">
      <c r="A618" t="str">
        <f t="shared" si="72"/>
        <v/>
      </c>
      <c r="B618" s="16"/>
      <c r="D618" t="str">
        <f>IF($C618="","",IFERROR(INDEX('Asset Register'!$B:$B,MATCH($C618,'Asset Register'!$A:$A,0)),""))</f>
        <v/>
      </c>
      <c r="H618" t="str">
        <f>IFERROR(INDEX('Task Master'!$E:$E,MATCH($F618&amp;"||"&amp;$G618,'Task Master'!$K:$K,0)),"")</f>
        <v/>
      </c>
      <c r="I618" t="str">
        <f>IFERROR(INDEX('Task Master'!$F:$F,MATCH($F618&amp;"||"&amp;$G618,'Task Master'!$K:$K,0)),"")</f>
        <v/>
      </c>
      <c r="J618" t="str">
        <f>IFERROR(INDEX('Task Master'!$H:$H,MATCH($F618&amp;"||"&amp;$G618,'Task Master'!$K:$K,0)),"")</f>
        <v/>
      </c>
      <c r="N618" s="18" t="str">
        <f t="shared" si="73"/>
        <v/>
      </c>
      <c r="R618" s="18">
        <f t="shared" si="74"/>
        <v>0</v>
      </c>
      <c r="V618" s="18">
        <f t="shared" si="75"/>
        <v>0</v>
      </c>
      <c r="Z618" s="18">
        <f t="shared" si="76"/>
        <v>0</v>
      </c>
      <c r="AA618" s="18"/>
      <c r="AB618" s="18">
        <f t="shared" si="77"/>
        <v>0</v>
      </c>
      <c r="AC618" s="18" t="str">
        <f t="shared" si="78"/>
        <v/>
      </c>
      <c r="AD618" s="18" t="str">
        <f t="shared" si="79"/>
        <v/>
      </c>
      <c r="AF618" t="str">
        <f>IFERROR(INDEX('Task Master'!$D:$D,MATCH($F618,'Task Master'!$C:$C,0)),"")</f>
        <v/>
      </c>
    </row>
    <row r="619" spans="1:32" x14ac:dyDescent="0.25">
      <c r="A619" t="str">
        <f t="shared" si="72"/>
        <v/>
      </c>
      <c r="B619" s="16"/>
      <c r="D619" t="str">
        <f>IF($C619="","",IFERROR(INDEX('Asset Register'!$B:$B,MATCH($C619,'Asset Register'!$A:$A,0)),""))</f>
        <v/>
      </c>
      <c r="H619" t="str">
        <f>IFERROR(INDEX('Task Master'!$E:$E,MATCH($F619&amp;"||"&amp;$G619,'Task Master'!$K:$K,0)),"")</f>
        <v/>
      </c>
      <c r="I619" t="str">
        <f>IFERROR(INDEX('Task Master'!$F:$F,MATCH($F619&amp;"||"&amp;$G619,'Task Master'!$K:$K,0)),"")</f>
        <v/>
      </c>
      <c r="J619" t="str">
        <f>IFERROR(INDEX('Task Master'!$H:$H,MATCH($F619&amp;"||"&amp;$G619,'Task Master'!$K:$K,0)),"")</f>
        <v/>
      </c>
      <c r="N619" s="18" t="str">
        <f t="shared" si="73"/>
        <v/>
      </c>
      <c r="R619" s="18">
        <f t="shared" si="74"/>
        <v>0</v>
      </c>
      <c r="V619" s="18">
        <f t="shared" si="75"/>
        <v>0</v>
      </c>
      <c r="Z619" s="18">
        <f t="shared" si="76"/>
        <v>0</v>
      </c>
      <c r="AA619" s="18"/>
      <c r="AB619" s="18">
        <f t="shared" si="77"/>
        <v>0</v>
      </c>
      <c r="AC619" s="18" t="str">
        <f t="shared" si="78"/>
        <v/>
      </c>
      <c r="AD619" s="18" t="str">
        <f t="shared" si="79"/>
        <v/>
      </c>
      <c r="AF619" t="str">
        <f>IFERROR(INDEX('Task Master'!$D:$D,MATCH($F619,'Task Master'!$C:$C,0)),"")</f>
        <v/>
      </c>
    </row>
    <row r="620" spans="1:32" x14ac:dyDescent="0.25">
      <c r="A620" t="str">
        <f t="shared" si="72"/>
        <v/>
      </c>
      <c r="B620" s="16"/>
      <c r="D620" t="str">
        <f>IF($C620="","",IFERROR(INDEX('Asset Register'!$B:$B,MATCH($C620,'Asset Register'!$A:$A,0)),""))</f>
        <v/>
      </c>
      <c r="H620" t="str">
        <f>IFERROR(INDEX('Task Master'!$E:$E,MATCH($F620&amp;"||"&amp;$G620,'Task Master'!$K:$K,0)),"")</f>
        <v/>
      </c>
      <c r="I620" t="str">
        <f>IFERROR(INDEX('Task Master'!$F:$F,MATCH($F620&amp;"||"&amp;$G620,'Task Master'!$K:$K,0)),"")</f>
        <v/>
      </c>
      <c r="J620" t="str">
        <f>IFERROR(INDEX('Task Master'!$H:$H,MATCH($F620&amp;"||"&amp;$G620,'Task Master'!$K:$K,0)),"")</f>
        <v/>
      </c>
      <c r="N620" s="18" t="str">
        <f t="shared" si="73"/>
        <v/>
      </c>
      <c r="R620" s="18">
        <f t="shared" si="74"/>
        <v>0</v>
      </c>
      <c r="V620" s="18">
        <f t="shared" si="75"/>
        <v>0</v>
      </c>
      <c r="Z620" s="18">
        <f t="shared" si="76"/>
        <v>0</v>
      </c>
      <c r="AA620" s="18"/>
      <c r="AB620" s="18">
        <f t="shared" si="77"/>
        <v>0</v>
      </c>
      <c r="AC620" s="18" t="str">
        <f t="shared" si="78"/>
        <v/>
      </c>
      <c r="AD620" s="18" t="str">
        <f t="shared" si="79"/>
        <v/>
      </c>
      <c r="AF620" t="str">
        <f>IFERROR(INDEX('Task Master'!$D:$D,MATCH($F620,'Task Master'!$C:$C,0)),"")</f>
        <v/>
      </c>
    </row>
    <row r="621" spans="1:32" x14ac:dyDescent="0.25">
      <c r="A621" t="str">
        <f t="shared" si="72"/>
        <v/>
      </c>
      <c r="B621" s="16"/>
      <c r="D621" t="str">
        <f>IF($C621="","",IFERROR(INDEX('Asset Register'!$B:$B,MATCH($C621,'Asset Register'!$A:$A,0)),""))</f>
        <v/>
      </c>
      <c r="H621" t="str">
        <f>IFERROR(INDEX('Task Master'!$E:$E,MATCH($F621&amp;"||"&amp;$G621,'Task Master'!$K:$K,0)),"")</f>
        <v/>
      </c>
      <c r="I621" t="str">
        <f>IFERROR(INDEX('Task Master'!$F:$F,MATCH($F621&amp;"||"&amp;$G621,'Task Master'!$K:$K,0)),"")</f>
        <v/>
      </c>
      <c r="J621" t="str">
        <f>IFERROR(INDEX('Task Master'!$H:$H,MATCH($F621&amp;"||"&amp;$G621,'Task Master'!$K:$K,0)),"")</f>
        <v/>
      </c>
      <c r="N621" s="18" t="str">
        <f t="shared" si="73"/>
        <v/>
      </c>
      <c r="R621" s="18">
        <f t="shared" si="74"/>
        <v>0</v>
      </c>
      <c r="V621" s="18">
        <f t="shared" si="75"/>
        <v>0</v>
      </c>
      <c r="Z621" s="18">
        <f t="shared" si="76"/>
        <v>0</v>
      </c>
      <c r="AA621" s="18"/>
      <c r="AB621" s="18">
        <f t="shared" si="77"/>
        <v>0</v>
      </c>
      <c r="AC621" s="18" t="str">
        <f t="shared" si="78"/>
        <v/>
      </c>
      <c r="AD621" s="18" t="str">
        <f t="shared" si="79"/>
        <v/>
      </c>
      <c r="AF621" t="str">
        <f>IFERROR(INDEX('Task Master'!$D:$D,MATCH($F621,'Task Master'!$C:$C,0)),"")</f>
        <v/>
      </c>
    </row>
    <row r="622" spans="1:32" x14ac:dyDescent="0.25">
      <c r="A622" t="str">
        <f t="shared" si="72"/>
        <v/>
      </c>
      <c r="B622" s="16"/>
      <c r="D622" t="str">
        <f>IF($C622="","",IFERROR(INDEX('Asset Register'!$B:$B,MATCH($C622,'Asset Register'!$A:$A,0)),""))</f>
        <v/>
      </c>
      <c r="H622" t="str">
        <f>IFERROR(INDEX('Task Master'!$E:$E,MATCH($F622&amp;"||"&amp;$G622,'Task Master'!$K:$K,0)),"")</f>
        <v/>
      </c>
      <c r="I622" t="str">
        <f>IFERROR(INDEX('Task Master'!$F:$F,MATCH($F622&amp;"||"&amp;$G622,'Task Master'!$K:$K,0)),"")</f>
        <v/>
      </c>
      <c r="J622" t="str">
        <f>IFERROR(INDEX('Task Master'!$H:$H,MATCH($F622&amp;"||"&amp;$G622,'Task Master'!$K:$K,0)),"")</f>
        <v/>
      </c>
      <c r="N622" s="18" t="str">
        <f t="shared" si="73"/>
        <v/>
      </c>
      <c r="R622" s="18">
        <f t="shared" si="74"/>
        <v>0</v>
      </c>
      <c r="V622" s="18">
        <f t="shared" si="75"/>
        <v>0</v>
      </c>
      <c r="Z622" s="18">
        <f t="shared" si="76"/>
        <v>0</v>
      </c>
      <c r="AA622" s="18"/>
      <c r="AB622" s="18">
        <f t="shared" si="77"/>
        <v>0</v>
      </c>
      <c r="AC622" s="18" t="str">
        <f t="shared" si="78"/>
        <v/>
      </c>
      <c r="AD622" s="18" t="str">
        <f t="shared" si="79"/>
        <v/>
      </c>
      <c r="AF622" t="str">
        <f>IFERROR(INDEX('Task Master'!$D:$D,MATCH($F622,'Task Master'!$C:$C,0)),"")</f>
        <v/>
      </c>
    </row>
    <row r="623" spans="1:32" x14ac:dyDescent="0.25">
      <c r="A623" t="str">
        <f t="shared" si="72"/>
        <v/>
      </c>
      <c r="B623" s="16"/>
      <c r="D623" t="str">
        <f>IF($C623="","",IFERROR(INDEX('Asset Register'!$B:$B,MATCH($C623,'Asset Register'!$A:$A,0)),""))</f>
        <v/>
      </c>
      <c r="H623" t="str">
        <f>IFERROR(INDEX('Task Master'!$E:$E,MATCH($F623&amp;"||"&amp;$G623,'Task Master'!$K:$K,0)),"")</f>
        <v/>
      </c>
      <c r="I623" t="str">
        <f>IFERROR(INDEX('Task Master'!$F:$F,MATCH($F623&amp;"||"&amp;$G623,'Task Master'!$K:$K,0)),"")</f>
        <v/>
      </c>
      <c r="J623" t="str">
        <f>IFERROR(INDEX('Task Master'!$H:$H,MATCH($F623&amp;"||"&amp;$G623,'Task Master'!$K:$K,0)),"")</f>
        <v/>
      </c>
      <c r="N623" s="18" t="str">
        <f t="shared" si="73"/>
        <v/>
      </c>
      <c r="R623" s="18">
        <f t="shared" si="74"/>
        <v>0</v>
      </c>
      <c r="V623" s="18">
        <f t="shared" si="75"/>
        <v>0</v>
      </c>
      <c r="Z623" s="18">
        <f t="shared" si="76"/>
        <v>0</v>
      </c>
      <c r="AA623" s="18"/>
      <c r="AB623" s="18">
        <f t="shared" si="77"/>
        <v>0</v>
      </c>
      <c r="AC623" s="18" t="str">
        <f t="shared" si="78"/>
        <v/>
      </c>
      <c r="AD623" s="18" t="str">
        <f t="shared" si="79"/>
        <v/>
      </c>
      <c r="AF623" t="str">
        <f>IFERROR(INDEX('Task Master'!$D:$D,MATCH($F623,'Task Master'!$C:$C,0)),"")</f>
        <v/>
      </c>
    </row>
    <row r="624" spans="1:32" x14ac:dyDescent="0.25">
      <c r="A624" t="str">
        <f t="shared" si="72"/>
        <v/>
      </c>
      <c r="B624" s="16"/>
      <c r="D624" t="str">
        <f>IF($C624="","",IFERROR(INDEX('Asset Register'!$B:$B,MATCH($C624,'Asset Register'!$A:$A,0)),""))</f>
        <v/>
      </c>
      <c r="H624" t="str">
        <f>IFERROR(INDEX('Task Master'!$E:$E,MATCH($F624&amp;"||"&amp;$G624,'Task Master'!$K:$K,0)),"")</f>
        <v/>
      </c>
      <c r="I624" t="str">
        <f>IFERROR(INDEX('Task Master'!$F:$F,MATCH($F624&amp;"||"&amp;$G624,'Task Master'!$K:$K,0)),"")</f>
        <v/>
      </c>
      <c r="J624" t="str">
        <f>IFERROR(INDEX('Task Master'!$H:$H,MATCH($F624&amp;"||"&amp;$G624,'Task Master'!$K:$K,0)),"")</f>
        <v/>
      </c>
      <c r="N624" s="18" t="str">
        <f t="shared" si="73"/>
        <v/>
      </c>
      <c r="R624" s="18">
        <f t="shared" si="74"/>
        <v>0</v>
      </c>
      <c r="V624" s="18">
        <f t="shared" si="75"/>
        <v>0</v>
      </c>
      <c r="Z624" s="18">
        <f t="shared" si="76"/>
        <v>0</v>
      </c>
      <c r="AA624" s="18"/>
      <c r="AB624" s="18">
        <f t="shared" si="77"/>
        <v>0</v>
      </c>
      <c r="AC624" s="18" t="str">
        <f t="shared" si="78"/>
        <v/>
      </c>
      <c r="AD624" s="18" t="str">
        <f t="shared" si="79"/>
        <v/>
      </c>
      <c r="AF624" t="str">
        <f>IFERROR(INDEX('Task Master'!$D:$D,MATCH($F624,'Task Master'!$C:$C,0)),"")</f>
        <v/>
      </c>
    </row>
    <row r="625" spans="1:32" x14ac:dyDescent="0.25">
      <c r="A625" t="str">
        <f t="shared" si="72"/>
        <v/>
      </c>
      <c r="B625" s="16"/>
      <c r="D625" t="str">
        <f>IF($C625="","",IFERROR(INDEX('Asset Register'!$B:$B,MATCH($C625,'Asset Register'!$A:$A,0)),""))</f>
        <v/>
      </c>
      <c r="H625" t="str">
        <f>IFERROR(INDEX('Task Master'!$E:$E,MATCH($F625&amp;"||"&amp;$G625,'Task Master'!$K:$K,0)),"")</f>
        <v/>
      </c>
      <c r="I625" t="str">
        <f>IFERROR(INDEX('Task Master'!$F:$F,MATCH($F625&amp;"||"&amp;$G625,'Task Master'!$K:$K,0)),"")</f>
        <v/>
      </c>
      <c r="J625" t="str">
        <f>IFERROR(INDEX('Task Master'!$H:$H,MATCH($F625&amp;"||"&amp;$G625,'Task Master'!$K:$K,0)),"")</f>
        <v/>
      </c>
      <c r="N625" s="18" t="str">
        <f t="shared" si="73"/>
        <v/>
      </c>
      <c r="R625" s="18">
        <f t="shared" si="74"/>
        <v>0</v>
      </c>
      <c r="V625" s="18">
        <f t="shared" si="75"/>
        <v>0</v>
      </c>
      <c r="Z625" s="18">
        <f t="shared" si="76"/>
        <v>0</v>
      </c>
      <c r="AA625" s="18"/>
      <c r="AB625" s="18">
        <f t="shared" si="77"/>
        <v>0</v>
      </c>
      <c r="AC625" s="18" t="str">
        <f t="shared" si="78"/>
        <v/>
      </c>
      <c r="AD625" s="18" t="str">
        <f t="shared" si="79"/>
        <v/>
      </c>
      <c r="AF625" t="str">
        <f>IFERROR(INDEX('Task Master'!$D:$D,MATCH($F625,'Task Master'!$C:$C,0)),"")</f>
        <v/>
      </c>
    </row>
    <row r="626" spans="1:32" x14ac:dyDescent="0.25">
      <c r="A626" t="str">
        <f t="shared" si="72"/>
        <v/>
      </c>
      <c r="B626" s="16"/>
      <c r="D626" t="str">
        <f>IF($C626="","",IFERROR(INDEX('Asset Register'!$B:$B,MATCH($C626,'Asset Register'!$A:$A,0)),""))</f>
        <v/>
      </c>
      <c r="H626" t="str">
        <f>IFERROR(INDEX('Task Master'!$E:$E,MATCH($F626&amp;"||"&amp;$G626,'Task Master'!$K:$K,0)),"")</f>
        <v/>
      </c>
      <c r="I626" t="str">
        <f>IFERROR(INDEX('Task Master'!$F:$F,MATCH($F626&amp;"||"&amp;$G626,'Task Master'!$K:$K,0)),"")</f>
        <v/>
      </c>
      <c r="J626" t="str">
        <f>IFERROR(INDEX('Task Master'!$H:$H,MATCH($F626&amp;"||"&amp;$G626,'Task Master'!$K:$K,0)),"")</f>
        <v/>
      </c>
      <c r="N626" s="18" t="str">
        <f t="shared" si="73"/>
        <v/>
      </c>
      <c r="R626" s="18">
        <f t="shared" si="74"/>
        <v>0</v>
      </c>
      <c r="V626" s="18">
        <f t="shared" si="75"/>
        <v>0</v>
      </c>
      <c r="Z626" s="18">
        <f t="shared" si="76"/>
        <v>0</v>
      </c>
      <c r="AA626" s="18"/>
      <c r="AB626" s="18">
        <f t="shared" si="77"/>
        <v>0</v>
      </c>
      <c r="AC626" s="18" t="str">
        <f t="shared" si="78"/>
        <v/>
      </c>
      <c r="AD626" s="18" t="str">
        <f t="shared" si="79"/>
        <v/>
      </c>
      <c r="AF626" t="str">
        <f>IFERROR(INDEX('Task Master'!$D:$D,MATCH($F626,'Task Master'!$C:$C,0)),"")</f>
        <v/>
      </c>
    </row>
    <row r="627" spans="1:32" x14ac:dyDescent="0.25">
      <c r="A627" t="str">
        <f t="shared" si="72"/>
        <v/>
      </c>
      <c r="B627" s="16"/>
      <c r="D627" t="str">
        <f>IF($C627="","",IFERROR(INDEX('Asset Register'!$B:$B,MATCH($C627,'Asset Register'!$A:$A,0)),""))</f>
        <v/>
      </c>
      <c r="H627" t="str">
        <f>IFERROR(INDEX('Task Master'!$E:$E,MATCH($F627&amp;"||"&amp;$G627,'Task Master'!$K:$K,0)),"")</f>
        <v/>
      </c>
      <c r="I627" t="str">
        <f>IFERROR(INDEX('Task Master'!$F:$F,MATCH($F627&amp;"||"&amp;$G627,'Task Master'!$K:$K,0)),"")</f>
        <v/>
      </c>
      <c r="J627" t="str">
        <f>IFERROR(INDEX('Task Master'!$H:$H,MATCH($F627&amp;"||"&amp;$G627,'Task Master'!$K:$K,0)),"")</f>
        <v/>
      </c>
      <c r="N627" s="18" t="str">
        <f t="shared" si="73"/>
        <v/>
      </c>
      <c r="R627" s="18">
        <f t="shared" si="74"/>
        <v>0</v>
      </c>
      <c r="V627" s="18">
        <f t="shared" si="75"/>
        <v>0</v>
      </c>
      <c r="Z627" s="18">
        <f t="shared" si="76"/>
        <v>0</v>
      </c>
      <c r="AA627" s="18"/>
      <c r="AB627" s="18">
        <f t="shared" si="77"/>
        <v>0</v>
      </c>
      <c r="AC627" s="18" t="str">
        <f t="shared" si="78"/>
        <v/>
      </c>
      <c r="AD627" s="18" t="str">
        <f t="shared" si="79"/>
        <v/>
      </c>
      <c r="AF627" t="str">
        <f>IFERROR(INDEX('Task Master'!$D:$D,MATCH($F627,'Task Master'!$C:$C,0)),"")</f>
        <v/>
      </c>
    </row>
    <row r="628" spans="1:32" x14ac:dyDescent="0.25">
      <c r="A628" t="str">
        <f t="shared" si="72"/>
        <v/>
      </c>
      <c r="B628" s="16"/>
      <c r="D628" t="str">
        <f>IF($C628="","",IFERROR(INDEX('Asset Register'!$B:$B,MATCH($C628,'Asset Register'!$A:$A,0)),""))</f>
        <v/>
      </c>
      <c r="H628" t="str">
        <f>IFERROR(INDEX('Task Master'!$E:$E,MATCH($F628&amp;"||"&amp;$G628,'Task Master'!$K:$K,0)),"")</f>
        <v/>
      </c>
      <c r="I628" t="str">
        <f>IFERROR(INDEX('Task Master'!$F:$F,MATCH($F628&amp;"||"&amp;$G628,'Task Master'!$K:$K,0)),"")</f>
        <v/>
      </c>
      <c r="J628" t="str">
        <f>IFERROR(INDEX('Task Master'!$H:$H,MATCH($F628&amp;"||"&amp;$G628,'Task Master'!$K:$K,0)),"")</f>
        <v/>
      </c>
      <c r="N628" s="18" t="str">
        <f t="shared" si="73"/>
        <v/>
      </c>
      <c r="R628" s="18">
        <f t="shared" si="74"/>
        <v>0</v>
      </c>
      <c r="V628" s="18">
        <f t="shared" si="75"/>
        <v>0</v>
      </c>
      <c r="Z628" s="18">
        <f t="shared" si="76"/>
        <v>0</v>
      </c>
      <c r="AA628" s="18"/>
      <c r="AB628" s="18">
        <f t="shared" si="77"/>
        <v>0</v>
      </c>
      <c r="AC628" s="18" t="str">
        <f t="shared" si="78"/>
        <v/>
      </c>
      <c r="AD628" s="18" t="str">
        <f t="shared" si="79"/>
        <v/>
      </c>
      <c r="AF628" t="str">
        <f>IFERROR(INDEX('Task Master'!$D:$D,MATCH($F628,'Task Master'!$C:$C,0)),"")</f>
        <v/>
      </c>
    </row>
    <row r="629" spans="1:32" x14ac:dyDescent="0.25">
      <c r="A629" t="str">
        <f t="shared" si="72"/>
        <v/>
      </c>
      <c r="B629" s="16"/>
      <c r="D629" t="str">
        <f>IF($C629="","",IFERROR(INDEX('Asset Register'!$B:$B,MATCH($C629,'Asset Register'!$A:$A,0)),""))</f>
        <v/>
      </c>
      <c r="H629" t="str">
        <f>IFERROR(INDEX('Task Master'!$E:$E,MATCH($F629&amp;"||"&amp;$G629,'Task Master'!$K:$K,0)),"")</f>
        <v/>
      </c>
      <c r="I629" t="str">
        <f>IFERROR(INDEX('Task Master'!$F:$F,MATCH($F629&amp;"||"&amp;$G629,'Task Master'!$K:$K,0)),"")</f>
        <v/>
      </c>
      <c r="J629" t="str">
        <f>IFERROR(INDEX('Task Master'!$H:$H,MATCH($F629&amp;"||"&amp;$G629,'Task Master'!$K:$K,0)),"")</f>
        <v/>
      </c>
      <c r="N629" s="18" t="str">
        <f t="shared" si="73"/>
        <v/>
      </c>
      <c r="R629" s="18">
        <f t="shared" si="74"/>
        <v>0</v>
      </c>
      <c r="V629" s="18">
        <f t="shared" si="75"/>
        <v>0</v>
      </c>
      <c r="Z629" s="18">
        <f t="shared" si="76"/>
        <v>0</v>
      </c>
      <c r="AA629" s="18"/>
      <c r="AB629" s="18">
        <f t="shared" si="77"/>
        <v>0</v>
      </c>
      <c r="AC629" s="18" t="str">
        <f t="shared" si="78"/>
        <v/>
      </c>
      <c r="AD629" s="18" t="str">
        <f t="shared" si="79"/>
        <v/>
      </c>
      <c r="AF629" t="str">
        <f>IFERROR(INDEX('Task Master'!$D:$D,MATCH($F629,'Task Master'!$C:$C,0)),"")</f>
        <v/>
      </c>
    </row>
    <row r="630" spans="1:32" x14ac:dyDescent="0.25">
      <c r="A630" t="str">
        <f t="shared" si="72"/>
        <v/>
      </c>
      <c r="B630" s="16"/>
      <c r="D630" t="str">
        <f>IF($C630="","",IFERROR(INDEX('Asset Register'!$B:$B,MATCH($C630,'Asset Register'!$A:$A,0)),""))</f>
        <v/>
      </c>
      <c r="H630" t="str">
        <f>IFERROR(INDEX('Task Master'!$E:$E,MATCH($F630&amp;"||"&amp;$G630,'Task Master'!$K:$K,0)),"")</f>
        <v/>
      </c>
      <c r="I630" t="str">
        <f>IFERROR(INDEX('Task Master'!$F:$F,MATCH($F630&amp;"||"&amp;$G630,'Task Master'!$K:$K,0)),"")</f>
        <v/>
      </c>
      <c r="J630" t="str">
        <f>IFERROR(INDEX('Task Master'!$H:$H,MATCH($F630&amp;"||"&amp;$G630,'Task Master'!$K:$K,0)),"")</f>
        <v/>
      </c>
      <c r="N630" s="18" t="str">
        <f t="shared" si="73"/>
        <v/>
      </c>
      <c r="R630" s="18">
        <f t="shared" si="74"/>
        <v>0</v>
      </c>
      <c r="V630" s="18">
        <f t="shared" si="75"/>
        <v>0</v>
      </c>
      <c r="Z630" s="18">
        <f t="shared" si="76"/>
        <v>0</v>
      </c>
      <c r="AA630" s="18"/>
      <c r="AB630" s="18">
        <f t="shared" si="77"/>
        <v>0</v>
      </c>
      <c r="AC630" s="18" t="str">
        <f t="shared" si="78"/>
        <v/>
      </c>
      <c r="AD630" s="18" t="str">
        <f t="shared" si="79"/>
        <v/>
      </c>
      <c r="AF630" t="str">
        <f>IFERROR(INDEX('Task Master'!$D:$D,MATCH($F630,'Task Master'!$C:$C,0)),"")</f>
        <v/>
      </c>
    </row>
    <row r="631" spans="1:32" x14ac:dyDescent="0.25">
      <c r="A631" t="str">
        <f t="shared" si="72"/>
        <v/>
      </c>
      <c r="B631" s="16"/>
      <c r="D631" t="str">
        <f>IF($C631="","",IFERROR(INDEX('Asset Register'!$B:$B,MATCH($C631,'Asset Register'!$A:$A,0)),""))</f>
        <v/>
      </c>
      <c r="H631" t="str">
        <f>IFERROR(INDEX('Task Master'!$E:$E,MATCH($F631&amp;"||"&amp;$G631,'Task Master'!$K:$K,0)),"")</f>
        <v/>
      </c>
      <c r="I631" t="str">
        <f>IFERROR(INDEX('Task Master'!$F:$F,MATCH($F631&amp;"||"&amp;$G631,'Task Master'!$K:$K,0)),"")</f>
        <v/>
      </c>
      <c r="J631" t="str">
        <f>IFERROR(INDEX('Task Master'!$H:$H,MATCH($F631&amp;"||"&amp;$G631,'Task Master'!$K:$K,0)),"")</f>
        <v/>
      </c>
      <c r="N631" s="18" t="str">
        <f t="shared" si="73"/>
        <v/>
      </c>
      <c r="R631" s="18">
        <f t="shared" si="74"/>
        <v>0</v>
      </c>
      <c r="V631" s="18">
        <f t="shared" si="75"/>
        <v>0</v>
      </c>
      <c r="Z631" s="18">
        <f t="shared" si="76"/>
        <v>0</v>
      </c>
      <c r="AA631" s="18"/>
      <c r="AB631" s="18">
        <f t="shared" si="77"/>
        <v>0</v>
      </c>
      <c r="AC631" s="18" t="str">
        <f t="shared" si="78"/>
        <v/>
      </c>
      <c r="AD631" s="18" t="str">
        <f t="shared" si="79"/>
        <v/>
      </c>
      <c r="AF631" t="str">
        <f>IFERROR(INDEX('Task Master'!$D:$D,MATCH($F631,'Task Master'!$C:$C,0)),"")</f>
        <v/>
      </c>
    </row>
    <row r="632" spans="1:32" x14ac:dyDescent="0.25">
      <c r="A632" t="str">
        <f t="shared" si="72"/>
        <v/>
      </c>
      <c r="B632" s="16"/>
      <c r="D632" t="str">
        <f>IF($C632="","",IFERROR(INDEX('Asset Register'!$B:$B,MATCH($C632,'Asset Register'!$A:$A,0)),""))</f>
        <v/>
      </c>
      <c r="H632" t="str">
        <f>IFERROR(INDEX('Task Master'!$E:$E,MATCH($F632&amp;"||"&amp;$G632,'Task Master'!$K:$K,0)),"")</f>
        <v/>
      </c>
      <c r="I632" t="str">
        <f>IFERROR(INDEX('Task Master'!$F:$F,MATCH($F632&amp;"||"&amp;$G632,'Task Master'!$K:$K,0)),"")</f>
        <v/>
      </c>
      <c r="J632" t="str">
        <f>IFERROR(INDEX('Task Master'!$H:$H,MATCH($F632&amp;"||"&amp;$G632,'Task Master'!$K:$K,0)),"")</f>
        <v/>
      </c>
      <c r="N632" s="18" t="str">
        <f t="shared" si="73"/>
        <v/>
      </c>
      <c r="R632" s="18">
        <f t="shared" si="74"/>
        <v>0</v>
      </c>
      <c r="V632" s="18">
        <f t="shared" si="75"/>
        <v>0</v>
      </c>
      <c r="Z632" s="18">
        <f t="shared" si="76"/>
        <v>0</v>
      </c>
      <c r="AA632" s="18"/>
      <c r="AB632" s="18">
        <f t="shared" si="77"/>
        <v>0</v>
      </c>
      <c r="AC632" s="18" t="str">
        <f t="shared" si="78"/>
        <v/>
      </c>
      <c r="AD632" s="18" t="str">
        <f t="shared" si="79"/>
        <v/>
      </c>
      <c r="AF632" t="str">
        <f>IFERROR(INDEX('Task Master'!$D:$D,MATCH($F632,'Task Master'!$C:$C,0)),"")</f>
        <v/>
      </c>
    </row>
    <row r="633" spans="1:32" x14ac:dyDescent="0.25">
      <c r="A633" t="str">
        <f t="shared" si="72"/>
        <v/>
      </c>
      <c r="B633" s="16"/>
      <c r="D633" t="str">
        <f>IF($C633="","",IFERROR(INDEX('Asset Register'!$B:$B,MATCH($C633,'Asset Register'!$A:$A,0)),""))</f>
        <v/>
      </c>
      <c r="H633" t="str">
        <f>IFERROR(INDEX('Task Master'!$E:$E,MATCH($F633&amp;"||"&amp;$G633,'Task Master'!$K:$K,0)),"")</f>
        <v/>
      </c>
      <c r="I633" t="str">
        <f>IFERROR(INDEX('Task Master'!$F:$F,MATCH($F633&amp;"||"&amp;$G633,'Task Master'!$K:$K,0)),"")</f>
        <v/>
      </c>
      <c r="J633" t="str">
        <f>IFERROR(INDEX('Task Master'!$H:$H,MATCH($F633&amp;"||"&amp;$G633,'Task Master'!$K:$K,0)),"")</f>
        <v/>
      </c>
      <c r="N633" s="18" t="str">
        <f t="shared" si="73"/>
        <v/>
      </c>
      <c r="R633" s="18">
        <f t="shared" si="74"/>
        <v>0</v>
      </c>
      <c r="V633" s="18">
        <f t="shared" si="75"/>
        <v>0</v>
      </c>
      <c r="Z633" s="18">
        <f t="shared" si="76"/>
        <v>0</v>
      </c>
      <c r="AA633" s="18"/>
      <c r="AB633" s="18">
        <f t="shared" si="77"/>
        <v>0</v>
      </c>
      <c r="AC633" s="18" t="str">
        <f t="shared" si="78"/>
        <v/>
      </c>
      <c r="AD633" s="18" t="str">
        <f t="shared" si="79"/>
        <v/>
      </c>
      <c r="AF633" t="str">
        <f>IFERROR(INDEX('Task Master'!$D:$D,MATCH($F633,'Task Master'!$C:$C,0)),"")</f>
        <v/>
      </c>
    </row>
    <row r="634" spans="1:32" x14ac:dyDescent="0.25">
      <c r="A634" t="str">
        <f t="shared" si="72"/>
        <v/>
      </c>
      <c r="B634" s="16"/>
      <c r="D634" t="str">
        <f>IF($C634="","",IFERROR(INDEX('Asset Register'!$B:$B,MATCH($C634,'Asset Register'!$A:$A,0)),""))</f>
        <v/>
      </c>
      <c r="H634" t="str">
        <f>IFERROR(INDEX('Task Master'!$E:$E,MATCH($F634&amp;"||"&amp;$G634,'Task Master'!$K:$K,0)),"")</f>
        <v/>
      </c>
      <c r="I634" t="str">
        <f>IFERROR(INDEX('Task Master'!$F:$F,MATCH($F634&amp;"||"&amp;$G634,'Task Master'!$K:$K,0)),"")</f>
        <v/>
      </c>
      <c r="J634" t="str">
        <f>IFERROR(INDEX('Task Master'!$H:$H,MATCH($F634&amp;"||"&amp;$G634,'Task Master'!$K:$K,0)),"")</f>
        <v/>
      </c>
      <c r="N634" s="18" t="str">
        <f t="shared" si="73"/>
        <v/>
      </c>
      <c r="R634" s="18">
        <f t="shared" si="74"/>
        <v>0</v>
      </c>
      <c r="V634" s="18">
        <f t="shared" si="75"/>
        <v>0</v>
      </c>
      <c r="Z634" s="18">
        <f t="shared" si="76"/>
        <v>0</v>
      </c>
      <c r="AA634" s="18"/>
      <c r="AB634" s="18">
        <f t="shared" si="77"/>
        <v>0</v>
      </c>
      <c r="AC634" s="18" t="str">
        <f t="shared" si="78"/>
        <v/>
      </c>
      <c r="AD634" s="18" t="str">
        <f t="shared" si="79"/>
        <v/>
      </c>
      <c r="AF634" t="str">
        <f>IFERROR(INDEX('Task Master'!$D:$D,MATCH($F634,'Task Master'!$C:$C,0)),"")</f>
        <v/>
      </c>
    </row>
    <row r="635" spans="1:32" x14ac:dyDescent="0.25">
      <c r="A635" t="str">
        <f t="shared" si="72"/>
        <v/>
      </c>
      <c r="B635" s="16"/>
      <c r="D635" t="str">
        <f>IF($C635="","",IFERROR(INDEX('Asset Register'!$B:$B,MATCH($C635,'Asset Register'!$A:$A,0)),""))</f>
        <v/>
      </c>
      <c r="H635" t="str">
        <f>IFERROR(INDEX('Task Master'!$E:$E,MATCH($F635&amp;"||"&amp;$G635,'Task Master'!$K:$K,0)),"")</f>
        <v/>
      </c>
      <c r="I635" t="str">
        <f>IFERROR(INDEX('Task Master'!$F:$F,MATCH($F635&amp;"||"&amp;$G635,'Task Master'!$K:$K,0)),"")</f>
        <v/>
      </c>
      <c r="J635" t="str">
        <f>IFERROR(INDEX('Task Master'!$H:$H,MATCH($F635&amp;"||"&amp;$G635,'Task Master'!$K:$K,0)),"")</f>
        <v/>
      </c>
      <c r="N635" s="18" t="str">
        <f t="shared" si="73"/>
        <v/>
      </c>
      <c r="R635" s="18">
        <f t="shared" si="74"/>
        <v>0</v>
      </c>
      <c r="V635" s="18">
        <f t="shared" si="75"/>
        <v>0</v>
      </c>
      <c r="Z635" s="18">
        <f t="shared" si="76"/>
        <v>0</v>
      </c>
      <c r="AA635" s="18"/>
      <c r="AB635" s="18">
        <f t="shared" si="77"/>
        <v>0</v>
      </c>
      <c r="AC635" s="18" t="str">
        <f t="shared" si="78"/>
        <v/>
      </c>
      <c r="AD635" s="18" t="str">
        <f t="shared" si="79"/>
        <v/>
      </c>
      <c r="AF635" t="str">
        <f>IFERROR(INDEX('Task Master'!$D:$D,MATCH($F635,'Task Master'!$C:$C,0)),"")</f>
        <v/>
      </c>
    </row>
    <row r="636" spans="1:32" x14ac:dyDescent="0.25">
      <c r="A636" t="str">
        <f t="shared" si="72"/>
        <v/>
      </c>
      <c r="B636" s="16"/>
      <c r="D636" t="str">
        <f>IF($C636="","",IFERROR(INDEX('Asset Register'!$B:$B,MATCH($C636,'Asset Register'!$A:$A,0)),""))</f>
        <v/>
      </c>
      <c r="H636" t="str">
        <f>IFERROR(INDEX('Task Master'!$E:$E,MATCH($F636&amp;"||"&amp;$G636,'Task Master'!$K:$K,0)),"")</f>
        <v/>
      </c>
      <c r="I636" t="str">
        <f>IFERROR(INDEX('Task Master'!$F:$F,MATCH($F636&amp;"||"&amp;$G636,'Task Master'!$K:$K,0)),"")</f>
        <v/>
      </c>
      <c r="J636" t="str">
        <f>IFERROR(INDEX('Task Master'!$H:$H,MATCH($F636&amp;"||"&amp;$G636,'Task Master'!$K:$K,0)),"")</f>
        <v/>
      </c>
      <c r="N636" s="18" t="str">
        <f t="shared" si="73"/>
        <v/>
      </c>
      <c r="R636" s="18">
        <f t="shared" si="74"/>
        <v>0</v>
      </c>
      <c r="V636" s="18">
        <f t="shared" si="75"/>
        <v>0</v>
      </c>
      <c r="Z636" s="18">
        <f t="shared" si="76"/>
        <v>0</v>
      </c>
      <c r="AA636" s="18"/>
      <c r="AB636" s="18">
        <f t="shared" si="77"/>
        <v>0</v>
      </c>
      <c r="AC636" s="18" t="str">
        <f t="shared" si="78"/>
        <v/>
      </c>
      <c r="AD636" s="18" t="str">
        <f t="shared" si="79"/>
        <v/>
      </c>
      <c r="AF636" t="str">
        <f>IFERROR(INDEX('Task Master'!$D:$D,MATCH($F636,'Task Master'!$C:$C,0)),"")</f>
        <v/>
      </c>
    </row>
    <row r="637" spans="1:32" x14ac:dyDescent="0.25">
      <c r="A637" t="str">
        <f t="shared" si="72"/>
        <v/>
      </c>
      <c r="B637" s="16"/>
      <c r="D637" t="str">
        <f>IF($C637="","",IFERROR(INDEX('Asset Register'!$B:$B,MATCH($C637,'Asset Register'!$A:$A,0)),""))</f>
        <v/>
      </c>
      <c r="H637" t="str">
        <f>IFERROR(INDEX('Task Master'!$E:$E,MATCH($F637&amp;"||"&amp;$G637,'Task Master'!$K:$K,0)),"")</f>
        <v/>
      </c>
      <c r="I637" t="str">
        <f>IFERROR(INDEX('Task Master'!$F:$F,MATCH($F637&amp;"||"&amp;$G637,'Task Master'!$K:$K,0)),"")</f>
        <v/>
      </c>
      <c r="J637" t="str">
        <f>IFERROR(INDEX('Task Master'!$H:$H,MATCH($F637&amp;"||"&amp;$G637,'Task Master'!$K:$K,0)),"")</f>
        <v/>
      </c>
      <c r="N637" s="18" t="str">
        <f t="shared" si="73"/>
        <v/>
      </c>
      <c r="R637" s="18">
        <f t="shared" si="74"/>
        <v>0</v>
      </c>
      <c r="V637" s="18">
        <f t="shared" si="75"/>
        <v>0</v>
      </c>
      <c r="Z637" s="18">
        <f t="shared" si="76"/>
        <v>0</v>
      </c>
      <c r="AA637" s="18"/>
      <c r="AB637" s="18">
        <f t="shared" si="77"/>
        <v>0</v>
      </c>
      <c r="AC637" s="18" t="str">
        <f t="shared" si="78"/>
        <v/>
      </c>
      <c r="AD637" s="18" t="str">
        <f t="shared" si="79"/>
        <v/>
      </c>
      <c r="AF637" t="str">
        <f>IFERROR(INDEX('Task Master'!$D:$D,MATCH($F637,'Task Master'!$C:$C,0)),"")</f>
        <v/>
      </c>
    </row>
    <row r="638" spans="1:32" x14ac:dyDescent="0.25">
      <c r="A638" t="str">
        <f t="shared" si="72"/>
        <v/>
      </c>
      <c r="B638" s="16"/>
      <c r="D638" t="str">
        <f>IF($C638="","",IFERROR(INDEX('Asset Register'!$B:$B,MATCH($C638,'Asset Register'!$A:$A,0)),""))</f>
        <v/>
      </c>
      <c r="H638" t="str">
        <f>IFERROR(INDEX('Task Master'!$E:$E,MATCH($F638&amp;"||"&amp;$G638,'Task Master'!$K:$K,0)),"")</f>
        <v/>
      </c>
      <c r="I638" t="str">
        <f>IFERROR(INDEX('Task Master'!$F:$F,MATCH($F638&amp;"||"&amp;$G638,'Task Master'!$K:$K,0)),"")</f>
        <v/>
      </c>
      <c r="J638" t="str">
        <f>IFERROR(INDEX('Task Master'!$H:$H,MATCH($F638&amp;"||"&amp;$G638,'Task Master'!$K:$K,0)),"")</f>
        <v/>
      </c>
      <c r="N638" s="18" t="str">
        <f t="shared" si="73"/>
        <v/>
      </c>
      <c r="R638" s="18">
        <f t="shared" si="74"/>
        <v>0</v>
      </c>
      <c r="V638" s="18">
        <f t="shared" si="75"/>
        <v>0</v>
      </c>
      <c r="Z638" s="18">
        <f t="shared" si="76"/>
        <v>0</v>
      </c>
      <c r="AA638" s="18"/>
      <c r="AB638" s="18">
        <f t="shared" si="77"/>
        <v>0</v>
      </c>
      <c r="AC638" s="18" t="str">
        <f t="shared" si="78"/>
        <v/>
      </c>
      <c r="AD638" s="18" t="str">
        <f t="shared" si="79"/>
        <v/>
      </c>
      <c r="AF638" t="str">
        <f>IFERROR(INDEX('Task Master'!$D:$D,MATCH($F638,'Task Master'!$C:$C,0)),"")</f>
        <v/>
      </c>
    </row>
    <row r="639" spans="1:32" x14ac:dyDescent="0.25">
      <c r="A639" t="str">
        <f t="shared" si="72"/>
        <v/>
      </c>
      <c r="B639" s="16"/>
      <c r="D639" t="str">
        <f>IF($C639="","",IFERROR(INDEX('Asset Register'!$B:$B,MATCH($C639,'Asset Register'!$A:$A,0)),""))</f>
        <v/>
      </c>
      <c r="H639" t="str">
        <f>IFERROR(INDEX('Task Master'!$E:$E,MATCH($F639&amp;"||"&amp;$G639,'Task Master'!$K:$K,0)),"")</f>
        <v/>
      </c>
      <c r="I639" t="str">
        <f>IFERROR(INDEX('Task Master'!$F:$F,MATCH($F639&amp;"||"&amp;$G639,'Task Master'!$K:$K,0)),"")</f>
        <v/>
      </c>
      <c r="J639" t="str">
        <f>IFERROR(INDEX('Task Master'!$H:$H,MATCH($F639&amp;"||"&amp;$G639,'Task Master'!$K:$K,0)),"")</f>
        <v/>
      </c>
      <c r="N639" s="18" t="str">
        <f t="shared" si="73"/>
        <v/>
      </c>
      <c r="R639" s="18">
        <f t="shared" si="74"/>
        <v>0</v>
      </c>
      <c r="V639" s="18">
        <f t="shared" si="75"/>
        <v>0</v>
      </c>
      <c r="Z639" s="18">
        <f t="shared" si="76"/>
        <v>0</v>
      </c>
      <c r="AA639" s="18"/>
      <c r="AB639" s="18">
        <f t="shared" si="77"/>
        <v>0</v>
      </c>
      <c r="AC639" s="18" t="str">
        <f t="shared" si="78"/>
        <v/>
      </c>
      <c r="AD639" s="18" t="str">
        <f t="shared" si="79"/>
        <v/>
      </c>
      <c r="AF639" t="str">
        <f>IFERROR(INDEX('Task Master'!$D:$D,MATCH($F639,'Task Master'!$C:$C,0)),"")</f>
        <v/>
      </c>
    </row>
    <row r="640" spans="1:32" x14ac:dyDescent="0.25">
      <c r="A640" t="str">
        <f t="shared" si="72"/>
        <v/>
      </c>
      <c r="B640" s="16"/>
      <c r="D640" t="str">
        <f>IF($C640="","",IFERROR(INDEX('Asset Register'!$B:$B,MATCH($C640,'Asset Register'!$A:$A,0)),""))</f>
        <v/>
      </c>
      <c r="H640" t="str">
        <f>IFERROR(INDEX('Task Master'!$E:$E,MATCH($F640&amp;"||"&amp;$G640,'Task Master'!$K:$K,0)),"")</f>
        <v/>
      </c>
      <c r="I640" t="str">
        <f>IFERROR(INDEX('Task Master'!$F:$F,MATCH($F640&amp;"||"&amp;$G640,'Task Master'!$K:$K,0)),"")</f>
        <v/>
      </c>
      <c r="J640" t="str">
        <f>IFERROR(INDEX('Task Master'!$H:$H,MATCH($F640&amp;"||"&amp;$G640,'Task Master'!$K:$K,0)),"")</f>
        <v/>
      </c>
      <c r="N640" s="18" t="str">
        <f t="shared" si="73"/>
        <v/>
      </c>
      <c r="R640" s="18">
        <f t="shared" si="74"/>
        <v>0</v>
      </c>
      <c r="V640" s="18">
        <f t="shared" si="75"/>
        <v>0</v>
      </c>
      <c r="Z640" s="18">
        <f t="shared" si="76"/>
        <v>0</v>
      </c>
      <c r="AA640" s="18"/>
      <c r="AB640" s="18">
        <f t="shared" si="77"/>
        <v>0</v>
      </c>
      <c r="AC640" s="18" t="str">
        <f t="shared" si="78"/>
        <v/>
      </c>
      <c r="AD640" s="18" t="str">
        <f t="shared" si="79"/>
        <v/>
      </c>
      <c r="AF640" t="str">
        <f>IFERROR(INDEX('Task Master'!$D:$D,MATCH($F640,'Task Master'!$C:$C,0)),"")</f>
        <v/>
      </c>
    </row>
    <row r="641" spans="1:32" x14ac:dyDescent="0.25">
      <c r="A641" t="str">
        <f t="shared" si="72"/>
        <v/>
      </c>
      <c r="B641" s="16"/>
      <c r="D641" t="str">
        <f>IF($C641="","",IFERROR(INDEX('Asset Register'!$B:$B,MATCH($C641,'Asset Register'!$A:$A,0)),""))</f>
        <v/>
      </c>
      <c r="H641" t="str">
        <f>IFERROR(INDEX('Task Master'!$E:$E,MATCH($F641&amp;"||"&amp;$G641,'Task Master'!$K:$K,0)),"")</f>
        <v/>
      </c>
      <c r="I641" t="str">
        <f>IFERROR(INDEX('Task Master'!$F:$F,MATCH($F641&amp;"||"&amp;$G641,'Task Master'!$K:$K,0)),"")</f>
        <v/>
      </c>
      <c r="J641" t="str">
        <f>IFERROR(INDEX('Task Master'!$H:$H,MATCH($F641&amp;"||"&amp;$G641,'Task Master'!$K:$K,0)),"")</f>
        <v/>
      </c>
      <c r="N641" s="18" t="str">
        <f t="shared" si="73"/>
        <v/>
      </c>
      <c r="R641" s="18">
        <f t="shared" si="74"/>
        <v>0</v>
      </c>
      <c r="V641" s="18">
        <f t="shared" si="75"/>
        <v>0</v>
      </c>
      <c r="Z641" s="18">
        <f t="shared" si="76"/>
        <v>0</v>
      </c>
      <c r="AA641" s="18"/>
      <c r="AB641" s="18">
        <f t="shared" si="77"/>
        <v>0</v>
      </c>
      <c r="AC641" s="18" t="str">
        <f t="shared" si="78"/>
        <v/>
      </c>
      <c r="AD641" s="18" t="str">
        <f t="shared" si="79"/>
        <v/>
      </c>
      <c r="AF641" t="str">
        <f>IFERROR(INDEX('Task Master'!$D:$D,MATCH($F641,'Task Master'!$C:$C,0)),"")</f>
        <v/>
      </c>
    </row>
    <row r="642" spans="1:32" x14ac:dyDescent="0.25">
      <c r="A642" t="str">
        <f t="shared" ref="A642:A705" si="80">IF(B642="","",ROW()-1)</f>
        <v/>
      </c>
      <c r="B642" s="16"/>
      <c r="D642" t="str">
        <f>IF($C642="","",IFERROR(INDEX('Asset Register'!$B:$B,MATCH($C642,'Asset Register'!$A:$A,0)),""))</f>
        <v/>
      </c>
      <c r="H642" t="str">
        <f>IFERROR(INDEX('Task Master'!$E:$E,MATCH($F642&amp;"||"&amp;$G642,'Task Master'!$K:$K,0)),"")</f>
        <v/>
      </c>
      <c r="I642" t="str">
        <f>IFERROR(INDEX('Task Master'!$F:$F,MATCH($F642&amp;"||"&amp;$G642,'Task Master'!$K:$K,0)),"")</f>
        <v/>
      </c>
      <c r="J642" t="str">
        <f>IFERROR(INDEX('Task Master'!$H:$H,MATCH($F642&amp;"||"&amp;$G642,'Task Master'!$K:$K,0)),"")</f>
        <v/>
      </c>
      <c r="N642" s="18" t="str">
        <f t="shared" ref="N642:N705" si="81">IF(OR($K642="",$L642="",$M642=""),"",$K642*$L642*$M642)</f>
        <v/>
      </c>
      <c r="R642" s="18">
        <f t="shared" ref="R642:R705" si="82">IF(OR($P642="",$Q642=""),0,$P642*$Q642)</f>
        <v>0</v>
      </c>
      <c r="V642" s="18">
        <f t="shared" ref="V642:V705" si="83">IF(OR($T642="",$U642=""),0,$T642*$U642)</f>
        <v>0</v>
      </c>
      <c r="Z642" s="18">
        <f t="shared" ref="Z642:Z705" si="84">IF(OR($X642="",$Y642=""),0,$X642*$Y642)</f>
        <v>0</v>
      </c>
      <c r="AA642" s="18"/>
      <c r="AB642" s="18">
        <f t="shared" ref="AB642:AB705" si="85">$R642+$V642+$Z642</f>
        <v>0</v>
      </c>
      <c r="AC642" s="18" t="str">
        <f t="shared" ref="AC642:AC705" si="86">IF($B642="","",$AB642+$AA642+$N642)</f>
        <v/>
      </c>
      <c r="AD642" s="18" t="str">
        <f t="shared" ref="AD642:AD705" si="87">IF(OR($K642="",$K642=0,$AC642=""),"",$AC642/$K642)</f>
        <v/>
      </c>
      <c r="AF642" t="str">
        <f>IFERROR(INDEX('Task Master'!$D:$D,MATCH($F642,'Task Master'!$C:$C,0)),"")</f>
        <v/>
      </c>
    </row>
    <row r="643" spans="1:32" x14ac:dyDescent="0.25">
      <c r="A643" t="str">
        <f t="shared" si="80"/>
        <v/>
      </c>
      <c r="B643" s="16"/>
      <c r="D643" t="str">
        <f>IF($C643="","",IFERROR(INDEX('Asset Register'!$B:$B,MATCH($C643,'Asset Register'!$A:$A,0)),""))</f>
        <v/>
      </c>
      <c r="H643" t="str">
        <f>IFERROR(INDEX('Task Master'!$E:$E,MATCH($F643&amp;"||"&amp;$G643,'Task Master'!$K:$K,0)),"")</f>
        <v/>
      </c>
      <c r="I643" t="str">
        <f>IFERROR(INDEX('Task Master'!$F:$F,MATCH($F643&amp;"||"&amp;$G643,'Task Master'!$K:$K,0)),"")</f>
        <v/>
      </c>
      <c r="J643" t="str">
        <f>IFERROR(INDEX('Task Master'!$H:$H,MATCH($F643&amp;"||"&amp;$G643,'Task Master'!$K:$K,0)),"")</f>
        <v/>
      </c>
      <c r="N643" s="18" t="str">
        <f t="shared" si="81"/>
        <v/>
      </c>
      <c r="R643" s="18">
        <f t="shared" si="82"/>
        <v>0</v>
      </c>
      <c r="V643" s="18">
        <f t="shared" si="83"/>
        <v>0</v>
      </c>
      <c r="Z643" s="18">
        <f t="shared" si="84"/>
        <v>0</v>
      </c>
      <c r="AA643" s="18"/>
      <c r="AB643" s="18">
        <f t="shared" si="85"/>
        <v>0</v>
      </c>
      <c r="AC643" s="18" t="str">
        <f t="shared" si="86"/>
        <v/>
      </c>
      <c r="AD643" s="18" t="str">
        <f t="shared" si="87"/>
        <v/>
      </c>
      <c r="AF643" t="str">
        <f>IFERROR(INDEX('Task Master'!$D:$D,MATCH($F643,'Task Master'!$C:$C,0)),"")</f>
        <v/>
      </c>
    </row>
    <row r="644" spans="1:32" x14ac:dyDescent="0.25">
      <c r="A644" t="str">
        <f t="shared" si="80"/>
        <v/>
      </c>
      <c r="B644" s="16"/>
      <c r="D644" t="str">
        <f>IF($C644="","",IFERROR(INDEX('Asset Register'!$B:$B,MATCH($C644,'Asset Register'!$A:$A,0)),""))</f>
        <v/>
      </c>
      <c r="H644" t="str">
        <f>IFERROR(INDEX('Task Master'!$E:$E,MATCH($F644&amp;"||"&amp;$G644,'Task Master'!$K:$K,0)),"")</f>
        <v/>
      </c>
      <c r="I644" t="str">
        <f>IFERROR(INDEX('Task Master'!$F:$F,MATCH($F644&amp;"||"&amp;$G644,'Task Master'!$K:$K,0)),"")</f>
        <v/>
      </c>
      <c r="J644" t="str">
        <f>IFERROR(INDEX('Task Master'!$H:$H,MATCH($F644&amp;"||"&amp;$G644,'Task Master'!$K:$K,0)),"")</f>
        <v/>
      </c>
      <c r="N644" s="18" t="str">
        <f t="shared" si="81"/>
        <v/>
      </c>
      <c r="R644" s="18">
        <f t="shared" si="82"/>
        <v>0</v>
      </c>
      <c r="V644" s="18">
        <f t="shared" si="83"/>
        <v>0</v>
      </c>
      <c r="Z644" s="18">
        <f t="shared" si="84"/>
        <v>0</v>
      </c>
      <c r="AA644" s="18"/>
      <c r="AB644" s="18">
        <f t="shared" si="85"/>
        <v>0</v>
      </c>
      <c r="AC644" s="18" t="str">
        <f t="shared" si="86"/>
        <v/>
      </c>
      <c r="AD644" s="18" t="str">
        <f t="shared" si="87"/>
        <v/>
      </c>
      <c r="AF644" t="str">
        <f>IFERROR(INDEX('Task Master'!$D:$D,MATCH($F644,'Task Master'!$C:$C,0)),"")</f>
        <v/>
      </c>
    </row>
    <row r="645" spans="1:32" x14ac:dyDescent="0.25">
      <c r="A645" t="str">
        <f t="shared" si="80"/>
        <v/>
      </c>
      <c r="B645" s="16"/>
      <c r="D645" t="str">
        <f>IF($C645="","",IFERROR(INDEX('Asset Register'!$B:$B,MATCH($C645,'Asset Register'!$A:$A,0)),""))</f>
        <v/>
      </c>
      <c r="H645" t="str">
        <f>IFERROR(INDEX('Task Master'!$E:$E,MATCH($F645&amp;"||"&amp;$G645,'Task Master'!$K:$K,0)),"")</f>
        <v/>
      </c>
      <c r="I645" t="str">
        <f>IFERROR(INDEX('Task Master'!$F:$F,MATCH($F645&amp;"||"&amp;$G645,'Task Master'!$K:$K,0)),"")</f>
        <v/>
      </c>
      <c r="J645" t="str">
        <f>IFERROR(INDEX('Task Master'!$H:$H,MATCH($F645&amp;"||"&amp;$G645,'Task Master'!$K:$K,0)),"")</f>
        <v/>
      </c>
      <c r="N645" s="18" t="str">
        <f t="shared" si="81"/>
        <v/>
      </c>
      <c r="R645" s="18">
        <f t="shared" si="82"/>
        <v>0</v>
      </c>
      <c r="V645" s="18">
        <f t="shared" si="83"/>
        <v>0</v>
      </c>
      <c r="Z645" s="18">
        <f t="shared" si="84"/>
        <v>0</v>
      </c>
      <c r="AA645" s="18"/>
      <c r="AB645" s="18">
        <f t="shared" si="85"/>
        <v>0</v>
      </c>
      <c r="AC645" s="18" t="str">
        <f t="shared" si="86"/>
        <v/>
      </c>
      <c r="AD645" s="18" t="str">
        <f t="shared" si="87"/>
        <v/>
      </c>
      <c r="AF645" t="str">
        <f>IFERROR(INDEX('Task Master'!$D:$D,MATCH($F645,'Task Master'!$C:$C,0)),"")</f>
        <v/>
      </c>
    </row>
    <row r="646" spans="1:32" x14ac:dyDescent="0.25">
      <c r="A646" t="str">
        <f t="shared" si="80"/>
        <v/>
      </c>
      <c r="B646" s="16"/>
      <c r="D646" t="str">
        <f>IF($C646="","",IFERROR(INDEX('Asset Register'!$B:$B,MATCH($C646,'Asset Register'!$A:$A,0)),""))</f>
        <v/>
      </c>
      <c r="H646" t="str">
        <f>IFERROR(INDEX('Task Master'!$E:$E,MATCH($F646&amp;"||"&amp;$G646,'Task Master'!$K:$K,0)),"")</f>
        <v/>
      </c>
      <c r="I646" t="str">
        <f>IFERROR(INDEX('Task Master'!$F:$F,MATCH($F646&amp;"||"&amp;$G646,'Task Master'!$K:$K,0)),"")</f>
        <v/>
      </c>
      <c r="J646" t="str">
        <f>IFERROR(INDEX('Task Master'!$H:$H,MATCH($F646&amp;"||"&amp;$G646,'Task Master'!$K:$K,0)),"")</f>
        <v/>
      </c>
      <c r="N646" s="18" t="str">
        <f t="shared" si="81"/>
        <v/>
      </c>
      <c r="R646" s="18">
        <f t="shared" si="82"/>
        <v>0</v>
      </c>
      <c r="V646" s="18">
        <f t="shared" si="83"/>
        <v>0</v>
      </c>
      <c r="Z646" s="18">
        <f t="shared" si="84"/>
        <v>0</v>
      </c>
      <c r="AA646" s="18"/>
      <c r="AB646" s="18">
        <f t="shared" si="85"/>
        <v>0</v>
      </c>
      <c r="AC646" s="18" t="str">
        <f t="shared" si="86"/>
        <v/>
      </c>
      <c r="AD646" s="18" t="str">
        <f t="shared" si="87"/>
        <v/>
      </c>
      <c r="AF646" t="str">
        <f>IFERROR(INDEX('Task Master'!$D:$D,MATCH($F646,'Task Master'!$C:$C,0)),"")</f>
        <v/>
      </c>
    </row>
    <row r="647" spans="1:32" x14ac:dyDescent="0.25">
      <c r="A647" t="str">
        <f t="shared" si="80"/>
        <v/>
      </c>
      <c r="B647" s="16"/>
      <c r="D647" t="str">
        <f>IF($C647="","",IFERROR(INDEX('Asset Register'!$B:$B,MATCH($C647,'Asset Register'!$A:$A,0)),""))</f>
        <v/>
      </c>
      <c r="H647" t="str">
        <f>IFERROR(INDEX('Task Master'!$E:$E,MATCH($F647&amp;"||"&amp;$G647,'Task Master'!$K:$K,0)),"")</f>
        <v/>
      </c>
      <c r="I647" t="str">
        <f>IFERROR(INDEX('Task Master'!$F:$F,MATCH($F647&amp;"||"&amp;$G647,'Task Master'!$K:$K,0)),"")</f>
        <v/>
      </c>
      <c r="J647" t="str">
        <f>IFERROR(INDEX('Task Master'!$H:$H,MATCH($F647&amp;"||"&amp;$G647,'Task Master'!$K:$K,0)),"")</f>
        <v/>
      </c>
      <c r="N647" s="18" t="str">
        <f t="shared" si="81"/>
        <v/>
      </c>
      <c r="R647" s="18">
        <f t="shared" si="82"/>
        <v>0</v>
      </c>
      <c r="V647" s="18">
        <f t="shared" si="83"/>
        <v>0</v>
      </c>
      <c r="Z647" s="18">
        <f t="shared" si="84"/>
        <v>0</v>
      </c>
      <c r="AA647" s="18"/>
      <c r="AB647" s="18">
        <f t="shared" si="85"/>
        <v>0</v>
      </c>
      <c r="AC647" s="18" t="str">
        <f t="shared" si="86"/>
        <v/>
      </c>
      <c r="AD647" s="18" t="str">
        <f t="shared" si="87"/>
        <v/>
      </c>
      <c r="AF647" t="str">
        <f>IFERROR(INDEX('Task Master'!$D:$D,MATCH($F647,'Task Master'!$C:$C,0)),"")</f>
        <v/>
      </c>
    </row>
    <row r="648" spans="1:32" x14ac:dyDescent="0.25">
      <c r="A648" t="str">
        <f t="shared" si="80"/>
        <v/>
      </c>
      <c r="B648" s="16"/>
      <c r="D648" t="str">
        <f>IF($C648="","",IFERROR(INDEX('Asset Register'!$B:$B,MATCH($C648,'Asset Register'!$A:$A,0)),""))</f>
        <v/>
      </c>
      <c r="H648" t="str">
        <f>IFERROR(INDEX('Task Master'!$E:$E,MATCH($F648&amp;"||"&amp;$G648,'Task Master'!$K:$K,0)),"")</f>
        <v/>
      </c>
      <c r="I648" t="str">
        <f>IFERROR(INDEX('Task Master'!$F:$F,MATCH($F648&amp;"||"&amp;$G648,'Task Master'!$K:$K,0)),"")</f>
        <v/>
      </c>
      <c r="J648" t="str">
        <f>IFERROR(INDEX('Task Master'!$H:$H,MATCH($F648&amp;"||"&amp;$G648,'Task Master'!$K:$K,0)),"")</f>
        <v/>
      </c>
      <c r="N648" s="18" t="str">
        <f t="shared" si="81"/>
        <v/>
      </c>
      <c r="R648" s="18">
        <f t="shared" si="82"/>
        <v>0</v>
      </c>
      <c r="V648" s="18">
        <f t="shared" si="83"/>
        <v>0</v>
      </c>
      <c r="Z648" s="18">
        <f t="shared" si="84"/>
        <v>0</v>
      </c>
      <c r="AA648" s="18"/>
      <c r="AB648" s="18">
        <f t="shared" si="85"/>
        <v>0</v>
      </c>
      <c r="AC648" s="18" t="str">
        <f t="shared" si="86"/>
        <v/>
      </c>
      <c r="AD648" s="18" t="str">
        <f t="shared" si="87"/>
        <v/>
      </c>
      <c r="AF648" t="str">
        <f>IFERROR(INDEX('Task Master'!$D:$D,MATCH($F648,'Task Master'!$C:$C,0)),"")</f>
        <v/>
      </c>
    </row>
    <row r="649" spans="1:32" x14ac:dyDescent="0.25">
      <c r="A649" t="str">
        <f t="shared" si="80"/>
        <v/>
      </c>
      <c r="B649" s="16"/>
      <c r="D649" t="str">
        <f>IF($C649="","",IFERROR(INDEX('Asset Register'!$B:$B,MATCH($C649,'Asset Register'!$A:$A,0)),""))</f>
        <v/>
      </c>
      <c r="H649" t="str">
        <f>IFERROR(INDEX('Task Master'!$E:$E,MATCH($F649&amp;"||"&amp;$G649,'Task Master'!$K:$K,0)),"")</f>
        <v/>
      </c>
      <c r="I649" t="str">
        <f>IFERROR(INDEX('Task Master'!$F:$F,MATCH($F649&amp;"||"&amp;$G649,'Task Master'!$K:$K,0)),"")</f>
        <v/>
      </c>
      <c r="J649" t="str">
        <f>IFERROR(INDEX('Task Master'!$H:$H,MATCH($F649&amp;"||"&amp;$G649,'Task Master'!$K:$K,0)),"")</f>
        <v/>
      </c>
      <c r="N649" s="18" t="str">
        <f t="shared" si="81"/>
        <v/>
      </c>
      <c r="R649" s="18">
        <f t="shared" si="82"/>
        <v>0</v>
      </c>
      <c r="V649" s="18">
        <f t="shared" si="83"/>
        <v>0</v>
      </c>
      <c r="Z649" s="18">
        <f t="shared" si="84"/>
        <v>0</v>
      </c>
      <c r="AA649" s="18"/>
      <c r="AB649" s="18">
        <f t="shared" si="85"/>
        <v>0</v>
      </c>
      <c r="AC649" s="18" t="str">
        <f t="shared" si="86"/>
        <v/>
      </c>
      <c r="AD649" s="18" t="str">
        <f t="shared" si="87"/>
        <v/>
      </c>
      <c r="AF649" t="str">
        <f>IFERROR(INDEX('Task Master'!$D:$D,MATCH($F649,'Task Master'!$C:$C,0)),"")</f>
        <v/>
      </c>
    </row>
    <row r="650" spans="1:32" x14ac:dyDescent="0.25">
      <c r="A650" t="str">
        <f t="shared" si="80"/>
        <v/>
      </c>
      <c r="B650" s="16"/>
      <c r="D650" t="str">
        <f>IF($C650="","",IFERROR(INDEX('Asset Register'!$B:$B,MATCH($C650,'Asset Register'!$A:$A,0)),""))</f>
        <v/>
      </c>
      <c r="H650" t="str">
        <f>IFERROR(INDEX('Task Master'!$E:$E,MATCH($F650&amp;"||"&amp;$G650,'Task Master'!$K:$K,0)),"")</f>
        <v/>
      </c>
      <c r="I650" t="str">
        <f>IFERROR(INDEX('Task Master'!$F:$F,MATCH($F650&amp;"||"&amp;$G650,'Task Master'!$K:$K,0)),"")</f>
        <v/>
      </c>
      <c r="J650" t="str">
        <f>IFERROR(INDEX('Task Master'!$H:$H,MATCH($F650&amp;"||"&amp;$G650,'Task Master'!$K:$K,0)),"")</f>
        <v/>
      </c>
      <c r="N650" s="18" t="str">
        <f t="shared" si="81"/>
        <v/>
      </c>
      <c r="R650" s="18">
        <f t="shared" si="82"/>
        <v>0</v>
      </c>
      <c r="V650" s="18">
        <f t="shared" si="83"/>
        <v>0</v>
      </c>
      <c r="Z650" s="18">
        <f t="shared" si="84"/>
        <v>0</v>
      </c>
      <c r="AA650" s="18"/>
      <c r="AB650" s="18">
        <f t="shared" si="85"/>
        <v>0</v>
      </c>
      <c r="AC650" s="18" t="str">
        <f t="shared" si="86"/>
        <v/>
      </c>
      <c r="AD650" s="18" t="str">
        <f t="shared" si="87"/>
        <v/>
      </c>
      <c r="AF650" t="str">
        <f>IFERROR(INDEX('Task Master'!$D:$D,MATCH($F650,'Task Master'!$C:$C,0)),"")</f>
        <v/>
      </c>
    </row>
    <row r="651" spans="1:32" x14ac:dyDescent="0.25">
      <c r="A651" t="str">
        <f t="shared" si="80"/>
        <v/>
      </c>
      <c r="B651" s="16"/>
      <c r="D651" t="str">
        <f>IF($C651="","",IFERROR(INDEX('Asset Register'!$B:$B,MATCH($C651,'Asset Register'!$A:$A,0)),""))</f>
        <v/>
      </c>
      <c r="H651" t="str">
        <f>IFERROR(INDEX('Task Master'!$E:$E,MATCH($F651&amp;"||"&amp;$G651,'Task Master'!$K:$K,0)),"")</f>
        <v/>
      </c>
      <c r="I651" t="str">
        <f>IFERROR(INDEX('Task Master'!$F:$F,MATCH($F651&amp;"||"&amp;$G651,'Task Master'!$K:$K,0)),"")</f>
        <v/>
      </c>
      <c r="J651" t="str">
        <f>IFERROR(INDEX('Task Master'!$H:$H,MATCH($F651&amp;"||"&amp;$G651,'Task Master'!$K:$K,0)),"")</f>
        <v/>
      </c>
      <c r="N651" s="18" t="str">
        <f t="shared" si="81"/>
        <v/>
      </c>
      <c r="R651" s="18">
        <f t="shared" si="82"/>
        <v>0</v>
      </c>
      <c r="V651" s="18">
        <f t="shared" si="83"/>
        <v>0</v>
      </c>
      <c r="Z651" s="18">
        <f t="shared" si="84"/>
        <v>0</v>
      </c>
      <c r="AA651" s="18"/>
      <c r="AB651" s="18">
        <f t="shared" si="85"/>
        <v>0</v>
      </c>
      <c r="AC651" s="18" t="str">
        <f t="shared" si="86"/>
        <v/>
      </c>
      <c r="AD651" s="18" t="str">
        <f t="shared" si="87"/>
        <v/>
      </c>
      <c r="AF651" t="str">
        <f>IFERROR(INDEX('Task Master'!$D:$D,MATCH($F651,'Task Master'!$C:$C,0)),"")</f>
        <v/>
      </c>
    </row>
    <row r="652" spans="1:32" x14ac:dyDescent="0.25">
      <c r="A652" t="str">
        <f t="shared" si="80"/>
        <v/>
      </c>
      <c r="B652" s="16"/>
      <c r="D652" t="str">
        <f>IF($C652="","",IFERROR(INDEX('Asset Register'!$B:$B,MATCH($C652,'Asset Register'!$A:$A,0)),""))</f>
        <v/>
      </c>
      <c r="H652" t="str">
        <f>IFERROR(INDEX('Task Master'!$E:$E,MATCH($F652&amp;"||"&amp;$G652,'Task Master'!$K:$K,0)),"")</f>
        <v/>
      </c>
      <c r="I652" t="str">
        <f>IFERROR(INDEX('Task Master'!$F:$F,MATCH($F652&amp;"||"&amp;$G652,'Task Master'!$K:$K,0)),"")</f>
        <v/>
      </c>
      <c r="J652" t="str">
        <f>IFERROR(INDEX('Task Master'!$H:$H,MATCH($F652&amp;"||"&amp;$G652,'Task Master'!$K:$K,0)),"")</f>
        <v/>
      </c>
      <c r="N652" s="18" t="str">
        <f t="shared" si="81"/>
        <v/>
      </c>
      <c r="R652" s="18">
        <f t="shared" si="82"/>
        <v>0</v>
      </c>
      <c r="V652" s="18">
        <f t="shared" si="83"/>
        <v>0</v>
      </c>
      <c r="Z652" s="18">
        <f t="shared" si="84"/>
        <v>0</v>
      </c>
      <c r="AA652" s="18"/>
      <c r="AB652" s="18">
        <f t="shared" si="85"/>
        <v>0</v>
      </c>
      <c r="AC652" s="18" t="str">
        <f t="shared" si="86"/>
        <v/>
      </c>
      <c r="AD652" s="18" t="str">
        <f t="shared" si="87"/>
        <v/>
      </c>
      <c r="AF652" t="str">
        <f>IFERROR(INDEX('Task Master'!$D:$D,MATCH($F652,'Task Master'!$C:$C,0)),"")</f>
        <v/>
      </c>
    </row>
    <row r="653" spans="1:32" x14ac:dyDescent="0.25">
      <c r="A653" t="str">
        <f t="shared" si="80"/>
        <v/>
      </c>
      <c r="B653" s="16"/>
      <c r="D653" t="str">
        <f>IF($C653="","",IFERROR(INDEX('Asset Register'!$B:$B,MATCH($C653,'Asset Register'!$A:$A,0)),""))</f>
        <v/>
      </c>
      <c r="H653" t="str">
        <f>IFERROR(INDEX('Task Master'!$E:$E,MATCH($F653&amp;"||"&amp;$G653,'Task Master'!$K:$K,0)),"")</f>
        <v/>
      </c>
      <c r="I653" t="str">
        <f>IFERROR(INDEX('Task Master'!$F:$F,MATCH($F653&amp;"||"&amp;$G653,'Task Master'!$K:$K,0)),"")</f>
        <v/>
      </c>
      <c r="J653" t="str">
        <f>IFERROR(INDEX('Task Master'!$H:$H,MATCH($F653&amp;"||"&amp;$G653,'Task Master'!$K:$K,0)),"")</f>
        <v/>
      </c>
      <c r="N653" s="18" t="str">
        <f t="shared" si="81"/>
        <v/>
      </c>
      <c r="R653" s="18">
        <f t="shared" si="82"/>
        <v>0</v>
      </c>
      <c r="V653" s="18">
        <f t="shared" si="83"/>
        <v>0</v>
      </c>
      <c r="Z653" s="18">
        <f t="shared" si="84"/>
        <v>0</v>
      </c>
      <c r="AA653" s="18"/>
      <c r="AB653" s="18">
        <f t="shared" si="85"/>
        <v>0</v>
      </c>
      <c r="AC653" s="18" t="str">
        <f t="shared" si="86"/>
        <v/>
      </c>
      <c r="AD653" s="18" t="str">
        <f t="shared" si="87"/>
        <v/>
      </c>
      <c r="AF653" t="str">
        <f>IFERROR(INDEX('Task Master'!$D:$D,MATCH($F653,'Task Master'!$C:$C,0)),"")</f>
        <v/>
      </c>
    </row>
    <row r="654" spans="1:32" x14ac:dyDescent="0.25">
      <c r="A654" t="str">
        <f t="shared" si="80"/>
        <v/>
      </c>
      <c r="B654" s="16"/>
      <c r="D654" t="str">
        <f>IF($C654="","",IFERROR(INDEX('Asset Register'!$B:$B,MATCH($C654,'Asset Register'!$A:$A,0)),""))</f>
        <v/>
      </c>
      <c r="H654" t="str">
        <f>IFERROR(INDEX('Task Master'!$E:$E,MATCH($F654&amp;"||"&amp;$G654,'Task Master'!$K:$K,0)),"")</f>
        <v/>
      </c>
      <c r="I654" t="str">
        <f>IFERROR(INDEX('Task Master'!$F:$F,MATCH($F654&amp;"||"&amp;$G654,'Task Master'!$K:$K,0)),"")</f>
        <v/>
      </c>
      <c r="J654" t="str">
        <f>IFERROR(INDEX('Task Master'!$H:$H,MATCH($F654&amp;"||"&amp;$G654,'Task Master'!$K:$K,0)),"")</f>
        <v/>
      </c>
      <c r="N654" s="18" t="str">
        <f t="shared" si="81"/>
        <v/>
      </c>
      <c r="R654" s="18">
        <f t="shared" si="82"/>
        <v>0</v>
      </c>
      <c r="V654" s="18">
        <f t="shared" si="83"/>
        <v>0</v>
      </c>
      <c r="Z654" s="18">
        <f t="shared" si="84"/>
        <v>0</v>
      </c>
      <c r="AA654" s="18"/>
      <c r="AB654" s="18">
        <f t="shared" si="85"/>
        <v>0</v>
      </c>
      <c r="AC654" s="18" t="str">
        <f t="shared" si="86"/>
        <v/>
      </c>
      <c r="AD654" s="18" t="str">
        <f t="shared" si="87"/>
        <v/>
      </c>
      <c r="AF654" t="str">
        <f>IFERROR(INDEX('Task Master'!$D:$D,MATCH($F654,'Task Master'!$C:$C,0)),"")</f>
        <v/>
      </c>
    </row>
    <row r="655" spans="1:32" x14ac:dyDescent="0.25">
      <c r="A655" t="str">
        <f t="shared" si="80"/>
        <v/>
      </c>
      <c r="B655" s="16"/>
      <c r="D655" t="str">
        <f>IF($C655="","",IFERROR(INDEX('Asset Register'!$B:$B,MATCH($C655,'Asset Register'!$A:$A,0)),""))</f>
        <v/>
      </c>
      <c r="H655" t="str">
        <f>IFERROR(INDEX('Task Master'!$E:$E,MATCH($F655&amp;"||"&amp;$G655,'Task Master'!$K:$K,0)),"")</f>
        <v/>
      </c>
      <c r="I655" t="str">
        <f>IFERROR(INDEX('Task Master'!$F:$F,MATCH($F655&amp;"||"&amp;$G655,'Task Master'!$K:$K,0)),"")</f>
        <v/>
      </c>
      <c r="J655" t="str">
        <f>IFERROR(INDEX('Task Master'!$H:$H,MATCH($F655&amp;"||"&amp;$G655,'Task Master'!$K:$K,0)),"")</f>
        <v/>
      </c>
      <c r="N655" s="18" t="str">
        <f t="shared" si="81"/>
        <v/>
      </c>
      <c r="R655" s="18">
        <f t="shared" si="82"/>
        <v>0</v>
      </c>
      <c r="V655" s="18">
        <f t="shared" si="83"/>
        <v>0</v>
      </c>
      <c r="Z655" s="18">
        <f t="shared" si="84"/>
        <v>0</v>
      </c>
      <c r="AA655" s="18"/>
      <c r="AB655" s="18">
        <f t="shared" si="85"/>
        <v>0</v>
      </c>
      <c r="AC655" s="18" t="str">
        <f t="shared" si="86"/>
        <v/>
      </c>
      <c r="AD655" s="18" t="str">
        <f t="shared" si="87"/>
        <v/>
      </c>
      <c r="AF655" t="str">
        <f>IFERROR(INDEX('Task Master'!$D:$D,MATCH($F655,'Task Master'!$C:$C,0)),"")</f>
        <v/>
      </c>
    </row>
    <row r="656" spans="1:32" x14ac:dyDescent="0.25">
      <c r="A656" t="str">
        <f t="shared" si="80"/>
        <v/>
      </c>
      <c r="B656" s="16"/>
      <c r="D656" t="str">
        <f>IF($C656="","",IFERROR(INDEX('Asset Register'!$B:$B,MATCH($C656,'Asset Register'!$A:$A,0)),""))</f>
        <v/>
      </c>
      <c r="H656" t="str">
        <f>IFERROR(INDEX('Task Master'!$E:$E,MATCH($F656&amp;"||"&amp;$G656,'Task Master'!$K:$K,0)),"")</f>
        <v/>
      </c>
      <c r="I656" t="str">
        <f>IFERROR(INDEX('Task Master'!$F:$F,MATCH($F656&amp;"||"&amp;$G656,'Task Master'!$K:$K,0)),"")</f>
        <v/>
      </c>
      <c r="J656" t="str">
        <f>IFERROR(INDEX('Task Master'!$H:$H,MATCH($F656&amp;"||"&amp;$G656,'Task Master'!$K:$K,0)),"")</f>
        <v/>
      </c>
      <c r="N656" s="18" t="str">
        <f t="shared" si="81"/>
        <v/>
      </c>
      <c r="R656" s="18">
        <f t="shared" si="82"/>
        <v>0</v>
      </c>
      <c r="V656" s="18">
        <f t="shared" si="83"/>
        <v>0</v>
      </c>
      <c r="Z656" s="18">
        <f t="shared" si="84"/>
        <v>0</v>
      </c>
      <c r="AA656" s="18"/>
      <c r="AB656" s="18">
        <f t="shared" si="85"/>
        <v>0</v>
      </c>
      <c r="AC656" s="18" t="str">
        <f t="shared" si="86"/>
        <v/>
      </c>
      <c r="AD656" s="18" t="str">
        <f t="shared" si="87"/>
        <v/>
      </c>
      <c r="AF656" t="str">
        <f>IFERROR(INDEX('Task Master'!$D:$D,MATCH($F656,'Task Master'!$C:$C,0)),"")</f>
        <v/>
      </c>
    </row>
    <row r="657" spans="1:32" x14ac:dyDescent="0.25">
      <c r="A657" t="str">
        <f t="shared" si="80"/>
        <v/>
      </c>
      <c r="B657" s="16"/>
      <c r="D657" t="str">
        <f>IF($C657="","",IFERROR(INDEX('Asset Register'!$B:$B,MATCH($C657,'Asset Register'!$A:$A,0)),""))</f>
        <v/>
      </c>
      <c r="H657" t="str">
        <f>IFERROR(INDEX('Task Master'!$E:$E,MATCH($F657&amp;"||"&amp;$G657,'Task Master'!$K:$K,0)),"")</f>
        <v/>
      </c>
      <c r="I657" t="str">
        <f>IFERROR(INDEX('Task Master'!$F:$F,MATCH($F657&amp;"||"&amp;$G657,'Task Master'!$K:$K,0)),"")</f>
        <v/>
      </c>
      <c r="J657" t="str">
        <f>IFERROR(INDEX('Task Master'!$H:$H,MATCH($F657&amp;"||"&amp;$G657,'Task Master'!$K:$K,0)),"")</f>
        <v/>
      </c>
      <c r="N657" s="18" t="str">
        <f t="shared" si="81"/>
        <v/>
      </c>
      <c r="R657" s="18">
        <f t="shared" si="82"/>
        <v>0</v>
      </c>
      <c r="V657" s="18">
        <f t="shared" si="83"/>
        <v>0</v>
      </c>
      <c r="Z657" s="18">
        <f t="shared" si="84"/>
        <v>0</v>
      </c>
      <c r="AA657" s="18"/>
      <c r="AB657" s="18">
        <f t="shared" si="85"/>
        <v>0</v>
      </c>
      <c r="AC657" s="18" t="str">
        <f t="shared" si="86"/>
        <v/>
      </c>
      <c r="AD657" s="18" t="str">
        <f t="shared" si="87"/>
        <v/>
      </c>
      <c r="AF657" t="str">
        <f>IFERROR(INDEX('Task Master'!$D:$D,MATCH($F657,'Task Master'!$C:$C,0)),"")</f>
        <v/>
      </c>
    </row>
    <row r="658" spans="1:32" x14ac:dyDescent="0.25">
      <c r="A658" t="str">
        <f t="shared" si="80"/>
        <v/>
      </c>
      <c r="B658" s="16"/>
      <c r="D658" t="str">
        <f>IF($C658="","",IFERROR(INDEX('Asset Register'!$B:$B,MATCH($C658,'Asset Register'!$A:$A,0)),""))</f>
        <v/>
      </c>
      <c r="H658" t="str">
        <f>IFERROR(INDEX('Task Master'!$E:$E,MATCH($F658&amp;"||"&amp;$G658,'Task Master'!$K:$K,0)),"")</f>
        <v/>
      </c>
      <c r="I658" t="str">
        <f>IFERROR(INDEX('Task Master'!$F:$F,MATCH($F658&amp;"||"&amp;$G658,'Task Master'!$K:$K,0)),"")</f>
        <v/>
      </c>
      <c r="J658" t="str">
        <f>IFERROR(INDEX('Task Master'!$H:$H,MATCH($F658&amp;"||"&amp;$G658,'Task Master'!$K:$K,0)),"")</f>
        <v/>
      </c>
      <c r="N658" s="18" t="str">
        <f t="shared" si="81"/>
        <v/>
      </c>
      <c r="R658" s="18">
        <f t="shared" si="82"/>
        <v>0</v>
      </c>
      <c r="V658" s="18">
        <f t="shared" si="83"/>
        <v>0</v>
      </c>
      <c r="Z658" s="18">
        <f t="shared" si="84"/>
        <v>0</v>
      </c>
      <c r="AA658" s="18"/>
      <c r="AB658" s="18">
        <f t="shared" si="85"/>
        <v>0</v>
      </c>
      <c r="AC658" s="18" t="str">
        <f t="shared" si="86"/>
        <v/>
      </c>
      <c r="AD658" s="18" t="str">
        <f t="shared" si="87"/>
        <v/>
      </c>
      <c r="AF658" t="str">
        <f>IFERROR(INDEX('Task Master'!$D:$D,MATCH($F658,'Task Master'!$C:$C,0)),"")</f>
        <v/>
      </c>
    </row>
    <row r="659" spans="1:32" x14ac:dyDescent="0.25">
      <c r="A659" t="str">
        <f t="shared" si="80"/>
        <v/>
      </c>
      <c r="B659" s="16"/>
      <c r="D659" t="str">
        <f>IF($C659="","",IFERROR(INDEX('Asset Register'!$B:$B,MATCH($C659,'Asset Register'!$A:$A,0)),""))</f>
        <v/>
      </c>
      <c r="H659" t="str">
        <f>IFERROR(INDEX('Task Master'!$E:$E,MATCH($F659&amp;"||"&amp;$G659,'Task Master'!$K:$K,0)),"")</f>
        <v/>
      </c>
      <c r="I659" t="str">
        <f>IFERROR(INDEX('Task Master'!$F:$F,MATCH($F659&amp;"||"&amp;$G659,'Task Master'!$K:$K,0)),"")</f>
        <v/>
      </c>
      <c r="J659" t="str">
        <f>IFERROR(INDEX('Task Master'!$H:$H,MATCH($F659&amp;"||"&amp;$G659,'Task Master'!$K:$K,0)),"")</f>
        <v/>
      </c>
      <c r="N659" s="18" t="str">
        <f t="shared" si="81"/>
        <v/>
      </c>
      <c r="R659" s="18">
        <f t="shared" si="82"/>
        <v>0</v>
      </c>
      <c r="V659" s="18">
        <f t="shared" si="83"/>
        <v>0</v>
      </c>
      <c r="Z659" s="18">
        <f t="shared" si="84"/>
        <v>0</v>
      </c>
      <c r="AA659" s="18"/>
      <c r="AB659" s="18">
        <f t="shared" si="85"/>
        <v>0</v>
      </c>
      <c r="AC659" s="18" t="str">
        <f t="shared" si="86"/>
        <v/>
      </c>
      <c r="AD659" s="18" t="str">
        <f t="shared" si="87"/>
        <v/>
      </c>
      <c r="AF659" t="str">
        <f>IFERROR(INDEX('Task Master'!$D:$D,MATCH($F659,'Task Master'!$C:$C,0)),"")</f>
        <v/>
      </c>
    </row>
    <row r="660" spans="1:32" x14ac:dyDescent="0.25">
      <c r="A660" t="str">
        <f t="shared" si="80"/>
        <v/>
      </c>
      <c r="B660" s="16"/>
      <c r="D660" t="str">
        <f>IF($C660="","",IFERROR(INDEX('Asset Register'!$B:$B,MATCH($C660,'Asset Register'!$A:$A,0)),""))</f>
        <v/>
      </c>
      <c r="H660" t="str">
        <f>IFERROR(INDEX('Task Master'!$E:$E,MATCH($F660&amp;"||"&amp;$G660,'Task Master'!$K:$K,0)),"")</f>
        <v/>
      </c>
      <c r="I660" t="str">
        <f>IFERROR(INDEX('Task Master'!$F:$F,MATCH($F660&amp;"||"&amp;$G660,'Task Master'!$K:$K,0)),"")</f>
        <v/>
      </c>
      <c r="J660" t="str">
        <f>IFERROR(INDEX('Task Master'!$H:$H,MATCH($F660&amp;"||"&amp;$G660,'Task Master'!$K:$K,0)),"")</f>
        <v/>
      </c>
      <c r="N660" s="18" t="str">
        <f t="shared" si="81"/>
        <v/>
      </c>
      <c r="R660" s="18">
        <f t="shared" si="82"/>
        <v>0</v>
      </c>
      <c r="V660" s="18">
        <f t="shared" si="83"/>
        <v>0</v>
      </c>
      <c r="Z660" s="18">
        <f t="shared" si="84"/>
        <v>0</v>
      </c>
      <c r="AA660" s="18"/>
      <c r="AB660" s="18">
        <f t="shared" si="85"/>
        <v>0</v>
      </c>
      <c r="AC660" s="18" t="str">
        <f t="shared" si="86"/>
        <v/>
      </c>
      <c r="AD660" s="18" t="str">
        <f t="shared" si="87"/>
        <v/>
      </c>
      <c r="AF660" t="str">
        <f>IFERROR(INDEX('Task Master'!$D:$D,MATCH($F660,'Task Master'!$C:$C,0)),"")</f>
        <v/>
      </c>
    </row>
    <row r="661" spans="1:32" x14ac:dyDescent="0.25">
      <c r="A661" t="str">
        <f t="shared" si="80"/>
        <v/>
      </c>
      <c r="B661" s="16"/>
      <c r="D661" t="str">
        <f>IF($C661="","",IFERROR(INDEX('Asset Register'!$B:$B,MATCH($C661,'Asset Register'!$A:$A,0)),""))</f>
        <v/>
      </c>
      <c r="H661" t="str">
        <f>IFERROR(INDEX('Task Master'!$E:$E,MATCH($F661&amp;"||"&amp;$G661,'Task Master'!$K:$K,0)),"")</f>
        <v/>
      </c>
      <c r="I661" t="str">
        <f>IFERROR(INDEX('Task Master'!$F:$F,MATCH($F661&amp;"||"&amp;$G661,'Task Master'!$K:$K,0)),"")</f>
        <v/>
      </c>
      <c r="J661" t="str">
        <f>IFERROR(INDEX('Task Master'!$H:$H,MATCH($F661&amp;"||"&amp;$G661,'Task Master'!$K:$K,0)),"")</f>
        <v/>
      </c>
      <c r="N661" s="18" t="str">
        <f t="shared" si="81"/>
        <v/>
      </c>
      <c r="R661" s="18">
        <f t="shared" si="82"/>
        <v>0</v>
      </c>
      <c r="V661" s="18">
        <f t="shared" si="83"/>
        <v>0</v>
      </c>
      <c r="Z661" s="18">
        <f t="shared" si="84"/>
        <v>0</v>
      </c>
      <c r="AA661" s="18"/>
      <c r="AB661" s="18">
        <f t="shared" si="85"/>
        <v>0</v>
      </c>
      <c r="AC661" s="18" t="str">
        <f t="shared" si="86"/>
        <v/>
      </c>
      <c r="AD661" s="18" t="str">
        <f t="shared" si="87"/>
        <v/>
      </c>
      <c r="AF661" t="str">
        <f>IFERROR(INDEX('Task Master'!$D:$D,MATCH($F661,'Task Master'!$C:$C,0)),"")</f>
        <v/>
      </c>
    </row>
    <row r="662" spans="1:32" x14ac:dyDescent="0.25">
      <c r="A662" t="str">
        <f t="shared" si="80"/>
        <v/>
      </c>
      <c r="B662" s="16"/>
      <c r="D662" t="str">
        <f>IF($C662="","",IFERROR(INDEX('Asset Register'!$B:$B,MATCH($C662,'Asset Register'!$A:$A,0)),""))</f>
        <v/>
      </c>
      <c r="H662" t="str">
        <f>IFERROR(INDEX('Task Master'!$E:$E,MATCH($F662&amp;"||"&amp;$G662,'Task Master'!$K:$K,0)),"")</f>
        <v/>
      </c>
      <c r="I662" t="str">
        <f>IFERROR(INDEX('Task Master'!$F:$F,MATCH($F662&amp;"||"&amp;$G662,'Task Master'!$K:$K,0)),"")</f>
        <v/>
      </c>
      <c r="J662" t="str">
        <f>IFERROR(INDEX('Task Master'!$H:$H,MATCH($F662&amp;"||"&amp;$G662,'Task Master'!$K:$K,0)),"")</f>
        <v/>
      </c>
      <c r="N662" s="18" t="str">
        <f t="shared" si="81"/>
        <v/>
      </c>
      <c r="R662" s="18">
        <f t="shared" si="82"/>
        <v>0</v>
      </c>
      <c r="V662" s="18">
        <f t="shared" si="83"/>
        <v>0</v>
      </c>
      <c r="Z662" s="18">
        <f t="shared" si="84"/>
        <v>0</v>
      </c>
      <c r="AA662" s="18"/>
      <c r="AB662" s="18">
        <f t="shared" si="85"/>
        <v>0</v>
      </c>
      <c r="AC662" s="18" t="str">
        <f t="shared" si="86"/>
        <v/>
      </c>
      <c r="AD662" s="18" t="str">
        <f t="shared" si="87"/>
        <v/>
      </c>
      <c r="AF662" t="str">
        <f>IFERROR(INDEX('Task Master'!$D:$D,MATCH($F662,'Task Master'!$C:$C,0)),"")</f>
        <v/>
      </c>
    </row>
    <row r="663" spans="1:32" x14ac:dyDescent="0.25">
      <c r="A663" t="str">
        <f t="shared" si="80"/>
        <v/>
      </c>
      <c r="B663" s="16"/>
      <c r="D663" t="str">
        <f>IF($C663="","",IFERROR(INDEX('Asset Register'!$B:$B,MATCH($C663,'Asset Register'!$A:$A,0)),""))</f>
        <v/>
      </c>
      <c r="H663" t="str">
        <f>IFERROR(INDEX('Task Master'!$E:$E,MATCH($F663&amp;"||"&amp;$G663,'Task Master'!$K:$K,0)),"")</f>
        <v/>
      </c>
      <c r="I663" t="str">
        <f>IFERROR(INDEX('Task Master'!$F:$F,MATCH($F663&amp;"||"&amp;$G663,'Task Master'!$K:$K,0)),"")</f>
        <v/>
      </c>
      <c r="J663" t="str">
        <f>IFERROR(INDEX('Task Master'!$H:$H,MATCH($F663&amp;"||"&amp;$G663,'Task Master'!$K:$K,0)),"")</f>
        <v/>
      </c>
      <c r="N663" s="18" t="str">
        <f t="shared" si="81"/>
        <v/>
      </c>
      <c r="R663" s="18">
        <f t="shared" si="82"/>
        <v>0</v>
      </c>
      <c r="V663" s="18">
        <f t="shared" si="83"/>
        <v>0</v>
      </c>
      <c r="Z663" s="18">
        <f t="shared" si="84"/>
        <v>0</v>
      </c>
      <c r="AA663" s="18"/>
      <c r="AB663" s="18">
        <f t="shared" si="85"/>
        <v>0</v>
      </c>
      <c r="AC663" s="18" t="str">
        <f t="shared" si="86"/>
        <v/>
      </c>
      <c r="AD663" s="18" t="str">
        <f t="shared" si="87"/>
        <v/>
      </c>
      <c r="AF663" t="str">
        <f>IFERROR(INDEX('Task Master'!$D:$D,MATCH($F663,'Task Master'!$C:$C,0)),"")</f>
        <v/>
      </c>
    </row>
    <row r="664" spans="1:32" x14ac:dyDescent="0.25">
      <c r="A664" t="str">
        <f t="shared" si="80"/>
        <v/>
      </c>
      <c r="B664" s="16"/>
      <c r="D664" t="str">
        <f>IF($C664="","",IFERROR(INDEX('Asset Register'!$B:$B,MATCH($C664,'Asset Register'!$A:$A,0)),""))</f>
        <v/>
      </c>
      <c r="H664" t="str">
        <f>IFERROR(INDEX('Task Master'!$E:$E,MATCH($F664&amp;"||"&amp;$G664,'Task Master'!$K:$K,0)),"")</f>
        <v/>
      </c>
      <c r="I664" t="str">
        <f>IFERROR(INDEX('Task Master'!$F:$F,MATCH($F664&amp;"||"&amp;$G664,'Task Master'!$K:$K,0)),"")</f>
        <v/>
      </c>
      <c r="J664" t="str">
        <f>IFERROR(INDEX('Task Master'!$H:$H,MATCH($F664&amp;"||"&amp;$G664,'Task Master'!$K:$K,0)),"")</f>
        <v/>
      </c>
      <c r="N664" s="18" t="str">
        <f t="shared" si="81"/>
        <v/>
      </c>
      <c r="R664" s="18">
        <f t="shared" si="82"/>
        <v>0</v>
      </c>
      <c r="V664" s="18">
        <f t="shared" si="83"/>
        <v>0</v>
      </c>
      <c r="Z664" s="18">
        <f t="shared" si="84"/>
        <v>0</v>
      </c>
      <c r="AA664" s="18"/>
      <c r="AB664" s="18">
        <f t="shared" si="85"/>
        <v>0</v>
      </c>
      <c r="AC664" s="18" t="str">
        <f t="shared" si="86"/>
        <v/>
      </c>
      <c r="AD664" s="18" t="str">
        <f t="shared" si="87"/>
        <v/>
      </c>
      <c r="AF664" t="str">
        <f>IFERROR(INDEX('Task Master'!$D:$D,MATCH($F664,'Task Master'!$C:$C,0)),"")</f>
        <v/>
      </c>
    </row>
    <row r="665" spans="1:32" x14ac:dyDescent="0.25">
      <c r="A665" t="str">
        <f t="shared" si="80"/>
        <v/>
      </c>
      <c r="B665" s="16"/>
      <c r="D665" t="str">
        <f>IF($C665="","",IFERROR(INDEX('Asset Register'!$B:$B,MATCH($C665,'Asset Register'!$A:$A,0)),""))</f>
        <v/>
      </c>
      <c r="H665" t="str">
        <f>IFERROR(INDEX('Task Master'!$E:$E,MATCH($F665&amp;"||"&amp;$G665,'Task Master'!$K:$K,0)),"")</f>
        <v/>
      </c>
      <c r="I665" t="str">
        <f>IFERROR(INDEX('Task Master'!$F:$F,MATCH($F665&amp;"||"&amp;$G665,'Task Master'!$K:$K,0)),"")</f>
        <v/>
      </c>
      <c r="J665" t="str">
        <f>IFERROR(INDEX('Task Master'!$H:$H,MATCH($F665&amp;"||"&amp;$G665,'Task Master'!$K:$K,0)),"")</f>
        <v/>
      </c>
      <c r="N665" s="18" t="str">
        <f t="shared" si="81"/>
        <v/>
      </c>
      <c r="R665" s="18">
        <f t="shared" si="82"/>
        <v>0</v>
      </c>
      <c r="V665" s="18">
        <f t="shared" si="83"/>
        <v>0</v>
      </c>
      <c r="Z665" s="18">
        <f t="shared" si="84"/>
        <v>0</v>
      </c>
      <c r="AA665" s="18"/>
      <c r="AB665" s="18">
        <f t="shared" si="85"/>
        <v>0</v>
      </c>
      <c r="AC665" s="18" t="str">
        <f t="shared" si="86"/>
        <v/>
      </c>
      <c r="AD665" s="18" t="str">
        <f t="shared" si="87"/>
        <v/>
      </c>
      <c r="AF665" t="str">
        <f>IFERROR(INDEX('Task Master'!$D:$D,MATCH($F665,'Task Master'!$C:$C,0)),"")</f>
        <v/>
      </c>
    </row>
    <row r="666" spans="1:32" x14ac:dyDescent="0.25">
      <c r="A666" t="str">
        <f t="shared" si="80"/>
        <v/>
      </c>
      <c r="B666" s="16"/>
      <c r="D666" t="str">
        <f>IF($C666="","",IFERROR(INDEX('Asset Register'!$B:$B,MATCH($C666,'Asset Register'!$A:$A,0)),""))</f>
        <v/>
      </c>
      <c r="H666" t="str">
        <f>IFERROR(INDEX('Task Master'!$E:$E,MATCH($F666&amp;"||"&amp;$G666,'Task Master'!$K:$K,0)),"")</f>
        <v/>
      </c>
      <c r="I666" t="str">
        <f>IFERROR(INDEX('Task Master'!$F:$F,MATCH($F666&amp;"||"&amp;$G666,'Task Master'!$K:$K,0)),"")</f>
        <v/>
      </c>
      <c r="J666" t="str">
        <f>IFERROR(INDEX('Task Master'!$H:$H,MATCH($F666&amp;"||"&amp;$G666,'Task Master'!$K:$K,0)),"")</f>
        <v/>
      </c>
      <c r="N666" s="18" t="str">
        <f t="shared" si="81"/>
        <v/>
      </c>
      <c r="R666" s="18">
        <f t="shared" si="82"/>
        <v>0</v>
      </c>
      <c r="V666" s="18">
        <f t="shared" si="83"/>
        <v>0</v>
      </c>
      <c r="Z666" s="18">
        <f t="shared" si="84"/>
        <v>0</v>
      </c>
      <c r="AA666" s="18"/>
      <c r="AB666" s="18">
        <f t="shared" si="85"/>
        <v>0</v>
      </c>
      <c r="AC666" s="18" t="str">
        <f t="shared" si="86"/>
        <v/>
      </c>
      <c r="AD666" s="18" t="str">
        <f t="shared" si="87"/>
        <v/>
      </c>
      <c r="AF666" t="str">
        <f>IFERROR(INDEX('Task Master'!$D:$D,MATCH($F666,'Task Master'!$C:$C,0)),"")</f>
        <v/>
      </c>
    </row>
    <row r="667" spans="1:32" x14ac:dyDescent="0.25">
      <c r="A667" t="str">
        <f t="shared" si="80"/>
        <v/>
      </c>
      <c r="B667" s="16"/>
      <c r="D667" t="str">
        <f>IF($C667="","",IFERROR(INDEX('Asset Register'!$B:$B,MATCH($C667,'Asset Register'!$A:$A,0)),""))</f>
        <v/>
      </c>
      <c r="H667" t="str">
        <f>IFERROR(INDEX('Task Master'!$E:$E,MATCH($F667&amp;"||"&amp;$G667,'Task Master'!$K:$K,0)),"")</f>
        <v/>
      </c>
      <c r="I667" t="str">
        <f>IFERROR(INDEX('Task Master'!$F:$F,MATCH($F667&amp;"||"&amp;$G667,'Task Master'!$K:$K,0)),"")</f>
        <v/>
      </c>
      <c r="J667" t="str">
        <f>IFERROR(INDEX('Task Master'!$H:$H,MATCH($F667&amp;"||"&amp;$G667,'Task Master'!$K:$K,0)),"")</f>
        <v/>
      </c>
      <c r="N667" s="18" t="str">
        <f t="shared" si="81"/>
        <v/>
      </c>
      <c r="R667" s="18">
        <f t="shared" si="82"/>
        <v>0</v>
      </c>
      <c r="V667" s="18">
        <f t="shared" si="83"/>
        <v>0</v>
      </c>
      <c r="Z667" s="18">
        <f t="shared" si="84"/>
        <v>0</v>
      </c>
      <c r="AA667" s="18"/>
      <c r="AB667" s="18">
        <f t="shared" si="85"/>
        <v>0</v>
      </c>
      <c r="AC667" s="18" t="str">
        <f t="shared" si="86"/>
        <v/>
      </c>
      <c r="AD667" s="18" t="str">
        <f t="shared" si="87"/>
        <v/>
      </c>
      <c r="AF667" t="str">
        <f>IFERROR(INDEX('Task Master'!$D:$D,MATCH($F667,'Task Master'!$C:$C,0)),"")</f>
        <v/>
      </c>
    </row>
    <row r="668" spans="1:32" x14ac:dyDescent="0.25">
      <c r="A668" t="str">
        <f t="shared" si="80"/>
        <v/>
      </c>
      <c r="B668" s="16"/>
      <c r="D668" t="str">
        <f>IF($C668="","",IFERROR(INDEX('Asset Register'!$B:$B,MATCH($C668,'Asset Register'!$A:$A,0)),""))</f>
        <v/>
      </c>
      <c r="H668" t="str">
        <f>IFERROR(INDEX('Task Master'!$E:$E,MATCH($F668&amp;"||"&amp;$G668,'Task Master'!$K:$K,0)),"")</f>
        <v/>
      </c>
      <c r="I668" t="str">
        <f>IFERROR(INDEX('Task Master'!$F:$F,MATCH($F668&amp;"||"&amp;$G668,'Task Master'!$K:$K,0)),"")</f>
        <v/>
      </c>
      <c r="J668" t="str">
        <f>IFERROR(INDEX('Task Master'!$H:$H,MATCH($F668&amp;"||"&amp;$G668,'Task Master'!$K:$K,0)),"")</f>
        <v/>
      </c>
      <c r="N668" s="18" t="str">
        <f t="shared" si="81"/>
        <v/>
      </c>
      <c r="R668" s="18">
        <f t="shared" si="82"/>
        <v>0</v>
      </c>
      <c r="V668" s="18">
        <f t="shared" si="83"/>
        <v>0</v>
      </c>
      <c r="Z668" s="18">
        <f t="shared" si="84"/>
        <v>0</v>
      </c>
      <c r="AA668" s="18"/>
      <c r="AB668" s="18">
        <f t="shared" si="85"/>
        <v>0</v>
      </c>
      <c r="AC668" s="18" t="str">
        <f t="shared" si="86"/>
        <v/>
      </c>
      <c r="AD668" s="18" t="str">
        <f t="shared" si="87"/>
        <v/>
      </c>
      <c r="AF668" t="str">
        <f>IFERROR(INDEX('Task Master'!$D:$D,MATCH($F668,'Task Master'!$C:$C,0)),"")</f>
        <v/>
      </c>
    </row>
    <row r="669" spans="1:32" x14ac:dyDescent="0.25">
      <c r="A669" t="str">
        <f t="shared" si="80"/>
        <v/>
      </c>
      <c r="B669" s="16"/>
      <c r="D669" t="str">
        <f>IF($C669="","",IFERROR(INDEX('Asset Register'!$B:$B,MATCH($C669,'Asset Register'!$A:$A,0)),""))</f>
        <v/>
      </c>
      <c r="H669" t="str">
        <f>IFERROR(INDEX('Task Master'!$E:$E,MATCH($F669&amp;"||"&amp;$G669,'Task Master'!$K:$K,0)),"")</f>
        <v/>
      </c>
      <c r="I669" t="str">
        <f>IFERROR(INDEX('Task Master'!$F:$F,MATCH($F669&amp;"||"&amp;$G669,'Task Master'!$K:$K,0)),"")</f>
        <v/>
      </c>
      <c r="J669" t="str">
        <f>IFERROR(INDEX('Task Master'!$H:$H,MATCH($F669&amp;"||"&amp;$G669,'Task Master'!$K:$K,0)),"")</f>
        <v/>
      </c>
      <c r="N669" s="18" t="str">
        <f t="shared" si="81"/>
        <v/>
      </c>
      <c r="R669" s="18">
        <f t="shared" si="82"/>
        <v>0</v>
      </c>
      <c r="V669" s="18">
        <f t="shared" si="83"/>
        <v>0</v>
      </c>
      <c r="Z669" s="18">
        <f t="shared" si="84"/>
        <v>0</v>
      </c>
      <c r="AA669" s="18"/>
      <c r="AB669" s="18">
        <f t="shared" si="85"/>
        <v>0</v>
      </c>
      <c r="AC669" s="18" t="str">
        <f t="shared" si="86"/>
        <v/>
      </c>
      <c r="AD669" s="18" t="str">
        <f t="shared" si="87"/>
        <v/>
      </c>
      <c r="AF669" t="str">
        <f>IFERROR(INDEX('Task Master'!$D:$D,MATCH($F669,'Task Master'!$C:$C,0)),"")</f>
        <v/>
      </c>
    </row>
    <row r="670" spans="1:32" x14ac:dyDescent="0.25">
      <c r="A670" t="str">
        <f t="shared" si="80"/>
        <v/>
      </c>
      <c r="B670" s="16"/>
      <c r="D670" t="str">
        <f>IF($C670="","",IFERROR(INDEX('Asset Register'!$B:$B,MATCH($C670,'Asset Register'!$A:$A,0)),""))</f>
        <v/>
      </c>
      <c r="H670" t="str">
        <f>IFERROR(INDEX('Task Master'!$E:$E,MATCH($F670&amp;"||"&amp;$G670,'Task Master'!$K:$K,0)),"")</f>
        <v/>
      </c>
      <c r="I670" t="str">
        <f>IFERROR(INDEX('Task Master'!$F:$F,MATCH($F670&amp;"||"&amp;$G670,'Task Master'!$K:$K,0)),"")</f>
        <v/>
      </c>
      <c r="J670" t="str">
        <f>IFERROR(INDEX('Task Master'!$H:$H,MATCH($F670&amp;"||"&amp;$G670,'Task Master'!$K:$K,0)),"")</f>
        <v/>
      </c>
      <c r="N670" s="18" t="str">
        <f t="shared" si="81"/>
        <v/>
      </c>
      <c r="R670" s="18">
        <f t="shared" si="82"/>
        <v>0</v>
      </c>
      <c r="V670" s="18">
        <f t="shared" si="83"/>
        <v>0</v>
      </c>
      <c r="Z670" s="18">
        <f t="shared" si="84"/>
        <v>0</v>
      </c>
      <c r="AA670" s="18"/>
      <c r="AB670" s="18">
        <f t="shared" si="85"/>
        <v>0</v>
      </c>
      <c r="AC670" s="18" t="str">
        <f t="shared" si="86"/>
        <v/>
      </c>
      <c r="AD670" s="18" t="str">
        <f t="shared" si="87"/>
        <v/>
      </c>
      <c r="AF670" t="str">
        <f>IFERROR(INDEX('Task Master'!$D:$D,MATCH($F670,'Task Master'!$C:$C,0)),"")</f>
        <v/>
      </c>
    </row>
    <row r="671" spans="1:32" x14ac:dyDescent="0.25">
      <c r="A671" t="str">
        <f t="shared" si="80"/>
        <v/>
      </c>
      <c r="B671" s="16"/>
      <c r="D671" t="str">
        <f>IF($C671="","",IFERROR(INDEX('Asset Register'!$B:$B,MATCH($C671,'Asset Register'!$A:$A,0)),""))</f>
        <v/>
      </c>
      <c r="H671" t="str">
        <f>IFERROR(INDEX('Task Master'!$E:$E,MATCH($F671&amp;"||"&amp;$G671,'Task Master'!$K:$K,0)),"")</f>
        <v/>
      </c>
      <c r="I671" t="str">
        <f>IFERROR(INDEX('Task Master'!$F:$F,MATCH($F671&amp;"||"&amp;$G671,'Task Master'!$K:$K,0)),"")</f>
        <v/>
      </c>
      <c r="J671" t="str">
        <f>IFERROR(INDEX('Task Master'!$H:$H,MATCH($F671&amp;"||"&amp;$G671,'Task Master'!$K:$K,0)),"")</f>
        <v/>
      </c>
      <c r="N671" s="18" t="str">
        <f t="shared" si="81"/>
        <v/>
      </c>
      <c r="R671" s="18">
        <f t="shared" si="82"/>
        <v>0</v>
      </c>
      <c r="V671" s="18">
        <f t="shared" si="83"/>
        <v>0</v>
      </c>
      <c r="Z671" s="18">
        <f t="shared" si="84"/>
        <v>0</v>
      </c>
      <c r="AA671" s="18"/>
      <c r="AB671" s="18">
        <f t="shared" si="85"/>
        <v>0</v>
      </c>
      <c r="AC671" s="18" t="str">
        <f t="shared" si="86"/>
        <v/>
      </c>
      <c r="AD671" s="18" t="str">
        <f t="shared" si="87"/>
        <v/>
      </c>
      <c r="AF671" t="str">
        <f>IFERROR(INDEX('Task Master'!$D:$D,MATCH($F671,'Task Master'!$C:$C,0)),"")</f>
        <v/>
      </c>
    </row>
    <row r="672" spans="1:32" x14ac:dyDescent="0.25">
      <c r="A672" t="str">
        <f t="shared" si="80"/>
        <v/>
      </c>
      <c r="B672" s="16"/>
      <c r="D672" t="str">
        <f>IF($C672="","",IFERROR(INDEX('Asset Register'!$B:$B,MATCH($C672,'Asset Register'!$A:$A,0)),""))</f>
        <v/>
      </c>
      <c r="H672" t="str">
        <f>IFERROR(INDEX('Task Master'!$E:$E,MATCH($F672&amp;"||"&amp;$G672,'Task Master'!$K:$K,0)),"")</f>
        <v/>
      </c>
      <c r="I672" t="str">
        <f>IFERROR(INDEX('Task Master'!$F:$F,MATCH($F672&amp;"||"&amp;$G672,'Task Master'!$K:$K,0)),"")</f>
        <v/>
      </c>
      <c r="J672" t="str">
        <f>IFERROR(INDEX('Task Master'!$H:$H,MATCH($F672&amp;"||"&amp;$G672,'Task Master'!$K:$K,0)),"")</f>
        <v/>
      </c>
      <c r="N672" s="18" t="str">
        <f t="shared" si="81"/>
        <v/>
      </c>
      <c r="R672" s="18">
        <f t="shared" si="82"/>
        <v>0</v>
      </c>
      <c r="V672" s="18">
        <f t="shared" si="83"/>
        <v>0</v>
      </c>
      <c r="Z672" s="18">
        <f t="shared" si="84"/>
        <v>0</v>
      </c>
      <c r="AA672" s="18"/>
      <c r="AB672" s="18">
        <f t="shared" si="85"/>
        <v>0</v>
      </c>
      <c r="AC672" s="18" t="str">
        <f t="shared" si="86"/>
        <v/>
      </c>
      <c r="AD672" s="18" t="str">
        <f t="shared" si="87"/>
        <v/>
      </c>
      <c r="AF672" t="str">
        <f>IFERROR(INDEX('Task Master'!$D:$D,MATCH($F672,'Task Master'!$C:$C,0)),"")</f>
        <v/>
      </c>
    </row>
    <row r="673" spans="1:32" x14ac:dyDescent="0.25">
      <c r="A673" t="str">
        <f t="shared" si="80"/>
        <v/>
      </c>
      <c r="B673" s="16"/>
      <c r="D673" t="str">
        <f>IF($C673="","",IFERROR(INDEX('Asset Register'!$B:$B,MATCH($C673,'Asset Register'!$A:$A,0)),""))</f>
        <v/>
      </c>
      <c r="H673" t="str">
        <f>IFERROR(INDEX('Task Master'!$E:$E,MATCH($F673&amp;"||"&amp;$G673,'Task Master'!$K:$K,0)),"")</f>
        <v/>
      </c>
      <c r="I673" t="str">
        <f>IFERROR(INDEX('Task Master'!$F:$F,MATCH($F673&amp;"||"&amp;$G673,'Task Master'!$K:$K,0)),"")</f>
        <v/>
      </c>
      <c r="J673" t="str">
        <f>IFERROR(INDEX('Task Master'!$H:$H,MATCH($F673&amp;"||"&amp;$G673,'Task Master'!$K:$K,0)),"")</f>
        <v/>
      </c>
      <c r="N673" s="18" t="str">
        <f t="shared" si="81"/>
        <v/>
      </c>
      <c r="R673" s="18">
        <f t="shared" si="82"/>
        <v>0</v>
      </c>
      <c r="V673" s="18">
        <f t="shared" si="83"/>
        <v>0</v>
      </c>
      <c r="Z673" s="18">
        <f t="shared" si="84"/>
        <v>0</v>
      </c>
      <c r="AA673" s="18"/>
      <c r="AB673" s="18">
        <f t="shared" si="85"/>
        <v>0</v>
      </c>
      <c r="AC673" s="18" t="str">
        <f t="shared" si="86"/>
        <v/>
      </c>
      <c r="AD673" s="18" t="str">
        <f t="shared" si="87"/>
        <v/>
      </c>
      <c r="AF673" t="str">
        <f>IFERROR(INDEX('Task Master'!$D:$D,MATCH($F673,'Task Master'!$C:$C,0)),"")</f>
        <v/>
      </c>
    </row>
    <row r="674" spans="1:32" x14ac:dyDescent="0.25">
      <c r="A674" t="str">
        <f t="shared" si="80"/>
        <v/>
      </c>
      <c r="B674" s="16"/>
      <c r="D674" t="str">
        <f>IF($C674="","",IFERROR(INDEX('Asset Register'!$B:$B,MATCH($C674,'Asset Register'!$A:$A,0)),""))</f>
        <v/>
      </c>
      <c r="H674" t="str">
        <f>IFERROR(INDEX('Task Master'!$E:$E,MATCH($F674&amp;"||"&amp;$G674,'Task Master'!$K:$K,0)),"")</f>
        <v/>
      </c>
      <c r="I674" t="str">
        <f>IFERROR(INDEX('Task Master'!$F:$F,MATCH($F674&amp;"||"&amp;$G674,'Task Master'!$K:$K,0)),"")</f>
        <v/>
      </c>
      <c r="J674" t="str">
        <f>IFERROR(INDEX('Task Master'!$H:$H,MATCH($F674&amp;"||"&amp;$G674,'Task Master'!$K:$K,0)),"")</f>
        <v/>
      </c>
      <c r="N674" s="18" t="str">
        <f t="shared" si="81"/>
        <v/>
      </c>
      <c r="R674" s="18">
        <f t="shared" si="82"/>
        <v>0</v>
      </c>
      <c r="V674" s="18">
        <f t="shared" si="83"/>
        <v>0</v>
      </c>
      <c r="Z674" s="18">
        <f t="shared" si="84"/>
        <v>0</v>
      </c>
      <c r="AA674" s="18"/>
      <c r="AB674" s="18">
        <f t="shared" si="85"/>
        <v>0</v>
      </c>
      <c r="AC674" s="18" t="str">
        <f t="shared" si="86"/>
        <v/>
      </c>
      <c r="AD674" s="18" t="str">
        <f t="shared" si="87"/>
        <v/>
      </c>
      <c r="AF674" t="str">
        <f>IFERROR(INDEX('Task Master'!$D:$D,MATCH($F674,'Task Master'!$C:$C,0)),"")</f>
        <v/>
      </c>
    </row>
    <row r="675" spans="1:32" x14ac:dyDescent="0.25">
      <c r="A675" t="str">
        <f t="shared" si="80"/>
        <v/>
      </c>
      <c r="B675" s="16"/>
      <c r="D675" t="str">
        <f>IF($C675="","",IFERROR(INDEX('Asset Register'!$B:$B,MATCH($C675,'Asset Register'!$A:$A,0)),""))</f>
        <v/>
      </c>
      <c r="H675" t="str">
        <f>IFERROR(INDEX('Task Master'!$E:$E,MATCH($F675&amp;"||"&amp;$G675,'Task Master'!$K:$K,0)),"")</f>
        <v/>
      </c>
      <c r="I675" t="str">
        <f>IFERROR(INDEX('Task Master'!$F:$F,MATCH($F675&amp;"||"&amp;$G675,'Task Master'!$K:$K,0)),"")</f>
        <v/>
      </c>
      <c r="J675" t="str">
        <f>IFERROR(INDEX('Task Master'!$H:$H,MATCH($F675&amp;"||"&amp;$G675,'Task Master'!$K:$K,0)),"")</f>
        <v/>
      </c>
      <c r="N675" s="18" t="str">
        <f t="shared" si="81"/>
        <v/>
      </c>
      <c r="R675" s="18">
        <f t="shared" si="82"/>
        <v>0</v>
      </c>
      <c r="V675" s="18">
        <f t="shared" si="83"/>
        <v>0</v>
      </c>
      <c r="Z675" s="18">
        <f t="shared" si="84"/>
        <v>0</v>
      </c>
      <c r="AA675" s="18"/>
      <c r="AB675" s="18">
        <f t="shared" si="85"/>
        <v>0</v>
      </c>
      <c r="AC675" s="18" t="str">
        <f t="shared" si="86"/>
        <v/>
      </c>
      <c r="AD675" s="18" t="str">
        <f t="shared" si="87"/>
        <v/>
      </c>
      <c r="AF675" t="str">
        <f>IFERROR(INDEX('Task Master'!$D:$D,MATCH($F675,'Task Master'!$C:$C,0)),"")</f>
        <v/>
      </c>
    </row>
    <row r="676" spans="1:32" x14ac:dyDescent="0.25">
      <c r="A676" t="str">
        <f t="shared" si="80"/>
        <v/>
      </c>
      <c r="B676" s="16"/>
      <c r="D676" t="str">
        <f>IF($C676="","",IFERROR(INDEX('Asset Register'!$B:$B,MATCH($C676,'Asset Register'!$A:$A,0)),""))</f>
        <v/>
      </c>
      <c r="H676" t="str">
        <f>IFERROR(INDEX('Task Master'!$E:$E,MATCH($F676&amp;"||"&amp;$G676,'Task Master'!$K:$K,0)),"")</f>
        <v/>
      </c>
      <c r="I676" t="str">
        <f>IFERROR(INDEX('Task Master'!$F:$F,MATCH($F676&amp;"||"&amp;$G676,'Task Master'!$K:$K,0)),"")</f>
        <v/>
      </c>
      <c r="J676" t="str">
        <f>IFERROR(INDEX('Task Master'!$H:$H,MATCH($F676&amp;"||"&amp;$G676,'Task Master'!$K:$K,0)),"")</f>
        <v/>
      </c>
      <c r="N676" s="18" t="str">
        <f t="shared" si="81"/>
        <v/>
      </c>
      <c r="R676" s="18">
        <f t="shared" si="82"/>
        <v>0</v>
      </c>
      <c r="V676" s="18">
        <f t="shared" si="83"/>
        <v>0</v>
      </c>
      <c r="Z676" s="18">
        <f t="shared" si="84"/>
        <v>0</v>
      </c>
      <c r="AA676" s="18"/>
      <c r="AB676" s="18">
        <f t="shared" si="85"/>
        <v>0</v>
      </c>
      <c r="AC676" s="18" t="str">
        <f t="shared" si="86"/>
        <v/>
      </c>
      <c r="AD676" s="18" t="str">
        <f t="shared" si="87"/>
        <v/>
      </c>
      <c r="AF676" t="str">
        <f>IFERROR(INDEX('Task Master'!$D:$D,MATCH($F676,'Task Master'!$C:$C,0)),"")</f>
        <v/>
      </c>
    </row>
    <row r="677" spans="1:32" x14ac:dyDescent="0.25">
      <c r="A677" t="str">
        <f t="shared" si="80"/>
        <v/>
      </c>
      <c r="B677" s="16"/>
      <c r="D677" t="str">
        <f>IF($C677="","",IFERROR(INDEX('Asset Register'!$B:$B,MATCH($C677,'Asset Register'!$A:$A,0)),""))</f>
        <v/>
      </c>
      <c r="H677" t="str">
        <f>IFERROR(INDEX('Task Master'!$E:$E,MATCH($F677&amp;"||"&amp;$G677,'Task Master'!$K:$K,0)),"")</f>
        <v/>
      </c>
      <c r="I677" t="str">
        <f>IFERROR(INDEX('Task Master'!$F:$F,MATCH($F677&amp;"||"&amp;$G677,'Task Master'!$K:$K,0)),"")</f>
        <v/>
      </c>
      <c r="J677" t="str">
        <f>IFERROR(INDEX('Task Master'!$H:$H,MATCH($F677&amp;"||"&amp;$G677,'Task Master'!$K:$K,0)),"")</f>
        <v/>
      </c>
      <c r="N677" s="18" t="str">
        <f t="shared" si="81"/>
        <v/>
      </c>
      <c r="R677" s="18">
        <f t="shared" si="82"/>
        <v>0</v>
      </c>
      <c r="V677" s="18">
        <f t="shared" si="83"/>
        <v>0</v>
      </c>
      <c r="Z677" s="18">
        <f t="shared" si="84"/>
        <v>0</v>
      </c>
      <c r="AA677" s="18"/>
      <c r="AB677" s="18">
        <f t="shared" si="85"/>
        <v>0</v>
      </c>
      <c r="AC677" s="18" t="str">
        <f t="shared" si="86"/>
        <v/>
      </c>
      <c r="AD677" s="18" t="str">
        <f t="shared" si="87"/>
        <v/>
      </c>
      <c r="AF677" t="str">
        <f>IFERROR(INDEX('Task Master'!$D:$D,MATCH($F677,'Task Master'!$C:$C,0)),"")</f>
        <v/>
      </c>
    </row>
    <row r="678" spans="1:32" x14ac:dyDescent="0.25">
      <c r="A678" t="str">
        <f t="shared" si="80"/>
        <v/>
      </c>
      <c r="B678" s="16"/>
      <c r="D678" t="str">
        <f>IF($C678="","",IFERROR(INDEX('Asset Register'!$B:$B,MATCH($C678,'Asset Register'!$A:$A,0)),""))</f>
        <v/>
      </c>
      <c r="H678" t="str">
        <f>IFERROR(INDEX('Task Master'!$E:$E,MATCH($F678&amp;"||"&amp;$G678,'Task Master'!$K:$K,0)),"")</f>
        <v/>
      </c>
      <c r="I678" t="str">
        <f>IFERROR(INDEX('Task Master'!$F:$F,MATCH($F678&amp;"||"&amp;$G678,'Task Master'!$K:$K,0)),"")</f>
        <v/>
      </c>
      <c r="J678" t="str">
        <f>IFERROR(INDEX('Task Master'!$H:$H,MATCH($F678&amp;"||"&amp;$G678,'Task Master'!$K:$K,0)),"")</f>
        <v/>
      </c>
      <c r="N678" s="18" t="str">
        <f t="shared" si="81"/>
        <v/>
      </c>
      <c r="R678" s="18">
        <f t="shared" si="82"/>
        <v>0</v>
      </c>
      <c r="V678" s="18">
        <f t="shared" si="83"/>
        <v>0</v>
      </c>
      <c r="Z678" s="18">
        <f t="shared" si="84"/>
        <v>0</v>
      </c>
      <c r="AA678" s="18"/>
      <c r="AB678" s="18">
        <f t="shared" si="85"/>
        <v>0</v>
      </c>
      <c r="AC678" s="18" t="str">
        <f t="shared" si="86"/>
        <v/>
      </c>
      <c r="AD678" s="18" t="str">
        <f t="shared" si="87"/>
        <v/>
      </c>
      <c r="AF678" t="str">
        <f>IFERROR(INDEX('Task Master'!$D:$D,MATCH($F678,'Task Master'!$C:$C,0)),"")</f>
        <v/>
      </c>
    </row>
    <row r="679" spans="1:32" x14ac:dyDescent="0.25">
      <c r="A679" t="str">
        <f t="shared" si="80"/>
        <v/>
      </c>
      <c r="B679" s="16"/>
      <c r="D679" t="str">
        <f>IF($C679="","",IFERROR(INDEX('Asset Register'!$B:$B,MATCH($C679,'Asset Register'!$A:$A,0)),""))</f>
        <v/>
      </c>
      <c r="H679" t="str">
        <f>IFERROR(INDEX('Task Master'!$E:$E,MATCH($F679&amp;"||"&amp;$G679,'Task Master'!$K:$K,0)),"")</f>
        <v/>
      </c>
      <c r="I679" t="str">
        <f>IFERROR(INDEX('Task Master'!$F:$F,MATCH($F679&amp;"||"&amp;$G679,'Task Master'!$K:$K,0)),"")</f>
        <v/>
      </c>
      <c r="J679" t="str">
        <f>IFERROR(INDEX('Task Master'!$H:$H,MATCH($F679&amp;"||"&amp;$G679,'Task Master'!$K:$K,0)),"")</f>
        <v/>
      </c>
      <c r="N679" s="18" t="str">
        <f t="shared" si="81"/>
        <v/>
      </c>
      <c r="R679" s="18">
        <f t="shared" si="82"/>
        <v>0</v>
      </c>
      <c r="V679" s="18">
        <f t="shared" si="83"/>
        <v>0</v>
      </c>
      <c r="Z679" s="18">
        <f t="shared" si="84"/>
        <v>0</v>
      </c>
      <c r="AA679" s="18"/>
      <c r="AB679" s="18">
        <f t="shared" si="85"/>
        <v>0</v>
      </c>
      <c r="AC679" s="18" t="str">
        <f t="shared" si="86"/>
        <v/>
      </c>
      <c r="AD679" s="18" t="str">
        <f t="shared" si="87"/>
        <v/>
      </c>
      <c r="AF679" t="str">
        <f>IFERROR(INDEX('Task Master'!$D:$D,MATCH($F679,'Task Master'!$C:$C,0)),"")</f>
        <v/>
      </c>
    </row>
    <row r="680" spans="1:32" x14ac:dyDescent="0.25">
      <c r="A680" t="str">
        <f t="shared" si="80"/>
        <v/>
      </c>
      <c r="B680" s="16"/>
      <c r="D680" t="str">
        <f>IF($C680="","",IFERROR(INDEX('Asset Register'!$B:$B,MATCH($C680,'Asset Register'!$A:$A,0)),""))</f>
        <v/>
      </c>
      <c r="H680" t="str">
        <f>IFERROR(INDEX('Task Master'!$E:$E,MATCH($F680&amp;"||"&amp;$G680,'Task Master'!$K:$K,0)),"")</f>
        <v/>
      </c>
      <c r="I680" t="str">
        <f>IFERROR(INDEX('Task Master'!$F:$F,MATCH($F680&amp;"||"&amp;$G680,'Task Master'!$K:$K,0)),"")</f>
        <v/>
      </c>
      <c r="J680" t="str">
        <f>IFERROR(INDEX('Task Master'!$H:$H,MATCH($F680&amp;"||"&amp;$G680,'Task Master'!$K:$K,0)),"")</f>
        <v/>
      </c>
      <c r="N680" s="18" t="str">
        <f t="shared" si="81"/>
        <v/>
      </c>
      <c r="R680" s="18">
        <f t="shared" si="82"/>
        <v>0</v>
      </c>
      <c r="V680" s="18">
        <f t="shared" si="83"/>
        <v>0</v>
      </c>
      <c r="Z680" s="18">
        <f t="shared" si="84"/>
        <v>0</v>
      </c>
      <c r="AA680" s="18"/>
      <c r="AB680" s="18">
        <f t="shared" si="85"/>
        <v>0</v>
      </c>
      <c r="AC680" s="18" t="str">
        <f t="shared" si="86"/>
        <v/>
      </c>
      <c r="AD680" s="18" t="str">
        <f t="shared" si="87"/>
        <v/>
      </c>
      <c r="AF680" t="str">
        <f>IFERROR(INDEX('Task Master'!$D:$D,MATCH($F680,'Task Master'!$C:$C,0)),"")</f>
        <v/>
      </c>
    </row>
    <row r="681" spans="1:32" x14ac:dyDescent="0.25">
      <c r="A681" t="str">
        <f t="shared" si="80"/>
        <v/>
      </c>
      <c r="B681" s="16"/>
      <c r="D681" t="str">
        <f>IF($C681="","",IFERROR(INDEX('Asset Register'!$B:$B,MATCH($C681,'Asset Register'!$A:$A,0)),""))</f>
        <v/>
      </c>
      <c r="H681" t="str">
        <f>IFERROR(INDEX('Task Master'!$E:$E,MATCH($F681&amp;"||"&amp;$G681,'Task Master'!$K:$K,0)),"")</f>
        <v/>
      </c>
      <c r="I681" t="str">
        <f>IFERROR(INDEX('Task Master'!$F:$F,MATCH($F681&amp;"||"&amp;$G681,'Task Master'!$K:$K,0)),"")</f>
        <v/>
      </c>
      <c r="J681" t="str">
        <f>IFERROR(INDEX('Task Master'!$H:$H,MATCH($F681&amp;"||"&amp;$G681,'Task Master'!$K:$K,0)),"")</f>
        <v/>
      </c>
      <c r="N681" s="18" t="str">
        <f t="shared" si="81"/>
        <v/>
      </c>
      <c r="R681" s="18">
        <f t="shared" si="82"/>
        <v>0</v>
      </c>
      <c r="V681" s="18">
        <f t="shared" si="83"/>
        <v>0</v>
      </c>
      <c r="Z681" s="18">
        <f t="shared" si="84"/>
        <v>0</v>
      </c>
      <c r="AA681" s="18"/>
      <c r="AB681" s="18">
        <f t="shared" si="85"/>
        <v>0</v>
      </c>
      <c r="AC681" s="18" t="str">
        <f t="shared" si="86"/>
        <v/>
      </c>
      <c r="AD681" s="18" t="str">
        <f t="shared" si="87"/>
        <v/>
      </c>
      <c r="AF681" t="str">
        <f>IFERROR(INDEX('Task Master'!$D:$D,MATCH($F681,'Task Master'!$C:$C,0)),"")</f>
        <v/>
      </c>
    </row>
    <row r="682" spans="1:32" x14ac:dyDescent="0.25">
      <c r="A682" t="str">
        <f t="shared" si="80"/>
        <v/>
      </c>
      <c r="B682" s="16"/>
      <c r="D682" t="str">
        <f>IF($C682="","",IFERROR(INDEX('Asset Register'!$B:$B,MATCH($C682,'Asset Register'!$A:$A,0)),""))</f>
        <v/>
      </c>
      <c r="H682" t="str">
        <f>IFERROR(INDEX('Task Master'!$E:$E,MATCH($F682&amp;"||"&amp;$G682,'Task Master'!$K:$K,0)),"")</f>
        <v/>
      </c>
      <c r="I682" t="str">
        <f>IFERROR(INDEX('Task Master'!$F:$F,MATCH($F682&amp;"||"&amp;$G682,'Task Master'!$K:$K,0)),"")</f>
        <v/>
      </c>
      <c r="J682" t="str">
        <f>IFERROR(INDEX('Task Master'!$H:$H,MATCH($F682&amp;"||"&amp;$G682,'Task Master'!$K:$K,0)),"")</f>
        <v/>
      </c>
      <c r="N682" s="18" t="str">
        <f t="shared" si="81"/>
        <v/>
      </c>
      <c r="R682" s="18">
        <f t="shared" si="82"/>
        <v>0</v>
      </c>
      <c r="V682" s="18">
        <f t="shared" si="83"/>
        <v>0</v>
      </c>
      <c r="Z682" s="18">
        <f t="shared" si="84"/>
        <v>0</v>
      </c>
      <c r="AA682" s="18"/>
      <c r="AB682" s="18">
        <f t="shared" si="85"/>
        <v>0</v>
      </c>
      <c r="AC682" s="18" t="str">
        <f t="shared" si="86"/>
        <v/>
      </c>
      <c r="AD682" s="18" t="str">
        <f t="shared" si="87"/>
        <v/>
      </c>
      <c r="AF682" t="str">
        <f>IFERROR(INDEX('Task Master'!$D:$D,MATCH($F682,'Task Master'!$C:$C,0)),"")</f>
        <v/>
      </c>
    </row>
    <row r="683" spans="1:32" x14ac:dyDescent="0.25">
      <c r="A683" t="str">
        <f t="shared" si="80"/>
        <v/>
      </c>
      <c r="B683" s="16"/>
      <c r="D683" t="str">
        <f>IF($C683="","",IFERROR(INDEX('Asset Register'!$B:$B,MATCH($C683,'Asset Register'!$A:$A,0)),""))</f>
        <v/>
      </c>
      <c r="H683" t="str">
        <f>IFERROR(INDEX('Task Master'!$E:$E,MATCH($F683&amp;"||"&amp;$G683,'Task Master'!$K:$K,0)),"")</f>
        <v/>
      </c>
      <c r="I683" t="str">
        <f>IFERROR(INDEX('Task Master'!$F:$F,MATCH($F683&amp;"||"&amp;$G683,'Task Master'!$K:$K,0)),"")</f>
        <v/>
      </c>
      <c r="J683" t="str">
        <f>IFERROR(INDEX('Task Master'!$H:$H,MATCH($F683&amp;"||"&amp;$G683,'Task Master'!$K:$K,0)),"")</f>
        <v/>
      </c>
      <c r="N683" s="18" t="str">
        <f t="shared" si="81"/>
        <v/>
      </c>
      <c r="R683" s="18">
        <f t="shared" si="82"/>
        <v>0</v>
      </c>
      <c r="V683" s="18">
        <f t="shared" si="83"/>
        <v>0</v>
      </c>
      <c r="Z683" s="18">
        <f t="shared" si="84"/>
        <v>0</v>
      </c>
      <c r="AA683" s="18"/>
      <c r="AB683" s="18">
        <f t="shared" si="85"/>
        <v>0</v>
      </c>
      <c r="AC683" s="18" t="str">
        <f t="shared" si="86"/>
        <v/>
      </c>
      <c r="AD683" s="18" t="str">
        <f t="shared" si="87"/>
        <v/>
      </c>
      <c r="AF683" t="str">
        <f>IFERROR(INDEX('Task Master'!$D:$D,MATCH($F683,'Task Master'!$C:$C,0)),"")</f>
        <v/>
      </c>
    </row>
    <row r="684" spans="1:32" x14ac:dyDescent="0.25">
      <c r="A684" t="str">
        <f t="shared" si="80"/>
        <v/>
      </c>
      <c r="B684" s="16"/>
      <c r="D684" t="str">
        <f>IF($C684="","",IFERROR(INDEX('Asset Register'!$B:$B,MATCH($C684,'Asset Register'!$A:$A,0)),""))</f>
        <v/>
      </c>
      <c r="H684" t="str">
        <f>IFERROR(INDEX('Task Master'!$E:$E,MATCH($F684&amp;"||"&amp;$G684,'Task Master'!$K:$K,0)),"")</f>
        <v/>
      </c>
      <c r="I684" t="str">
        <f>IFERROR(INDEX('Task Master'!$F:$F,MATCH($F684&amp;"||"&amp;$G684,'Task Master'!$K:$K,0)),"")</f>
        <v/>
      </c>
      <c r="J684" t="str">
        <f>IFERROR(INDEX('Task Master'!$H:$H,MATCH($F684&amp;"||"&amp;$G684,'Task Master'!$K:$K,0)),"")</f>
        <v/>
      </c>
      <c r="N684" s="18" t="str">
        <f t="shared" si="81"/>
        <v/>
      </c>
      <c r="R684" s="18">
        <f t="shared" si="82"/>
        <v>0</v>
      </c>
      <c r="V684" s="18">
        <f t="shared" si="83"/>
        <v>0</v>
      </c>
      <c r="Z684" s="18">
        <f t="shared" si="84"/>
        <v>0</v>
      </c>
      <c r="AA684" s="18"/>
      <c r="AB684" s="18">
        <f t="shared" si="85"/>
        <v>0</v>
      </c>
      <c r="AC684" s="18" t="str">
        <f t="shared" si="86"/>
        <v/>
      </c>
      <c r="AD684" s="18" t="str">
        <f t="shared" si="87"/>
        <v/>
      </c>
      <c r="AF684" t="str">
        <f>IFERROR(INDEX('Task Master'!$D:$D,MATCH($F684,'Task Master'!$C:$C,0)),"")</f>
        <v/>
      </c>
    </row>
    <row r="685" spans="1:32" x14ac:dyDescent="0.25">
      <c r="A685" t="str">
        <f t="shared" si="80"/>
        <v/>
      </c>
      <c r="B685" s="16"/>
      <c r="D685" t="str">
        <f>IF($C685="","",IFERROR(INDEX('Asset Register'!$B:$B,MATCH($C685,'Asset Register'!$A:$A,0)),""))</f>
        <v/>
      </c>
      <c r="H685" t="str">
        <f>IFERROR(INDEX('Task Master'!$E:$E,MATCH($F685&amp;"||"&amp;$G685,'Task Master'!$K:$K,0)),"")</f>
        <v/>
      </c>
      <c r="I685" t="str">
        <f>IFERROR(INDEX('Task Master'!$F:$F,MATCH($F685&amp;"||"&amp;$G685,'Task Master'!$K:$K,0)),"")</f>
        <v/>
      </c>
      <c r="J685" t="str">
        <f>IFERROR(INDEX('Task Master'!$H:$H,MATCH($F685&amp;"||"&amp;$G685,'Task Master'!$K:$K,0)),"")</f>
        <v/>
      </c>
      <c r="N685" s="18" t="str">
        <f t="shared" si="81"/>
        <v/>
      </c>
      <c r="R685" s="18">
        <f t="shared" si="82"/>
        <v>0</v>
      </c>
      <c r="V685" s="18">
        <f t="shared" si="83"/>
        <v>0</v>
      </c>
      <c r="Z685" s="18">
        <f t="shared" si="84"/>
        <v>0</v>
      </c>
      <c r="AA685" s="18"/>
      <c r="AB685" s="18">
        <f t="shared" si="85"/>
        <v>0</v>
      </c>
      <c r="AC685" s="18" t="str">
        <f t="shared" si="86"/>
        <v/>
      </c>
      <c r="AD685" s="18" t="str">
        <f t="shared" si="87"/>
        <v/>
      </c>
      <c r="AF685" t="str">
        <f>IFERROR(INDEX('Task Master'!$D:$D,MATCH($F685,'Task Master'!$C:$C,0)),"")</f>
        <v/>
      </c>
    </row>
    <row r="686" spans="1:32" x14ac:dyDescent="0.25">
      <c r="A686" t="str">
        <f t="shared" si="80"/>
        <v/>
      </c>
      <c r="B686" s="16"/>
      <c r="D686" t="str">
        <f>IF($C686="","",IFERROR(INDEX('Asset Register'!$B:$B,MATCH($C686,'Asset Register'!$A:$A,0)),""))</f>
        <v/>
      </c>
      <c r="H686" t="str">
        <f>IFERROR(INDEX('Task Master'!$E:$E,MATCH($F686&amp;"||"&amp;$G686,'Task Master'!$K:$K,0)),"")</f>
        <v/>
      </c>
      <c r="I686" t="str">
        <f>IFERROR(INDEX('Task Master'!$F:$F,MATCH($F686&amp;"||"&amp;$G686,'Task Master'!$K:$K,0)),"")</f>
        <v/>
      </c>
      <c r="J686" t="str">
        <f>IFERROR(INDEX('Task Master'!$H:$H,MATCH($F686&amp;"||"&amp;$G686,'Task Master'!$K:$K,0)),"")</f>
        <v/>
      </c>
      <c r="N686" s="18" t="str">
        <f t="shared" si="81"/>
        <v/>
      </c>
      <c r="R686" s="18">
        <f t="shared" si="82"/>
        <v>0</v>
      </c>
      <c r="V686" s="18">
        <f t="shared" si="83"/>
        <v>0</v>
      </c>
      <c r="Z686" s="18">
        <f t="shared" si="84"/>
        <v>0</v>
      </c>
      <c r="AA686" s="18"/>
      <c r="AB686" s="18">
        <f t="shared" si="85"/>
        <v>0</v>
      </c>
      <c r="AC686" s="18" t="str">
        <f t="shared" si="86"/>
        <v/>
      </c>
      <c r="AD686" s="18" t="str">
        <f t="shared" si="87"/>
        <v/>
      </c>
      <c r="AF686" t="str">
        <f>IFERROR(INDEX('Task Master'!$D:$D,MATCH($F686,'Task Master'!$C:$C,0)),"")</f>
        <v/>
      </c>
    </row>
    <row r="687" spans="1:32" x14ac:dyDescent="0.25">
      <c r="A687" t="str">
        <f t="shared" si="80"/>
        <v/>
      </c>
      <c r="B687" s="16"/>
      <c r="D687" t="str">
        <f>IF($C687="","",IFERROR(INDEX('Asset Register'!$B:$B,MATCH($C687,'Asset Register'!$A:$A,0)),""))</f>
        <v/>
      </c>
      <c r="H687" t="str">
        <f>IFERROR(INDEX('Task Master'!$E:$E,MATCH($F687&amp;"||"&amp;$G687,'Task Master'!$K:$K,0)),"")</f>
        <v/>
      </c>
      <c r="I687" t="str">
        <f>IFERROR(INDEX('Task Master'!$F:$F,MATCH($F687&amp;"||"&amp;$G687,'Task Master'!$K:$K,0)),"")</f>
        <v/>
      </c>
      <c r="J687" t="str">
        <f>IFERROR(INDEX('Task Master'!$H:$H,MATCH($F687&amp;"||"&amp;$G687,'Task Master'!$K:$K,0)),"")</f>
        <v/>
      </c>
      <c r="N687" s="18" t="str">
        <f t="shared" si="81"/>
        <v/>
      </c>
      <c r="R687" s="18">
        <f t="shared" si="82"/>
        <v>0</v>
      </c>
      <c r="V687" s="18">
        <f t="shared" si="83"/>
        <v>0</v>
      </c>
      <c r="Z687" s="18">
        <f t="shared" si="84"/>
        <v>0</v>
      </c>
      <c r="AA687" s="18"/>
      <c r="AB687" s="18">
        <f t="shared" si="85"/>
        <v>0</v>
      </c>
      <c r="AC687" s="18" t="str">
        <f t="shared" si="86"/>
        <v/>
      </c>
      <c r="AD687" s="18" t="str">
        <f t="shared" si="87"/>
        <v/>
      </c>
      <c r="AF687" t="str">
        <f>IFERROR(INDEX('Task Master'!$D:$D,MATCH($F687,'Task Master'!$C:$C,0)),"")</f>
        <v/>
      </c>
    </row>
    <row r="688" spans="1:32" x14ac:dyDescent="0.25">
      <c r="A688" t="str">
        <f t="shared" si="80"/>
        <v/>
      </c>
      <c r="B688" s="16"/>
      <c r="D688" t="str">
        <f>IF($C688="","",IFERROR(INDEX('Asset Register'!$B:$B,MATCH($C688,'Asset Register'!$A:$A,0)),""))</f>
        <v/>
      </c>
      <c r="H688" t="str">
        <f>IFERROR(INDEX('Task Master'!$E:$E,MATCH($F688&amp;"||"&amp;$G688,'Task Master'!$K:$K,0)),"")</f>
        <v/>
      </c>
      <c r="I688" t="str">
        <f>IFERROR(INDEX('Task Master'!$F:$F,MATCH($F688&amp;"||"&amp;$G688,'Task Master'!$K:$K,0)),"")</f>
        <v/>
      </c>
      <c r="J688" t="str">
        <f>IFERROR(INDEX('Task Master'!$H:$H,MATCH($F688&amp;"||"&amp;$G688,'Task Master'!$K:$K,0)),"")</f>
        <v/>
      </c>
      <c r="N688" s="18" t="str">
        <f t="shared" si="81"/>
        <v/>
      </c>
      <c r="R688" s="18">
        <f t="shared" si="82"/>
        <v>0</v>
      </c>
      <c r="V688" s="18">
        <f t="shared" si="83"/>
        <v>0</v>
      </c>
      <c r="Z688" s="18">
        <f t="shared" si="84"/>
        <v>0</v>
      </c>
      <c r="AA688" s="18"/>
      <c r="AB688" s="18">
        <f t="shared" si="85"/>
        <v>0</v>
      </c>
      <c r="AC688" s="18" t="str">
        <f t="shared" si="86"/>
        <v/>
      </c>
      <c r="AD688" s="18" t="str">
        <f t="shared" si="87"/>
        <v/>
      </c>
      <c r="AF688" t="str">
        <f>IFERROR(INDEX('Task Master'!$D:$D,MATCH($F688,'Task Master'!$C:$C,0)),"")</f>
        <v/>
      </c>
    </row>
    <row r="689" spans="1:32" x14ac:dyDescent="0.25">
      <c r="A689" t="str">
        <f t="shared" si="80"/>
        <v/>
      </c>
      <c r="B689" s="16"/>
      <c r="D689" t="str">
        <f>IF($C689="","",IFERROR(INDEX('Asset Register'!$B:$B,MATCH($C689,'Asset Register'!$A:$A,0)),""))</f>
        <v/>
      </c>
      <c r="H689" t="str">
        <f>IFERROR(INDEX('Task Master'!$E:$E,MATCH($F689&amp;"||"&amp;$G689,'Task Master'!$K:$K,0)),"")</f>
        <v/>
      </c>
      <c r="I689" t="str">
        <f>IFERROR(INDEX('Task Master'!$F:$F,MATCH($F689&amp;"||"&amp;$G689,'Task Master'!$K:$K,0)),"")</f>
        <v/>
      </c>
      <c r="J689" t="str">
        <f>IFERROR(INDEX('Task Master'!$H:$H,MATCH($F689&amp;"||"&amp;$G689,'Task Master'!$K:$K,0)),"")</f>
        <v/>
      </c>
      <c r="N689" s="18" t="str">
        <f t="shared" si="81"/>
        <v/>
      </c>
      <c r="R689" s="18">
        <f t="shared" si="82"/>
        <v>0</v>
      </c>
      <c r="V689" s="18">
        <f t="shared" si="83"/>
        <v>0</v>
      </c>
      <c r="Z689" s="18">
        <f t="shared" si="84"/>
        <v>0</v>
      </c>
      <c r="AA689" s="18"/>
      <c r="AB689" s="18">
        <f t="shared" si="85"/>
        <v>0</v>
      </c>
      <c r="AC689" s="18" t="str">
        <f t="shared" si="86"/>
        <v/>
      </c>
      <c r="AD689" s="18" t="str">
        <f t="shared" si="87"/>
        <v/>
      </c>
      <c r="AF689" t="str">
        <f>IFERROR(INDEX('Task Master'!$D:$D,MATCH($F689,'Task Master'!$C:$C,0)),"")</f>
        <v/>
      </c>
    </row>
    <row r="690" spans="1:32" x14ac:dyDescent="0.25">
      <c r="A690" t="str">
        <f t="shared" si="80"/>
        <v/>
      </c>
      <c r="B690" s="16"/>
      <c r="D690" t="str">
        <f>IF($C690="","",IFERROR(INDEX('Asset Register'!$B:$B,MATCH($C690,'Asset Register'!$A:$A,0)),""))</f>
        <v/>
      </c>
      <c r="H690" t="str">
        <f>IFERROR(INDEX('Task Master'!$E:$E,MATCH($F690&amp;"||"&amp;$G690,'Task Master'!$K:$K,0)),"")</f>
        <v/>
      </c>
      <c r="I690" t="str">
        <f>IFERROR(INDEX('Task Master'!$F:$F,MATCH($F690&amp;"||"&amp;$G690,'Task Master'!$K:$K,0)),"")</f>
        <v/>
      </c>
      <c r="J690" t="str">
        <f>IFERROR(INDEX('Task Master'!$H:$H,MATCH($F690&amp;"||"&amp;$G690,'Task Master'!$K:$K,0)),"")</f>
        <v/>
      </c>
      <c r="N690" s="18" t="str">
        <f t="shared" si="81"/>
        <v/>
      </c>
      <c r="R690" s="18">
        <f t="shared" si="82"/>
        <v>0</v>
      </c>
      <c r="V690" s="18">
        <f t="shared" si="83"/>
        <v>0</v>
      </c>
      <c r="Z690" s="18">
        <f t="shared" si="84"/>
        <v>0</v>
      </c>
      <c r="AA690" s="18"/>
      <c r="AB690" s="18">
        <f t="shared" si="85"/>
        <v>0</v>
      </c>
      <c r="AC690" s="18" t="str">
        <f t="shared" si="86"/>
        <v/>
      </c>
      <c r="AD690" s="18" t="str">
        <f t="shared" si="87"/>
        <v/>
      </c>
      <c r="AF690" t="str">
        <f>IFERROR(INDEX('Task Master'!$D:$D,MATCH($F690,'Task Master'!$C:$C,0)),"")</f>
        <v/>
      </c>
    </row>
    <row r="691" spans="1:32" x14ac:dyDescent="0.25">
      <c r="A691" t="str">
        <f t="shared" si="80"/>
        <v/>
      </c>
      <c r="B691" s="16"/>
      <c r="D691" t="str">
        <f>IF($C691="","",IFERROR(INDEX('Asset Register'!$B:$B,MATCH($C691,'Asset Register'!$A:$A,0)),""))</f>
        <v/>
      </c>
      <c r="H691" t="str">
        <f>IFERROR(INDEX('Task Master'!$E:$E,MATCH($F691&amp;"||"&amp;$G691,'Task Master'!$K:$K,0)),"")</f>
        <v/>
      </c>
      <c r="I691" t="str">
        <f>IFERROR(INDEX('Task Master'!$F:$F,MATCH($F691&amp;"||"&amp;$G691,'Task Master'!$K:$K,0)),"")</f>
        <v/>
      </c>
      <c r="J691" t="str">
        <f>IFERROR(INDEX('Task Master'!$H:$H,MATCH($F691&amp;"||"&amp;$G691,'Task Master'!$K:$K,0)),"")</f>
        <v/>
      </c>
      <c r="N691" s="18" t="str">
        <f t="shared" si="81"/>
        <v/>
      </c>
      <c r="R691" s="18">
        <f t="shared" si="82"/>
        <v>0</v>
      </c>
      <c r="V691" s="18">
        <f t="shared" si="83"/>
        <v>0</v>
      </c>
      <c r="Z691" s="18">
        <f t="shared" si="84"/>
        <v>0</v>
      </c>
      <c r="AA691" s="18"/>
      <c r="AB691" s="18">
        <f t="shared" si="85"/>
        <v>0</v>
      </c>
      <c r="AC691" s="18" t="str">
        <f t="shared" si="86"/>
        <v/>
      </c>
      <c r="AD691" s="18" t="str">
        <f t="shared" si="87"/>
        <v/>
      </c>
      <c r="AF691" t="str">
        <f>IFERROR(INDEX('Task Master'!$D:$D,MATCH($F691,'Task Master'!$C:$C,0)),"")</f>
        <v/>
      </c>
    </row>
    <row r="692" spans="1:32" x14ac:dyDescent="0.25">
      <c r="A692" t="str">
        <f t="shared" si="80"/>
        <v/>
      </c>
      <c r="B692" s="16"/>
      <c r="D692" t="str">
        <f>IF($C692="","",IFERROR(INDEX('Asset Register'!$B:$B,MATCH($C692,'Asset Register'!$A:$A,0)),""))</f>
        <v/>
      </c>
      <c r="H692" t="str">
        <f>IFERROR(INDEX('Task Master'!$E:$E,MATCH($F692&amp;"||"&amp;$G692,'Task Master'!$K:$K,0)),"")</f>
        <v/>
      </c>
      <c r="I692" t="str">
        <f>IFERROR(INDEX('Task Master'!$F:$F,MATCH($F692&amp;"||"&amp;$G692,'Task Master'!$K:$K,0)),"")</f>
        <v/>
      </c>
      <c r="J692" t="str">
        <f>IFERROR(INDEX('Task Master'!$H:$H,MATCH($F692&amp;"||"&amp;$G692,'Task Master'!$K:$K,0)),"")</f>
        <v/>
      </c>
      <c r="N692" s="18" t="str">
        <f t="shared" si="81"/>
        <v/>
      </c>
      <c r="R692" s="18">
        <f t="shared" si="82"/>
        <v>0</v>
      </c>
      <c r="V692" s="18">
        <f t="shared" si="83"/>
        <v>0</v>
      </c>
      <c r="Z692" s="18">
        <f t="shared" si="84"/>
        <v>0</v>
      </c>
      <c r="AA692" s="18"/>
      <c r="AB692" s="18">
        <f t="shared" si="85"/>
        <v>0</v>
      </c>
      <c r="AC692" s="18" t="str">
        <f t="shared" si="86"/>
        <v/>
      </c>
      <c r="AD692" s="18" t="str">
        <f t="shared" si="87"/>
        <v/>
      </c>
      <c r="AF692" t="str">
        <f>IFERROR(INDEX('Task Master'!$D:$D,MATCH($F692,'Task Master'!$C:$C,0)),"")</f>
        <v/>
      </c>
    </row>
    <row r="693" spans="1:32" x14ac:dyDescent="0.25">
      <c r="A693" t="str">
        <f t="shared" si="80"/>
        <v/>
      </c>
      <c r="B693" s="16"/>
      <c r="D693" t="str">
        <f>IF($C693="","",IFERROR(INDEX('Asset Register'!$B:$B,MATCH($C693,'Asset Register'!$A:$A,0)),""))</f>
        <v/>
      </c>
      <c r="H693" t="str">
        <f>IFERROR(INDEX('Task Master'!$E:$E,MATCH($F693&amp;"||"&amp;$G693,'Task Master'!$K:$K,0)),"")</f>
        <v/>
      </c>
      <c r="I693" t="str">
        <f>IFERROR(INDEX('Task Master'!$F:$F,MATCH($F693&amp;"||"&amp;$G693,'Task Master'!$K:$K,0)),"")</f>
        <v/>
      </c>
      <c r="J693" t="str">
        <f>IFERROR(INDEX('Task Master'!$H:$H,MATCH($F693&amp;"||"&amp;$G693,'Task Master'!$K:$K,0)),"")</f>
        <v/>
      </c>
      <c r="N693" s="18" t="str">
        <f t="shared" si="81"/>
        <v/>
      </c>
      <c r="R693" s="18">
        <f t="shared" si="82"/>
        <v>0</v>
      </c>
      <c r="V693" s="18">
        <f t="shared" si="83"/>
        <v>0</v>
      </c>
      <c r="Z693" s="18">
        <f t="shared" si="84"/>
        <v>0</v>
      </c>
      <c r="AA693" s="18"/>
      <c r="AB693" s="18">
        <f t="shared" si="85"/>
        <v>0</v>
      </c>
      <c r="AC693" s="18" t="str">
        <f t="shared" si="86"/>
        <v/>
      </c>
      <c r="AD693" s="18" t="str">
        <f t="shared" si="87"/>
        <v/>
      </c>
      <c r="AF693" t="str">
        <f>IFERROR(INDEX('Task Master'!$D:$D,MATCH($F693,'Task Master'!$C:$C,0)),"")</f>
        <v/>
      </c>
    </row>
    <row r="694" spans="1:32" x14ac:dyDescent="0.25">
      <c r="A694" t="str">
        <f t="shared" si="80"/>
        <v/>
      </c>
      <c r="B694" s="16"/>
      <c r="D694" t="str">
        <f>IF($C694="","",IFERROR(INDEX('Asset Register'!$B:$B,MATCH($C694,'Asset Register'!$A:$A,0)),""))</f>
        <v/>
      </c>
      <c r="H694" t="str">
        <f>IFERROR(INDEX('Task Master'!$E:$E,MATCH($F694&amp;"||"&amp;$G694,'Task Master'!$K:$K,0)),"")</f>
        <v/>
      </c>
      <c r="I694" t="str">
        <f>IFERROR(INDEX('Task Master'!$F:$F,MATCH($F694&amp;"||"&amp;$G694,'Task Master'!$K:$K,0)),"")</f>
        <v/>
      </c>
      <c r="J694" t="str">
        <f>IFERROR(INDEX('Task Master'!$H:$H,MATCH($F694&amp;"||"&amp;$G694,'Task Master'!$K:$K,0)),"")</f>
        <v/>
      </c>
      <c r="N694" s="18" t="str">
        <f t="shared" si="81"/>
        <v/>
      </c>
      <c r="R694" s="18">
        <f t="shared" si="82"/>
        <v>0</v>
      </c>
      <c r="V694" s="18">
        <f t="shared" si="83"/>
        <v>0</v>
      </c>
      <c r="Z694" s="18">
        <f t="shared" si="84"/>
        <v>0</v>
      </c>
      <c r="AA694" s="18"/>
      <c r="AB694" s="18">
        <f t="shared" si="85"/>
        <v>0</v>
      </c>
      <c r="AC694" s="18" t="str">
        <f t="shared" si="86"/>
        <v/>
      </c>
      <c r="AD694" s="18" t="str">
        <f t="shared" si="87"/>
        <v/>
      </c>
      <c r="AF694" t="str">
        <f>IFERROR(INDEX('Task Master'!$D:$D,MATCH($F694,'Task Master'!$C:$C,0)),"")</f>
        <v/>
      </c>
    </row>
    <row r="695" spans="1:32" x14ac:dyDescent="0.25">
      <c r="A695" t="str">
        <f t="shared" si="80"/>
        <v/>
      </c>
      <c r="B695" s="16"/>
      <c r="D695" t="str">
        <f>IF($C695="","",IFERROR(INDEX('Asset Register'!$B:$B,MATCH($C695,'Asset Register'!$A:$A,0)),""))</f>
        <v/>
      </c>
      <c r="H695" t="str">
        <f>IFERROR(INDEX('Task Master'!$E:$E,MATCH($F695&amp;"||"&amp;$G695,'Task Master'!$K:$K,0)),"")</f>
        <v/>
      </c>
      <c r="I695" t="str">
        <f>IFERROR(INDEX('Task Master'!$F:$F,MATCH($F695&amp;"||"&amp;$G695,'Task Master'!$K:$K,0)),"")</f>
        <v/>
      </c>
      <c r="J695" t="str">
        <f>IFERROR(INDEX('Task Master'!$H:$H,MATCH($F695&amp;"||"&amp;$G695,'Task Master'!$K:$K,0)),"")</f>
        <v/>
      </c>
      <c r="N695" s="18" t="str">
        <f t="shared" si="81"/>
        <v/>
      </c>
      <c r="R695" s="18">
        <f t="shared" si="82"/>
        <v>0</v>
      </c>
      <c r="V695" s="18">
        <f t="shared" si="83"/>
        <v>0</v>
      </c>
      <c r="Z695" s="18">
        <f t="shared" si="84"/>
        <v>0</v>
      </c>
      <c r="AA695" s="18"/>
      <c r="AB695" s="18">
        <f t="shared" si="85"/>
        <v>0</v>
      </c>
      <c r="AC695" s="18" t="str">
        <f t="shared" si="86"/>
        <v/>
      </c>
      <c r="AD695" s="18" t="str">
        <f t="shared" si="87"/>
        <v/>
      </c>
      <c r="AF695" t="str">
        <f>IFERROR(INDEX('Task Master'!$D:$D,MATCH($F695,'Task Master'!$C:$C,0)),"")</f>
        <v/>
      </c>
    </row>
    <row r="696" spans="1:32" x14ac:dyDescent="0.25">
      <c r="A696" t="str">
        <f t="shared" si="80"/>
        <v/>
      </c>
      <c r="B696" s="16"/>
      <c r="D696" t="str">
        <f>IF($C696="","",IFERROR(INDEX('Asset Register'!$B:$B,MATCH($C696,'Asset Register'!$A:$A,0)),""))</f>
        <v/>
      </c>
      <c r="H696" t="str">
        <f>IFERROR(INDEX('Task Master'!$E:$E,MATCH($F696&amp;"||"&amp;$G696,'Task Master'!$K:$K,0)),"")</f>
        <v/>
      </c>
      <c r="I696" t="str">
        <f>IFERROR(INDEX('Task Master'!$F:$F,MATCH($F696&amp;"||"&amp;$G696,'Task Master'!$K:$K,0)),"")</f>
        <v/>
      </c>
      <c r="J696" t="str">
        <f>IFERROR(INDEX('Task Master'!$H:$H,MATCH($F696&amp;"||"&amp;$G696,'Task Master'!$K:$K,0)),"")</f>
        <v/>
      </c>
      <c r="N696" s="18" t="str">
        <f t="shared" si="81"/>
        <v/>
      </c>
      <c r="R696" s="18">
        <f t="shared" si="82"/>
        <v>0</v>
      </c>
      <c r="V696" s="18">
        <f t="shared" si="83"/>
        <v>0</v>
      </c>
      <c r="Z696" s="18">
        <f t="shared" si="84"/>
        <v>0</v>
      </c>
      <c r="AA696" s="18"/>
      <c r="AB696" s="18">
        <f t="shared" si="85"/>
        <v>0</v>
      </c>
      <c r="AC696" s="18" t="str">
        <f t="shared" si="86"/>
        <v/>
      </c>
      <c r="AD696" s="18" t="str">
        <f t="shared" si="87"/>
        <v/>
      </c>
      <c r="AF696" t="str">
        <f>IFERROR(INDEX('Task Master'!$D:$D,MATCH($F696,'Task Master'!$C:$C,0)),"")</f>
        <v/>
      </c>
    </row>
    <row r="697" spans="1:32" x14ac:dyDescent="0.25">
      <c r="A697" t="str">
        <f t="shared" si="80"/>
        <v/>
      </c>
      <c r="B697" s="16"/>
      <c r="D697" t="str">
        <f>IF($C697="","",IFERROR(INDEX('Asset Register'!$B:$B,MATCH($C697,'Asset Register'!$A:$A,0)),""))</f>
        <v/>
      </c>
      <c r="H697" t="str">
        <f>IFERROR(INDEX('Task Master'!$E:$E,MATCH($F697&amp;"||"&amp;$G697,'Task Master'!$K:$K,0)),"")</f>
        <v/>
      </c>
      <c r="I697" t="str">
        <f>IFERROR(INDEX('Task Master'!$F:$F,MATCH($F697&amp;"||"&amp;$G697,'Task Master'!$K:$K,0)),"")</f>
        <v/>
      </c>
      <c r="J697" t="str">
        <f>IFERROR(INDEX('Task Master'!$H:$H,MATCH($F697&amp;"||"&amp;$G697,'Task Master'!$K:$K,0)),"")</f>
        <v/>
      </c>
      <c r="N697" s="18" t="str">
        <f t="shared" si="81"/>
        <v/>
      </c>
      <c r="R697" s="18">
        <f t="shared" si="82"/>
        <v>0</v>
      </c>
      <c r="V697" s="18">
        <f t="shared" si="83"/>
        <v>0</v>
      </c>
      <c r="Z697" s="18">
        <f t="shared" si="84"/>
        <v>0</v>
      </c>
      <c r="AA697" s="18"/>
      <c r="AB697" s="18">
        <f t="shared" si="85"/>
        <v>0</v>
      </c>
      <c r="AC697" s="18" t="str">
        <f t="shared" si="86"/>
        <v/>
      </c>
      <c r="AD697" s="18" t="str">
        <f t="shared" si="87"/>
        <v/>
      </c>
      <c r="AF697" t="str">
        <f>IFERROR(INDEX('Task Master'!$D:$D,MATCH($F697,'Task Master'!$C:$C,0)),"")</f>
        <v/>
      </c>
    </row>
    <row r="698" spans="1:32" x14ac:dyDescent="0.25">
      <c r="A698" t="str">
        <f t="shared" si="80"/>
        <v/>
      </c>
      <c r="B698" s="16"/>
      <c r="D698" t="str">
        <f>IF($C698="","",IFERROR(INDEX('Asset Register'!$B:$B,MATCH($C698,'Asset Register'!$A:$A,0)),""))</f>
        <v/>
      </c>
      <c r="H698" t="str">
        <f>IFERROR(INDEX('Task Master'!$E:$E,MATCH($F698&amp;"||"&amp;$G698,'Task Master'!$K:$K,0)),"")</f>
        <v/>
      </c>
      <c r="I698" t="str">
        <f>IFERROR(INDEX('Task Master'!$F:$F,MATCH($F698&amp;"||"&amp;$G698,'Task Master'!$K:$K,0)),"")</f>
        <v/>
      </c>
      <c r="J698" t="str">
        <f>IFERROR(INDEX('Task Master'!$H:$H,MATCH($F698&amp;"||"&amp;$G698,'Task Master'!$K:$K,0)),"")</f>
        <v/>
      </c>
      <c r="N698" s="18" t="str">
        <f t="shared" si="81"/>
        <v/>
      </c>
      <c r="R698" s="18">
        <f t="shared" si="82"/>
        <v>0</v>
      </c>
      <c r="V698" s="18">
        <f t="shared" si="83"/>
        <v>0</v>
      </c>
      <c r="Z698" s="18">
        <f t="shared" si="84"/>
        <v>0</v>
      </c>
      <c r="AA698" s="18"/>
      <c r="AB698" s="18">
        <f t="shared" si="85"/>
        <v>0</v>
      </c>
      <c r="AC698" s="18" t="str">
        <f t="shared" si="86"/>
        <v/>
      </c>
      <c r="AD698" s="18" t="str">
        <f t="shared" si="87"/>
        <v/>
      </c>
      <c r="AF698" t="str">
        <f>IFERROR(INDEX('Task Master'!$D:$D,MATCH($F698,'Task Master'!$C:$C,0)),"")</f>
        <v/>
      </c>
    </row>
    <row r="699" spans="1:32" x14ac:dyDescent="0.25">
      <c r="A699" t="str">
        <f t="shared" si="80"/>
        <v/>
      </c>
      <c r="B699" s="16"/>
      <c r="D699" t="str">
        <f>IF($C699="","",IFERROR(INDEX('Asset Register'!$B:$B,MATCH($C699,'Asset Register'!$A:$A,0)),""))</f>
        <v/>
      </c>
      <c r="H699" t="str">
        <f>IFERROR(INDEX('Task Master'!$E:$E,MATCH($F699&amp;"||"&amp;$G699,'Task Master'!$K:$K,0)),"")</f>
        <v/>
      </c>
      <c r="I699" t="str">
        <f>IFERROR(INDEX('Task Master'!$F:$F,MATCH($F699&amp;"||"&amp;$G699,'Task Master'!$K:$K,0)),"")</f>
        <v/>
      </c>
      <c r="J699" t="str">
        <f>IFERROR(INDEX('Task Master'!$H:$H,MATCH($F699&amp;"||"&amp;$G699,'Task Master'!$K:$K,0)),"")</f>
        <v/>
      </c>
      <c r="N699" s="18" t="str">
        <f t="shared" si="81"/>
        <v/>
      </c>
      <c r="R699" s="18">
        <f t="shared" si="82"/>
        <v>0</v>
      </c>
      <c r="V699" s="18">
        <f t="shared" si="83"/>
        <v>0</v>
      </c>
      <c r="Z699" s="18">
        <f t="shared" si="84"/>
        <v>0</v>
      </c>
      <c r="AA699" s="18"/>
      <c r="AB699" s="18">
        <f t="shared" si="85"/>
        <v>0</v>
      </c>
      <c r="AC699" s="18" t="str">
        <f t="shared" si="86"/>
        <v/>
      </c>
      <c r="AD699" s="18" t="str">
        <f t="shared" si="87"/>
        <v/>
      </c>
      <c r="AF699" t="str">
        <f>IFERROR(INDEX('Task Master'!$D:$D,MATCH($F699,'Task Master'!$C:$C,0)),"")</f>
        <v/>
      </c>
    </row>
    <row r="700" spans="1:32" x14ac:dyDescent="0.25">
      <c r="A700" t="str">
        <f t="shared" si="80"/>
        <v/>
      </c>
      <c r="B700" s="16"/>
      <c r="D700" t="str">
        <f>IF($C700="","",IFERROR(INDEX('Asset Register'!$B:$B,MATCH($C700,'Asset Register'!$A:$A,0)),""))</f>
        <v/>
      </c>
      <c r="H700" t="str">
        <f>IFERROR(INDEX('Task Master'!$E:$E,MATCH($F700&amp;"||"&amp;$G700,'Task Master'!$K:$K,0)),"")</f>
        <v/>
      </c>
      <c r="I700" t="str">
        <f>IFERROR(INDEX('Task Master'!$F:$F,MATCH($F700&amp;"||"&amp;$G700,'Task Master'!$K:$K,0)),"")</f>
        <v/>
      </c>
      <c r="J700" t="str">
        <f>IFERROR(INDEX('Task Master'!$H:$H,MATCH($F700&amp;"||"&amp;$G700,'Task Master'!$K:$K,0)),"")</f>
        <v/>
      </c>
      <c r="N700" s="18" t="str">
        <f t="shared" si="81"/>
        <v/>
      </c>
      <c r="R700" s="18">
        <f t="shared" si="82"/>
        <v>0</v>
      </c>
      <c r="V700" s="18">
        <f t="shared" si="83"/>
        <v>0</v>
      </c>
      <c r="Z700" s="18">
        <f t="shared" si="84"/>
        <v>0</v>
      </c>
      <c r="AA700" s="18"/>
      <c r="AB700" s="18">
        <f t="shared" si="85"/>
        <v>0</v>
      </c>
      <c r="AC700" s="18" t="str">
        <f t="shared" si="86"/>
        <v/>
      </c>
      <c r="AD700" s="18" t="str">
        <f t="shared" si="87"/>
        <v/>
      </c>
      <c r="AF700" t="str">
        <f>IFERROR(INDEX('Task Master'!$D:$D,MATCH($F700,'Task Master'!$C:$C,0)),"")</f>
        <v/>
      </c>
    </row>
    <row r="701" spans="1:32" x14ac:dyDescent="0.25">
      <c r="A701" t="str">
        <f t="shared" si="80"/>
        <v/>
      </c>
      <c r="B701" s="16"/>
      <c r="D701" t="str">
        <f>IF($C701="","",IFERROR(INDEX('Asset Register'!$B:$B,MATCH($C701,'Asset Register'!$A:$A,0)),""))</f>
        <v/>
      </c>
      <c r="H701" t="str">
        <f>IFERROR(INDEX('Task Master'!$E:$E,MATCH($F701&amp;"||"&amp;$G701,'Task Master'!$K:$K,0)),"")</f>
        <v/>
      </c>
      <c r="I701" t="str">
        <f>IFERROR(INDEX('Task Master'!$F:$F,MATCH($F701&amp;"||"&amp;$G701,'Task Master'!$K:$K,0)),"")</f>
        <v/>
      </c>
      <c r="J701" t="str">
        <f>IFERROR(INDEX('Task Master'!$H:$H,MATCH($F701&amp;"||"&amp;$G701,'Task Master'!$K:$K,0)),"")</f>
        <v/>
      </c>
      <c r="N701" s="18" t="str">
        <f t="shared" si="81"/>
        <v/>
      </c>
      <c r="R701" s="18">
        <f t="shared" si="82"/>
        <v>0</v>
      </c>
      <c r="V701" s="18">
        <f t="shared" si="83"/>
        <v>0</v>
      </c>
      <c r="Z701" s="18">
        <f t="shared" si="84"/>
        <v>0</v>
      </c>
      <c r="AA701" s="18"/>
      <c r="AB701" s="18">
        <f t="shared" si="85"/>
        <v>0</v>
      </c>
      <c r="AC701" s="18" t="str">
        <f t="shared" si="86"/>
        <v/>
      </c>
      <c r="AD701" s="18" t="str">
        <f t="shared" si="87"/>
        <v/>
      </c>
      <c r="AF701" t="str">
        <f>IFERROR(INDEX('Task Master'!$D:$D,MATCH($F701,'Task Master'!$C:$C,0)),"")</f>
        <v/>
      </c>
    </row>
    <row r="702" spans="1:32" x14ac:dyDescent="0.25">
      <c r="A702" t="str">
        <f t="shared" si="80"/>
        <v/>
      </c>
      <c r="B702" s="16"/>
      <c r="D702" t="str">
        <f>IF($C702="","",IFERROR(INDEX('Asset Register'!$B:$B,MATCH($C702,'Asset Register'!$A:$A,0)),""))</f>
        <v/>
      </c>
      <c r="H702" t="str">
        <f>IFERROR(INDEX('Task Master'!$E:$E,MATCH($F702&amp;"||"&amp;$G702,'Task Master'!$K:$K,0)),"")</f>
        <v/>
      </c>
      <c r="I702" t="str">
        <f>IFERROR(INDEX('Task Master'!$F:$F,MATCH($F702&amp;"||"&amp;$G702,'Task Master'!$K:$K,0)),"")</f>
        <v/>
      </c>
      <c r="J702" t="str">
        <f>IFERROR(INDEX('Task Master'!$H:$H,MATCH($F702&amp;"||"&amp;$G702,'Task Master'!$K:$K,0)),"")</f>
        <v/>
      </c>
      <c r="N702" s="18" t="str">
        <f t="shared" si="81"/>
        <v/>
      </c>
      <c r="R702" s="18">
        <f t="shared" si="82"/>
        <v>0</v>
      </c>
      <c r="V702" s="18">
        <f t="shared" si="83"/>
        <v>0</v>
      </c>
      <c r="Z702" s="18">
        <f t="shared" si="84"/>
        <v>0</v>
      </c>
      <c r="AA702" s="18"/>
      <c r="AB702" s="18">
        <f t="shared" si="85"/>
        <v>0</v>
      </c>
      <c r="AC702" s="18" t="str">
        <f t="shared" si="86"/>
        <v/>
      </c>
      <c r="AD702" s="18" t="str">
        <f t="shared" si="87"/>
        <v/>
      </c>
      <c r="AF702" t="str">
        <f>IFERROR(INDEX('Task Master'!$D:$D,MATCH($F702,'Task Master'!$C:$C,0)),"")</f>
        <v/>
      </c>
    </row>
    <row r="703" spans="1:32" x14ac:dyDescent="0.25">
      <c r="A703" t="str">
        <f t="shared" si="80"/>
        <v/>
      </c>
      <c r="B703" s="16"/>
      <c r="D703" t="str">
        <f>IF($C703="","",IFERROR(INDEX('Asset Register'!$B:$B,MATCH($C703,'Asset Register'!$A:$A,0)),""))</f>
        <v/>
      </c>
      <c r="H703" t="str">
        <f>IFERROR(INDEX('Task Master'!$E:$E,MATCH($F703&amp;"||"&amp;$G703,'Task Master'!$K:$K,0)),"")</f>
        <v/>
      </c>
      <c r="I703" t="str">
        <f>IFERROR(INDEX('Task Master'!$F:$F,MATCH($F703&amp;"||"&amp;$G703,'Task Master'!$K:$K,0)),"")</f>
        <v/>
      </c>
      <c r="J703" t="str">
        <f>IFERROR(INDEX('Task Master'!$H:$H,MATCH($F703&amp;"||"&amp;$G703,'Task Master'!$K:$K,0)),"")</f>
        <v/>
      </c>
      <c r="N703" s="18" t="str">
        <f t="shared" si="81"/>
        <v/>
      </c>
      <c r="R703" s="18">
        <f t="shared" si="82"/>
        <v>0</v>
      </c>
      <c r="V703" s="18">
        <f t="shared" si="83"/>
        <v>0</v>
      </c>
      <c r="Z703" s="18">
        <f t="shared" si="84"/>
        <v>0</v>
      </c>
      <c r="AA703" s="18"/>
      <c r="AB703" s="18">
        <f t="shared" si="85"/>
        <v>0</v>
      </c>
      <c r="AC703" s="18" t="str">
        <f t="shared" si="86"/>
        <v/>
      </c>
      <c r="AD703" s="18" t="str">
        <f t="shared" si="87"/>
        <v/>
      </c>
      <c r="AF703" t="str">
        <f>IFERROR(INDEX('Task Master'!$D:$D,MATCH($F703,'Task Master'!$C:$C,0)),"")</f>
        <v/>
      </c>
    </row>
    <row r="704" spans="1:32" x14ac:dyDescent="0.25">
      <c r="A704" t="str">
        <f t="shared" si="80"/>
        <v/>
      </c>
      <c r="B704" s="16"/>
      <c r="D704" t="str">
        <f>IF($C704="","",IFERROR(INDEX('Asset Register'!$B:$B,MATCH($C704,'Asset Register'!$A:$A,0)),""))</f>
        <v/>
      </c>
      <c r="H704" t="str">
        <f>IFERROR(INDEX('Task Master'!$E:$E,MATCH($F704&amp;"||"&amp;$G704,'Task Master'!$K:$K,0)),"")</f>
        <v/>
      </c>
      <c r="I704" t="str">
        <f>IFERROR(INDEX('Task Master'!$F:$F,MATCH($F704&amp;"||"&amp;$G704,'Task Master'!$K:$K,0)),"")</f>
        <v/>
      </c>
      <c r="J704" t="str">
        <f>IFERROR(INDEX('Task Master'!$H:$H,MATCH($F704&amp;"||"&amp;$G704,'Task Master'!$K:$K,0)),"")</f>
        <v/>
      </c>
      <c r="N704" s="18" t="str">
        <f t="shared" si="81"/>
        <v/>
      </c>
      <c r="R704" s="18">
        <f t="shared" si="82"/>
        <v>0</v>
      </c>
      <c r="V704" s="18">
        <f t="shared" si="83"/>
        <v>0</v>
      </c>
      <c r="Z704" s="18">
        <f t="shared" si="84"/>
        <v>0</v>
      </c>
      <c r="AA704" s="18"/>
      <c r="AB704" s="18">
        <f t="shared" si="85"/>
        <v>0</v>
      </c>
      <c r="AC704" s="18" t="str">
        <f t="shared" si="86"/>
        <v/>
      </c>
      <c r="AD704" s="18" t="str">
        <f t="shared" si="87"/>
        <v/>
      </c>
      <c r="AF704" t="str">
        <f>IFERROR(INDEX('Task Master'!$D:$D,MATCH($F704,'Task Master'!$C:$C,0)),"")</f>
        <v/>
      </c>
    </row>
    <row r="705" spans="1:32" x14ac:dyDescent="0.25">
      <c r="A705" t="str">
        <f t="shared" si="80"/>
        <v/>
      </c>
      <c r="B705" s="16"/>
      <c r="D705" t="str">
        <f>IF($C705="","",IFERROR(INDEX('Asset Register'!$B:$B,MATCH($C705,'Asset Register'!$A:$A,0)),""))</f>
        <v/>
      </c>
      <c r="H705" t="str">
        <f>IFERROR(INDEX('Task Master'!$E:$E,MATCH($F705&amp;"||"&amp;$G705,'Task Master'!$K:$K,0)),"")</f>
        <v/>
      </c>
      <c r="I705" t="str">
        <f>IFERROR(INDEX('Task Master'!$F:$F,MATCH($F705&amp;"||"&amp;$G705,'Task Master'!$K:$K,0)),"")</f>
        <v/>
      </c>
      <c r="J705" t="str">
        <f>IFERROR(INDEX('Task Master'!$H:$H,MATCH($F705&amp;"||"&amp;$G705,'Task Master'!$K:$K,0)),"")</f>
        <v/>
      </c>
      <c r="N705" s="18" t="str">
        <f t="shared" si="81"/>
        <v/>
      </c>
      <c r="R705" s="18">
        <f t="shared" si="82"/>
        <v>0</v>
      </c>
      <c r="V705" s="18">
        <f t="shared" si="83"/>
        <v>0</v>
      </c>
      <c r="Z705" s="18">
        <f t="shared" si="84"/>
        <v>0</v>
      </c>
      <c r="AA705" s="18"/>
      <c r="AB705" s="18">
        <f t="shared" si="85"/>
        <v>0</v>
      </c>
      <c r="AC705" s="18" t="str">
        <f t="shared" si="86"/>
        <v/>
      </c>
      <c r="AD705" s="18" t="str">
        <f t="shared" si="87"/>
        <v/>
      </c>
      <c r="AF705" t="str">
        <f>IFERROR(INDEX('Task Master'!$D:$D,MATCH($F705,'Task Master'!$C:$C,0)),"")</f>
        <v/>
      </c>
    </row>
    <row r="706" spans="1:32" x14ac:dyDescent="0.25">
      <c r="A706" t="str">
        <f t="shared" ref="A706:A769" si="88">IF(B706="","",ROW()-1)</f>
        <v/>
      </c>
      <c r="B706" s="16"/>
      <c r="D706" t="str">
        <f>IF($C706="","",IFERROR(INDEX('Asset Register'!$B:$B,MATCH($C706,'Asset Register'!$A:$A,0)),""))</f>
        <v/>
      </c>
      <c r="H706" t="str">
        <f>IFERROR(INDEX('Task Master'!$E:$E,MATCH($F706&amp;"||"&amp;$G706,'Task Master'!$K:$K,0)),"")</f>
        <v/>
      </c>
      <c r="I706" t="str">
        <f>IFERROR(INDEX('Task Master'!$F:$F,MATCH($F706&amp;"||"&amp;$G706,'Task Master'!$K:$K,0)),"")</f>
        <v/>
      </c>
      <c r="J706" t="str">
        <f>IFERROR(INDEX('Task Master'!$H:$H,MATCH($F706&amp;"||"&amp;$G706,'Task Master'!$K:$K,0)),"")</f>
        <v/>
      </c>
      <c r="N706" s="18" t="str">
        <f t="shared" ref="N706:N769" si="89">IF(OR($K706="",$L706="",$M706=""),"",$K706*$L706*$M706)</f>
        <v/>
      </c>
      <c r="R706" s="18">
        <f t="shared" ref="R706:R769" si="90">IF(OR($P706="",$Q706=""),0,$P706*$Q706)</f>
        <v>0</v>
      </c>
      <c r="V706" s="18">
        <f t="shared" ref="V706:V769" si="91">IF(OR($T706="",$U706=""),0,$T706*$U706)</f>
        <v>0</v>
      </c>
      <c r="Z706" s="18">
        <f t="shared" ref="Z706:Z769" si="92">IF(OR($X706="",$Y706=""),0,$X706*$Y706)</f>
        <v>0</v>
      </c>
      <c r="AA706" s="18"/>
      <c r="AB706" s="18">
        <f t="shared" ref="AB706:AB769" si="93">$R706+$V706+$Z706</f>
        <v>0</v>
      </c>
      <c r="AC706" s="18" t="str">
        <f t="shared" ref="AC706:AC769" si="94">IF($B706="","",$AB706+$AA706+$N706)</f>
        <v/>
      </c>
      <c r="AD706" s="18" t="str">
        <f t="shared" ref="AD706:AD769" si="95">IF(OR($K706="",$K706=0,$AC706=""),"",$AC706/$K706)</f>
        <v/>
      </c>
      <c r="AF706" t="str">
        <f>IFERROR(INDEX('Task Master'!$D:$D,MATCH($F706,'Task Master'!$C:$C,0)),"")</f>
        <v/>
      </c>
    </row>
    <row r="707" spans="1:32" x14ac:dyDescent="0.25">
      <c r="A707" t="str">
        <f t="shared" si="88"/>
        <v/>
      </c>
      <c r="B707" s="16"/>
      <c r="D707" t="str">
        <f>IF($C707="","",IFERROR(INDEX('Asset Register'!$B:$B,MATCH($C707,'Asset Register'!$A:$A,0)),""))</f>
        <v/>
      </c>
      <c r="H707" t="str">
        <f>IFERROR(INDEX('Task Master'!$E:$E,MATCH($F707&amp;"||"&amp;$G707,'Task Master'!$K:$K,0)),"")</f>
        <v/>
      </c>
      <c r="I707" t="str">
        <f>IFERROR(INDEX('Task Master'!$F:$F,MATCH($F707&amp;"||"&amp;$G707,'Task Master'!$K:$K,0)),"")</f>
        <v/>
      </c>
      <c r="J707" t="str">
        <f>IFERROR(INDEX('Task Master'!$H:$H,MATCH($F707&amp;"||"&amp;$G707,'Task Master'!$K:$K,0)),"")</f>
        <v/>
      </c>
      <c r="N707" s="18" t="str">
        <f t="shared" si="89"/>
        <v/>
      </c>
      <c r="R707" s="18">
        <f t="shared" si="90"/>
        <v>0</v>
      </c>
      <c r="V707" s="18">
        <f t="shared" si="91"/>
        <v>0</v>
      </c>
      <c r="Z707" s="18">
        <f t="shared" si="92"/>
        <v>0</v>
      </c>
      <c r="AA707" s="18"/>
      <c r="AB707" s="18">
        <f t="shared" si="93"/>
        <v>0</v>
      </c>
      <c r="AC707" s="18" t="str">
        <f t="shared" si="94"/>
        <v/>
      </c>
      <c r="AD707" s="18" t="str">
        <f t="shared" si="95"/>
        <v/>
      </c>
      <c r="AF707" t="str">
        <f>IFERROR(INDEX('Task Master'!$D:$D,MATCH($F707,'Task Master'!$C:$C,0)),"")</f>
        <v/>
      </c>
    </row>
    <row r="708" spans="1:32" x14ac:dyDescent="0.25">
      <c r="A708" t="str">
        <f t="shared" si="88"/>
        <v/>
      </c>
      <c r="B708" s="16"/>
      <c r="D708" t="str">
        <f>IF($C708="","",IFERROR(INDEX('Asset Register'!$B:$B,MATCH($C708,'Asset Register'!$A:$A,0)),""))</f>
        <v/>
      </c>
      <c r="H708" t="str">
        <f>IFERROR(INDEX('Task Master'!$E:$E,MATCH($F708&amp;"||"&amp;$G708,'Task Master'!$K:$K,0)),"")</f>
        <v/>
      </c>
      <c r="I708" t="str">
        <f>IFERROR(INDEX('Task Master'!$F:$F,MATCH($F708&amp;"||"&amp;$G708,'Task Master'!$K:$K,0)),"")</f>
        <v/>
      </c>
      <c r="J708" t="str">
        <f>IFERROR(INDEX('Task Master'!$H:$H,MATCH($F708&amp;"||"&amp;$G708,'Task Master'!$K:$K,0)),"")</f>
        <v/>
      </c>
      <c r="N708" s="18" t="str">
        <f t="shared" si="89"/>
        <v/>
      </c>
      <c r="R708" s="18">
        <f t="shared" si="90"/>
        <v>0</v>
      </c>
      <c r="V708" s="18">
        <f t="shared" si="91"/>
        <v>0</v>
      </c>
      <c r="Z708" s="18">
        <f t="shared" si="92"/>
        <v>0</v>
      </c>
      <c r="AA708" s="18"/>
      <c r="AB708" s="18">
        <f t="shared" si="93"/>
        <v>0</v>
      </c>
      <c r="AC708" s="18" t="str">
        <f t="shared" si="94"/>
        <v/>
      </c>
      <c r="AD708" s="18" t="str">
        <f t="shared" si="95"/>
        <v/>
      </c>
      <c r="AF708" t="str">
        <f>IFERROR(INDEX('Task Master'!$D:$D,MATCH($F708,'Task Master'!$C:$C,0)),"")</f>
        <v/>
      </c>
    </row>
    <row r="709" spans="1:32" x14ac:dyDescent="0.25">
      <c r="A709" t="str">
        <f t="shared" si="88"/>
        <v/>
      </c>
      <c r="B709" s="16"/>
      <c r="D709" t="str">
        <f>IF($C709="","",IFERROR(INDEX('Asset Register'!$B:$B,MATCH($C709,'Asset Register'!$A:$A,0)),""))</f>
        <v/>
      </c>
      <c r="H709" t="str">
        <f>IFERROR(INDEX('Task Master'!$E:$E,MATCH($F709&amp;"||"&amp;$G709,'Task Master'!$K:$K,0)),"")</f>
        <v/>
      </c>
      <c r="I709" t="str">
        <f>IFERROR(INDEX('Task Master'!$F:$F,MATCH($F709&amp;"||"&amp;$G709,'Task Master'!$K:$K,0)),"")</f>
        <v/>
      </c>
      <c r="J709" t="str">
        <f>IFERROR(INDEX('Task Master'!$H:$H,MATCH($F709&amp;"||"&amp;$G709,'Task Master'!$K:$K,0)),"")</f>
        <v/>
      </c>
      <c r="N709" s="18" t="str">
        <f t="shared" si="89"/>
        <v/>
      </c>
      <c r="R709" s="18">
        <f t="shared" si="90"/>
        <v>0</v>
      </c>
      <c r="V709" s="18">
        <f t="shared" si="91"/>
        <v>0</v>
      </c>
      <c r="Z709" s="18">
        <f t="shared" si="92"/>
        <v>0</v>
      </c>
      <c r="AA709" s="18"/>
      <c r="AB709" s="18">
        <f t="shared" si="93"/>
        <v>0</v>
      </c>
      <c r="AC709" s="18" t="str">
        <f t="shared" si="94"/>
        <v/>
      </c>
      <c r="AD709" s="18" t="str">
        <f t="shared" si="95"/>
        <v/>
      </c>
      <c r="AF709" t="str">
        <f>IFERROR(INDEX('Task Master'!$D:$D,MATCH($F709,'Task Master'!$C:$C,0)),"")</f>
        <v/>
      </c>
    </row>
    <row r="710" spans="1:32" x14ac:dyDescent="0.25">
      <c r="A710" t="str">
        <f t="shared" si="88"/>
        <v/>
      </c>
      <c r="B710" s="16"/>
      <c r="D710" t="str">
        <f>IF($C710="","",IFERROR(INDEX('Asset Register'!$B:$B,MATCH($C710,'Asset Register'!$A:$A,0)),""))</f>
        <v/>
      </c>
      <c r="H710" t="str">
        <f>IFERROR(INDEX('Task Master'!$E:$E,MATCH($F710&amp;"||"&amp;$G710,'Task Master'!$K:$K,0)),"")</f>
        <v/>
      </c>
      <c r="I710" t="str">
        <f>IFERROR(INDEX('Task Master'!$F:$F,MATCH($F710&amp;"||"&amp;$G710,'Task Master'!$K:$K,0)),"")</f>
        <v/>
      </c>
      <c r="J710" t="str">
        <f>IFERROR(INDEX('Task Master'!$H:$H,MATCH($F710&amp;"||"&amp;$G710,'Task Master'!$K:$K,0)),"")</f>
        <v/>
      </c>
      <c r="N710" s="18" t="str">
        <f t="shared" si="89"/>
        <v/>
      </c>
      <c r="R710" s="18">
        <f t="shared" si="90"/>
        <v>0</v>
      </c>
      <c r="V710" s="18">
        <f t="shared" si="91"/>
        <v>0</v>
      </c>
      <c r="Z710" s="18">
        <f t="shared" si="92"/>
        <v>0</v>
      </c>
      <c r="AA710" s="18"/>
      <c r="AB710" s="18">
        <f t="shared" si="93"/>
        <v>0</v>
      </c>
      <c r="AC710" s="18" t="str">
        <f t="shared" si="94"/>
        <v/>
      </c>
      <c r="AD710" s="18" t="str">
        <f t="shared" si="95"/>
        <v/>
      </c>
      <c r="AF710" t="str">
        <f>IFERROR(INDEX('Task Master'!$D:$D,MATCH($F710,'Task Master'!$C:$C,0)),"")</f>
        <v/>
      </c>
    </row>
    <row r="711" spans="1:32" x14ac:dyDescent="0.25">
      <c r="A711" t="str">
        <f t="shared" si="88"/>
        <v/>
      </c>
      <c r="B711" s="16"/>
      <c r="D711" t="str">
        <f>IF($C711="","",IFERROR(INDEX('Asset Register'!$B:$B,MATCH($C711,'Asset Register'!$A:$A,0)),""))</f>
        <v/>
      </c>
      <c r="H711" t="str">
        <f>IFERROR(INDEX('Task Master'!$E:$E,MATCH($F711&amp;"||"&amp;$G711,'Task Master'!$K:$K,0)),"")</f>
        <v/>
      </c>
      <c r="I711" t="str">
        <f>IFERROR(INDEX('Task Master'!$F:$F,MATCH($F711&amp;"||"&amp;$G711,'Task Master'!$K:$K,0)),"")</f>
        <v/>
      </c>
      <c r="J711" t="str">
        <f>IFERROR(INDEX('Task Master'!$H:$H,MATCH($F711&amp;"||"&amp;$G711,'Task Master'!$K:$K,0)),"")</f>
        <v/>
      </c>
      <c r="N711" s="18" t="str">
        <f t="shared" si="89"/>
        <v/>
      </c>
      <c r="R711" s="18">
        <f t="shared" si="90"/>
        <v>0</v>
      </c>
      <c r="V711" s="18">
        <f t="shared" si="91"/>
        <v>0</v>
      </c>
      <c r="Z711" s="18">
        <f t="shared" si="92"/>
        <v>0</v>
      </c>
      <c r="AA711" s="18"/>
      <c r="AB711" s="18">
        <f t="shared" si="93"/>
        <v>0</v>
      </c>
      <c r="AC711" s="18" t="str">
        <f t="shared" si="94"/>
        <v/>
      </c>
      <c r="AD711" s="18" t="str">
        <f t="shared" si="95"/>
        <v/>
      </c>
      <c r="AF711" t="str">
        <f>IFERROR(INDEX('Task Master'!$D:$D,MATCH($F711,'Task Master'!$C:$C,0)),"")</f>
        <v/>
      </c>
    </row>
    <row r="712" spans="1:32" x14ac:dyDescent="0.25">
      <c r="A712" t="str">
        <f t="shared" si="88"/>
        <v/>
      </c>
      <c r="B712" s="16"/>
      <c r="D712" t="str">
        <f>IF($C712="","",IFERROR(INDEX('Asset Register'!$B:$B,MATCH($C712,'Asset Register'!$A:$A,0)),""))</f>
        <v/>
      </c>
      <c r="H712" t="str">
        <f>IFERROR(INDEX('Task Master'!$E:$E,MATCH($F712&amp;"||"&amp;$G712,'Task Master'!$K:$K,0)),"")</f>
        <v/>
      </c>
      <c r="I712" t="str">
        <f>IFERROR(INDEX('Task Master'!$F:$F,MATCH($F712&amp;"||"&amp;$G712,'Task Master'!$K:$K,0)),"")</f>
        <v/>
      </c>
      <c r="J712" t="str">
        <f>IFERROR(INDEX('Task Master'!$H:$H,MATCH($F712&amp;"||"&amp;$G712,'Task Master'!$K:$K,0)),"")</f>
        <v/>
      </c>
      <c r="N712" s="18" t="str">
        <f t="shared" si="89"/>
        <v/>
      </c>
      <c r="R712" s="18">
        <f t="shared" si="90"/>
        <v>0</v>
      </c>
      <c r="V712" s="18">
        <f t="shared" si="91"/>
        <v>0</v>
      </c>
      <c r="Z712" s="18">
        <f t="shared" si="92"/>
        <v>0</v>
      </c>
      <c r="AA712" s="18"/>
      <c r="AB712" s="18">
        <f t="shared" si="93"/>
        <v>0</v>
      </c>
      <c r="AC712" s="18" t="str">
        <f t="shared" si="94"/>
        <v/>
      </c>
      <c r="AD712" s="18" t="str">
        <f t="shared" si="95"/>
        <v/>
      </c>
      <c r="AF712" t="str">
        <f>IFERROR(INDEX('Task Master'!$D:$D,MATCH($F712,'Task Master'!$C:$C,0)),"")</f>
        <v/>
      </c>
    </row>
    <row r="713" spans="1:32" x14ac:dyDescent="0.25">
      <c r="A713" t="str">
        <f t="shared" si="88"/>
        <v/>
      </c>
      <c r="B713" s="16"/>
      <c r="D713" t="str">
        <f>IF($C713="","",IFERROR(INDEX('Asset Register'!$B:$B,MATCH($C713,'Asset Register'!$A:$A,0)),""))</f>
        <v/>
      </c>
      <c r="H713" t="str">
        <f>IFERROR(INDEX('Task Master'!$E:$E,MATCH($F713&amp;"||"&amp;$G713,'Task Master'!$K:$K,0)),"")</f>
        <v/>
      </c>
      <c r="I713" t="str">
        <f>IFERROR(INDEX('Task Master'!$F:$F,MATCH($F713&amp;"||"&amp;$G713,'Task Master'!$K:$K,0)),"")</f>
        <v/>
      </c>
      <c r="J713" t="str">
        <f>IFERROR(INDEX('Task Master'!$H:$H,MATCH($F713&amp;"||"&amp;$G713,'Task Master'!$K:$K,0)),"")</f>
        <v/>
      </c>
      <c r="N713" s="18" t="str">
        <f t="shared" si="89"/>
        <v/>
      </c>
      <c r="R713" s="18">
        <f t="shared" si="90"/>
        <v>0</v>
      </c>
      <c r="V713" s="18">
        <f t="shared" si="91"/>
        <v>0</v>
      </c>
      <c r="Z713" s="18">
        <f t="shared" si="92"/>
        <v>0</v>
      </c>
      <c r="AA713" s="18"/>
      <c r="AB713" s="18">
        <f t="shared" si="93"/>
        <v>0</v>
      </c>
      <c r="AC713" s="18" t="str">
        <f t="shared" si="94"/>
        <v/>
      </c>
      <c r="AD713" s="18" t="str">
        <f t="shared" si="95"/>
        <v/>
      </c>
      <c r="AF713" t="str">
        <f>IFERROR(INDEX('Task Master'!$D:$D,MATCH($F713,'Task Master'!$C:$C,0)),"")</f>
        <v/>
      </c>
    </row>
    <row r="714" spans="1:32" x14ac:dyDescent="0.25">
      <c r="A714" t="str">
        <f t="shared" si="88"/>
        <v/>
      </c>
      <c r="B714" s="16"/>
      <c r="D714" t="str">
        <f>IF($C714="","",IFERROR(INDEX('Asset Register'!$B:$B,MATCH($C714,'Asset Register'!$A:$A,0)),""))</f>
        <v/>
      </c>
      <c r="H714" t="str">
        <f>IFERROR(INDEX('Task Master'!$E:$E,MATCH($F714&amp;"||"&amp;$G714,'Task Master'!$K:$K,0)),"")</f>
        <v/>
      </c>
      <c r="I714" t="str">
        <f>IFERROR(INDEX('Task Master'!$F:$F,MATCH($F714&amp;"||"&amp;$G714,'Task Master'!$K:$K,0)),"")</f>
        <v/>
      </c>
      <c r="J714" t="str">
        <f>IFERROR(INDEX('Task Master'!$H:$H,MATCH($F714&amp;"||"&amp;$G714,'Task Master'!$K:$K,0)),"")</f>
        <v/>
      </c>
      <c r="N714" s="18" t="str">
        <f t="shared" si="89"/>
        <v/>
      </c>
      <c r="R714" s="18">
        <f t="shared" si="90"/>
        <v>0</v>
      </c>
      <c r="V714" s="18">
        <f t="shared" si="91"/>
        <v>0</v>
      </c>
      <c r="Z714" s="18">
        <f t="shared" si="92"/>
        <v>0</v>
      </c>
      <c r="AA714" s="18"/>
      <c r="AB714" s="18">
        <f t="shared" si="93"/>
        <v>0</v>
      </c>
      <c r="AC714" s="18" t="str">
        <f t="shared" si="94"/>
        <v/>
      </c>
      <c r="AD714" s="18" t="str">
        <f t="shared" si="95"/>
        <v/>
      </c>
      <c r="AF714" t="str">
        <f>IFERROR(INDEX('Task Master'!$D:$D,MATCH($F714,'Task Master'!$C:$C,0)),"")</f>
        <v/>
      </c>
    </row>
    <row r="715" spans="1:32" x14ac:dyDescent="0.25">
      <c r="A715" t="str">
        <f t="shared" si="88"/>
        <v/>
      </c>
      <c r="B715" s="16"/>
      <c r="D715" t="str">
        <f>IF($C715="","",IFERROR(INDEX('Asset Register'!$B:$B,MATCH($C715,'Asset Register'!$A:$A,0)),""))</f>
        <v/>
      </c>
      <c r="H715" t="str">
        <f>IFERROR(INDEX('Task Master'!$E:$E,MATCH($F715&amp;"||"&amp;$G715,'Task Master'!$K:$K,0)),"")</f>
        <v/>
      </c>
      <c r="I715" t="str">
        <f>IFERROR(INDEX('Task Master'!$F:$F,MATCH($F715&amp;"||"&amp;$G715,'Task Master'!$K:$K,0)),"")</f>
        <v/>
      </c>
      <c r="J715" t="str">
        <f>IFERROR(INDEX('Task Master'!$H:$H,MATCH($F715&amp;"||"&amp;$G715,'Task Master'!$K:$K,0)),"")</f>
        <v/>
      </c>
      <c r="N715" s="18" t="str">
        <f t="shared" si="89"/>
        <v/>
      </c>
      <c r="R715" s="18">
        <f t="shared" si="90"/>
        <v>0</v>
      </c>
      <c r="V715" s="18">
        <f t="shared" si="91"/>
        <v>0</v>
      </c>
      <c r="Z715" s="18">
        <f t="shared" si="92"/>
        <v>0</v>
      </c>
      <c r="AA715" s="18"/>
      <c r="AB715" s="18">
        <f t="shared" si="93"/>
        <v>0</v>
      </c>
      <c r="AC715" s="18" t="str">
        <f t="shared" si="94"/>
        <v/>
      </c>
      <c r="AD715" s="18" t="str">
        <f t="shared" si="95"/>
        <v/>
      </c>
      <c r="AF715" t="str">
        <f>IFERROR(INDEX('Task Master'!$D:$D,MATCH($F715,'Task Master'!$C:$C,0)),"")</f>
        <v/>
      </c>
    </row>
    <row r="716" spans="1:32" x14ac:dyDescent="0.25">
      <c r="A716" t="str">
        <f t="shared" si="88"/>
        <v/>
      </c>
      <c r="B716" s="16"/>
      <c r="D716" t="str">
        <f>IF($C716="","",IFERROR(INDEX('Asset Register'!$B:$B,MATCH($C716,'Asset Register'!$A:$A,0)),""))</f>
        <v/>
      </c>
      <c r="H716" t="str">
        <f>IFERROR(INDEX('Task Master'!$E:$E,MATCH($F716&amp;"||"&amp;$G716,'Task Master'!$K:$K,0)),"")</f>
        <v/>
      </c>
      <c r="I716" t="str">
        <f>IFERROR(INDEX('Task Master'!$F:$F,MATCH($F716&amp;"||"&amp;$G716,'Task Master'!$K:$K,0)),"")</f>
        <v/>
      </c>
      <c r="J716" t="str">
        <f>IFERROR(INDEX('Task Master'!$H:$H,MATCH($F716&amp;"||"&amp;$G716,'Task Master'!$K:$K,0)),"")</f>
        <v/>
      </c>
      <c r="N716" s="18" t="str">
        <f t="shared" si="89"/>
        <v/>
      </c>
      <c r="R716" s="18">
        <f t="shared" si="90"/>
        <v>0</v>
      </c>
      <c r="V716" s="18">
        <f t="shared" si="91"/>
        <v>0</v>
      </c>
      <c r="Z716" s="18">
        <f t="shared" si="92"/>
        <v>0</v>
      </c>
      <c r="AA716" s="18"/>
      <c r="AB716" s="18">
        <f t="shared" si="93"/>
        <v>0</v>
      </c>
      <c r="AC716" s="18" t="str">
        <f t="shared" si="94"/>
        <v/>
      </c>
      <c r="AD716" s="18" t="str">
        <f t="shared" si="95"/>
        <v/>
      </c>
      <c r="AF716" t="str">
        <f>IFERROR(INDEX('Task Master'!$D:$D,MATCH($F716,'Task Master'!$C:$C,0)),"")</f>
        <v/>
      </c>
    </row>
    <row r="717" spans="1:32" x14ac:dyDescent="0.25">
      <c r="A717" t="str">
        <f t="shared" si="88"/>
        <v/>
      </c>
      <c r="B717" s="16"/>
      <c r="D717" t="str">
        <f>IF($C717="","",IFERROR(INDEX('Asset Register'!$B:$B,MATCH($C717,'Asset Register'!$A:$A,0)),""))</f>
        <v/>
      </c>
      <c r="H717" t="str">
        <f>IFERROR(INDEX('Task Master'!$E:$E,MATCH($F717&amp;"||"&amp;$G717,'Task Master'!$K:$K,0)),"")</f>
        <v/>
      </c>
      <c r="I717" t="str">
        <f>IFERROR(INDEX('Task Master'!$F:$F,MATCH($F717&amp;"||"&amp;$G717,'Task Master'!$K:$K,0)),"")</f>
        <v/>
      </c>
      <c r="J717" t="str">
        <f>IFERROR(INDEX('Task Master'!$H:$H,MATCH($F717&amp;"||"&amp;$G717,'Task Master'!$K:$K,0)),"")</f>
        <v/>
      </c>
      <c r="N717" s="18" t="str">
        <f t="shared" si="89"/>
        <v/>
      </c>
      <c r="R717" s="18">
        <f t="shared" si="90"/>
        <v>0</v>
      </c>
      <c r="V717" s="18">
        <f t="shared" si="91"/>
        <v>0</v>
      </c>
      <c r="Z717" s="18">
        <f t="shared" si="92"/>
        <v>0</v>
      </c>
      <c r="AA717" s="18"/>
      <c r="AB717" s="18">
        <f t="shared" si="93"/>
        <v>0</v>
      </c>
      <c r="AC717" s="18" t="str">
        <f t="shared" si="94"/>
        <v/>
      </c>
      <c r="AD717" s="18" t="str">
        <f t="shared" si="95"/>
        <v/>
      </c>
      <c r="AF717" t="str">
        <f>IFERROR(INDEX('Task Master'!$D:$D,MATCH($F717,'Task Master'!$C:$C,0)),"")</f>
        <v/>
      </c>
    </row>
    <row r="718" spans="1:32" x14ac:dyDescent="0.25">
      <c r="A718" t="str">
        <f t="shared" si="88"/>
        <v/>
      </c>
      <c r="B718" s="16"/>
      <c r="D718" t="str">
        <f>IF($C718="","",IFERROR(INDEX('Asset Register'!$B:$B,MATCH($C718,'Asset Register'!$A:$A,0)),""))</f>
        <v/>
      </c>
      <c r="H718" t="str">
        <f>IFERROR(INDEX('Task Master'!$E:$E,MATCH($F718&amp;"||"&amp;$G718,'Task Master'!$K:$K,0)),"")</f>
        <v/>
      </c>
      <c r="I718" t="str">
        <f>IFERROR(INDEX('Task Master'!$F:$F,MATCH($F718&amp;"||"&amp;$G718,'Task Master'!$K:$K,0)),"")</f>
        <v/>
      </c>
      <c r="J718" t="str">
        <f>IFERROR(INDEX('Task Master'!$H:$H,MATCH($F718&amp;"||"&amp;$G718,'Task Master'!$K:$K,0)),"")</f>
        <v/>
      </c>
      <c r="N718" s="18" t="str">
        <f t="shared" si="89"/>
        <v/>
      </c>
      <c r="R718" s="18">
        <f t="shared" si="90"/>
        <v>0</v>
      </c>
      <c r="V718" s="18">
        <f t="shared" si="91"/>
        <v>0</v>
      </c>
      <c r="Z718" s="18">
        <f t="shared" si="92"/>
        <v>0</v>
      </c>
      <c r="AA718" s="18"/>
      <c r="AB718" s="18">
        <f t="shared" si="93"/>
        <v>0</v>
      </c>
      <c r="AC718" s="18" t="str">
        <f t="shared" si="94"/>
        <v/>
      </c>
      <c r="AD718" s="18" t="str">
        <f t="shared" si="95"/>
        <v/>
      </c>
      <c r="AF718" t="str">
        <f>IFERROR(INDEX('Task Master'!$D:$D,MATCH($F718,'Task Master'!$C:$C,0)),"")</f>
        <v/>
      </c>
    </row>
    <row r="719" spans="1:32" x14ac:dyDescent="0.25">
      <c r="A719" t="str">
        <f t="shared" si="88"/>
        <v/>
      </c>
      <c r="B719" s="16"/>
      <c r="D719" t="str">
        <f>IF($C719="","",IFERROR(INDEX('Asset Register'!$B:$B,MATCH($C719,'Asset Register'!$A:$A,0)),""))</f>
        <v/>
      </c>
      <c r="H719" t="str">
        <f>IFERROR(INDEX('Task Master'!$E:$E,MATCH($F719&amp;"||"&amp;$G719,'Task Master'!$K:$K,0)),"")</f>
        <v/>
      </c>
      <c r="I719" t="str">
        <f>IFERROR(INDEX('Task Master'!$F:$F,MATCH($F719&amp;"||"&amp;$G719,'Task Master'!$K:$K,0)),"")</f>
        <v/>
      </c>
      <c r="J719" t="str">
        <f>IFERROR(INDEX('Task Master'!$H:$H,MATCH($F719&amp;"||"&amp;$G719,'Task Master'!$K:$K,0)),"")</f>
        <v/>
      </c>
      <c r="N719" s="18" t="str">
        <f t="shared" si="89"/>
        <v/>
      </c>
      <c r="R719" s="18">
        <f t="shared" si="90"/>
        <v>0</v>
      </c>
      <c r="V719" s="18">
        <f t="shared" si="91"/>
        <v>0</v>
      </c>
      <c r="Z719" s="18">
        <f t="shared" si="92"/>
        <v>0</v>
      </c>
      <c r="AA719" s="18"/>
      <c r="AB719" s="18">
        <f t="shared" si="93"/>
        <v>0</v>
      </c>
      <c r="AC719" s="18" t="str">
        <f t="shared" si="94"/>
        <v/>
      </c>
      <c r="AD719" s="18" t="str">
        <f t="shared" si="95"/>
        <v/>
      </c>
      <c r="AF719" t="str">
        <f>IFERROR(INDEX('Task Master'!$D:$D,MATCH($F719,'Task Master'!$C:$C,0)),"")</f>
        <v/>
      </c>
    </row>
    <row r="720" spans="1:32" x14ac:dyDescent="0.25">
      <c r="A720" t="str">
        <f t="shared" si="88"/>
        <v/>
      </c>
      <c r="B720" s="16"/>
      <c r="D720" t="str">
        <f>IF($C720="","",IFERROR(INDEX('Asset Register'!$B:$B,MATCH($C720,'Asset Register'!$A:$A,0)),""))</f>
        <v/>
      </c>
      <c r="H720" t="str">
        <f>IFERROR(INDEX('Task Master'!$E:$E,MATCH($F720&amp;"||"&amp;$G720,'Task Master'!$K:$K,0)),"")</f>
        <v/>
      </c>
      <c r="I720" t="str">
        <f>IFERROR(INDEX('Task Master'!$F:$F,MATCH($F720&amp;"||"&amp;$G720,'Task Master'!$K:$K,0)),"")</f>
        <v/>
      </c>
      <c r="J720" t="str">
        <f>IFERROR(INDEX('Task Master'!$H:$H,MATCH($F720&amp;"||"&amp;$G720,'Task Master'!$K:$K,0)),"")</f>
        <v/>
      </c>
      <c r="N720" s="18" t="str">
        <f t="shared" si="89"/>
        <v/>
      </c>
      <c r="R720" s="18">
        <f t="shared" si="90"/>
        <v>0</v>
      </c>
      <c r="V720" s="18">
        <f t="shared" si="91"/>
        <v>0</v>
      </c>
      <c r="Z720" s="18">
        <f t="shared" si="92"/>
        <v>0</v>
      </c>
      <c r="AA720" s="18"/>
      <c r="AB720" s="18">
        <f t="shared" si="93"/>
        <v>0</v>
      </c>
      <c r="AC720" s="18" t="str">
        <f t="shared" si="94"/>
        <v/>
      </c>
      <c r="AD720" s="18" t="str">
        <f t="shared" si="95"/>
        <v/>
      </c>
      <c r="AF720" t="str">
        <f>IFERROR(INDEX('Task Master'!$D:$D,MATCH($F720,'Task Master'!$C:$C,0)),"")</f>
        <v/>
      </c>
    </row>
    <row r="721" spans="1:32" x14ac:dyDescent="0.25">
      <c r="A721" t="str">
        <f t="shared" si="88"/>
        <v/>
      </c>
      <c r="B721" s="16"/>
      <c r="D721" t="str">
        <f>IF($C721="","",IFERROR(INDEX('Asset Register'!$B:$B,MATCH($C721,'Asset Register'!$A:$A,0)),""))</f>
        <v/>
      </c>
      <c r="H721" t="str">
        <f>IFERROR(INDEX('Task Master'!$E:$E,MATCH($F721&amp;"||"&amp;$G721,'Task Master'!$K:$K,0)),"")</f>
        <v/>
      </c>
      <c r="I721" t="str">
        <f>IFERROR(INDEX('Task Master'!$F:$F,MATCH($F721&amp;"||"&amp;$G721,'Task Master'!$K:$K,0)),"")</f>
        <v/>
      </c>
      <c r="J721" t="str">
        <f>IFERROR(INDEX('Task Master'!$H:$H,MATCH($F721&amp;"||"&amp;$G721,'Task Master'!$K:$K,0)),"")</f>
        <v/>
      </c>
      <c r="N721" s="18" t="str">
        <f t="shared" si="89"/>
        <v/>
      </c>
      <c r="R721" s="18">
        <f t="shared" si="90"/>
        <v>0</v>
      </c>
      <c r="V721" s="18">
        <f t="shared" si="91"/>
        <v>0</v>
      </c>
      <c r="Z721" s="18">
        <f t="shared" si="92"/>
        <v>0</v>
      </c>
      <c r="AA721" s="18"/>
      <c r="AB721" s="18">
        <f t="shared" si="93"/>
        <v>0</v>
      </c>
      <c r="AC721" s="18" t="str">
        <f t="shared" si="94"/>
        <v/>
      </c>
      <c r="AD721" s="18" t="str">
        <f t="shared" si="95"/>
        <v/>
      </c>
      <c r="AF721" t="str">
        <f>IFERROR(INDEX('Task Master'!$D:$D,MATCH($F721,'Task Master'!$C:$C,0)),"")</f>
        <v/>
      </c>
    </row>
    <row r="722" spans="1:32" x14ac:dyDescent="0.25">
      <c r="A722" t="str">
        <f t="shared" si="88"/>
        <v/>
      </c>
      <c r="B722" s="16"/>
      <c r="D722" t="str">
        <f>IF($C722="","",IFERROR(INDEX('Asset Register'!$B:$B,MATCH($C722,'Asset Register'!$A:$A,0)),""))</f>
        <v/>
      </c>
      <c r="H722" t="str">
        <f>IFERROR(INDEX('Task Master'!$E:$E,MATCH($F722&amp;"||"&amp;$G722,'Task Master'!$K:$K,0)),"")</f>
        <v/>
      </c>
      <c r="I722" t="str">
        <f>IFERROR(INDEX('Task Master'!$F:$F,MATCH($F722&amp;"||"&amp;$G722,'Task Master'!$K:$K,0)),"")</f>
        <v/>
      </c>
      <c r="J722" t="str">
        <f>IFERROR(INDEX('Task Master'!$H:$H,MATCH($F722&amp;"||"&amp;$G722,'Task Master'!$K:$K,0)),"")</f>
        <v/>
      </c>
      <c r="N722" s="18" t="str">
        <f t="shared" si="89"/>
        <v/>
      </c>
      <c r="R722" s="18">
        <f t="shared" si="90"/>
        <v>0</v>
      </c>
      <c r="V722" s="18">
        <f t="shared" si="91"/>
        <v>0</v>
      </c>
      <c r="Z722" s="18">
        <f t="shared" si="92"/>
        <v>0</v>
      </c>
      <c r="AA722" s="18"/>
      <c r="AB722" s="18">
        <f t="shared" si="93"/>
        <v>0</v>
      </c>
      <c r="AC722" s="18" t="str">
        <f t="shared" si="94"/>
        <v/>
      </c>
      <c r="AD722" s="18" t="str">
        <f t="shared" si="95"/>
        <v/>
      </c>
      <c r="AF722" t="str">
        <f>IFERROR(INDEX('Task Master'!$D:$D,MATCH($F722,'Task Master'!$C:$C,0)),"")</f>
        <v/>
      </c>
    </row>
    <row r="723" spans="1:32" x14ac:dyDescent="0.25">
      <c r="A723" t="str">
        <f t="shared" si="88"/>
        <v/>
      </c>
      <c r="B723" s="16"/>
      <c r="D723" t="str">
        <f>IF($C723="","",IFERROR(INDEX('Asset Register'!$B:$B,MATCH($C723,'Asset Register'!$A:$A,0)),""))</f>
        <v/>
      </c>
      <c r="H723" t="str">
        <f>IFERROR(INDEX('Task Master'!$E:$E,MATCH($F723&amp;"||"&amp;$G723,'Task Master'!$K:$K,0)),"")</f>
        <v/>
      </c>
      <c r="I723" t="str">
        <f>IFERROR(INDEX('Task Master'!$F:$F,MATCH($F723&amp;"||"&amp;$G723,'Task Master'!$K:$K,0)),"")</f>
        <v/>
      </c>
      <c r="J723" t="str">
        <f>IFERROR(INDEX('Task Master'!$H:$H,MATCH($F723&amp;"||"&amp;$G723,'Task Master'!$K:$K,0)),"")</f>
        <v/>
      </c>
      <c r="N723" s="18" t="str">
        <f t="shared" si="89"/>
        <v/>
      </c>
      <c r="R723" s="18">
        <f t="shared" si="90"/>
        <v>0</v>
      </c>
      <c r="V723" s="18">
        <f t="shared" si="91"/>
        <v>0</v>
      </c>
      <c r="Z723" s="18">
        <f t="shared" si="92"/>
        <v>0</v>
      </c>
      <c r="AA723" s="18"/>
      <c r="AB723" s="18">
        <f t="shared" si="93"/>
        <v>0</v>
      </c>
      <c r="AC723" s="18" t="str">
        <f t="shared" si="94"/>
        <v/>
      </c>
      <c r="AD723" s="18" t="str">
        <f t="shared" si="95"/>
        <v/>
      </c>
      <c r="AF723" t="str">
        <f>IFERROR(INDEX('Task Master'!$D:$D,MATCH($F723,'Task Master'!$C:$C,0)),"")</f>
        <v/>
      </c>
    </row>
    <row r="724" spans="1:32" x14ac:dyDescent="0.25">
      <c r="A724" t="str">
        <f t="shared" si="88"/>
        <v/>
      </c>
      <c r="B724" s="16"/>
      <c r="D724" t="str">
        <f>IF($C724="","",IFERROR(INDEX('Asset Register'!$B:$B,MATCH($C724,'Asset Register'!$A:$A,0)),""))</f>
        <v/>
      </c>
      <c r="H724" t="str">
        <f>IFERROR(INDEX('Task Master'!$E:$E,MATCH($F724&amp;"||"&amp;$G724,'Task Master'!$K:$K,0)),"")</f>
        <v/>
      </c>
      <c r="I724" t="str">
        <f>IFERROR(INDEX('Task Master'!$F:$F,MATCH($F724&amp;"||"&amp;$G724,'Task Master'!$K:$K,0)),"")</f>
        <v/>
      </c>
      <c r="J724" t="str">
        <f>IFERROR(INDEX('Task Master'!$H:$H,MATCH($F724&amp;"||"&amp;$G724,'Task Master'!$K:$K,0)),"")</f>
        <v/>
      </c>
      <c r="N724" s="18" t="str">
        <f t="shared" si="89"/>
        <v/>
      </c>
      <c r="R724" s="18">
        <f t="shared" si="90"/>
        <v>0</v>
      </c>
      <c r="V724" s="18">
        <f t="shared" si="91"/>
        <v>0</v>
      </c>
      <c r="Z724" s="18">
        <f t="shared" si="92"/>
        <v>0</v>
      </c>
      <c r="AA724" s="18"/>
      <c r="AB724" s="18">
        <f t="shared" si="93"/>
        <v>0</v>
      </c>
      <c r="AC724" s="18" t="str">
        <f t="shared" si="94"/>
        <v/>
      </c>
      <c r="AD724" s="18" t="str">
        <f t="shared" si="95"/>
        <v/>
      </c>
      <c r="AF724" t="str">
        <f>IFERROR(INDEX('Task Master'!$D:$D,MATCH($F724,'Task Master'!$C:$C,0)),"")</f>
        <v/>
      </c>
    </row>
    <row r="725" spans="1:32" x14ac:dyDescent="0.25">
      <c r="A725" t="str">
        <f t="shared" si="88"/>
        <v/>
      </c>
      <c r="B725" s="16"/>
      <c r="D725" t="str">
        <f>IF($C725="","",IFERROR(INDEX('Asset Register'!$B:$B,MATCH($C725,'Asset Register'!$A:$A,0)),""))</f>
        <v/>
      </c>
      <c r="H725" t="str">
        <f>IFERROR(INDEX('Task Master'!$E:$E,MATCH($F725&amp;"||"&amp;$G725,'Task Master'!$K:$K,0)),"")</f>
        <v/>
      </c>
      <c r="I725" t="str">
        <f>IFERROR(INDEX('Task Master'!$F:$F,MATCH($F725&amp;"||"&amp;$G725,'Task Master'!$K:$K,0)),"")</f>
        <v/>
      </c>
      <c r="J725" t="str">
        <f>IFERROR(INDEX('Task Master'!$H:$H,MATCH($F725&amp;"||"&amp;$G725,'Task Master'!$K:$K,0)),"")</f>
        <v/>
      </c>
      <c r="N725" s="18" t="str">
        <f t="shared" si="89"/>
        <v/>
      </c>
      <c r="R725" s="18">
        <f t="shared" si="90"/>
        <v>0</v>
      </c>
      <c r="V725" s="18">
        <f t="shared" si="91"/>
        <v>0</v>
      </c>
      <c r="Z725" s="18">
        <f t="shared" si="92"/>
        <v>0</v>
      </c>
      <c r="AA725" s="18"/>
      <c r="AB725" s="18">
        <f t="shared" si="93"/>
        <v>0</v>
      </c>
      <c r="AC725" s="18" t="str">
        <f t="shared" si="94"/>
        <v/>
      </c>
      <c r="AD725" s="18" t="str">
        <f t="shared" si="95"/>
        <v/>
      </c>
      <c r="AF725" t="str">
        <f>IFERROR(INDEX('Task Master'!$D:$D,MATCH($F725,'Task Master'!$C:$C,0)),"")</f>
        <v/>
      </c>
    </row>
    <row r="726" spans="1:32" x14ac:dyDescent="0.25">
      <c r="A726" t="str">
        <f t="shared" si="88"/>
        <v/>
      </c>
      <c r="B726" s="16"/>
      <c r="D726" t="str">
        <f>IF($C726="","",IFERROR(INDEX('Asset Register'!$B:$B,MATCH($C726,'Asset Register'!$A:$A,0)),""))</f>
        <v/>
      </c>
      <c r="H726" t="str">
        <f>IFERROR(INDEX('Task Master'!$E:$E,MATCH($F726&amp;"||"&amp;$G726,'Task Master'!$K:$K,0)),"")</f>
        <v/>
      </c>
      <c r="I726" t="str">
        <f>IFERROR(INDEX('Task Master'!$F:$F,MATCH($F726&amp;"||"&amp;$G726,'Task Master'!$K:$K,0)),"")</f>
        <v/>
      </c>
      <c r="J726" t="str">
        <f>IFERROR(INDEX('Task Master'!$H:$H,MATCH($F726&amp;"||"&amp;$G726,'Task Master'!$K:$K,0)),"")</f>
        <v/>
      </c>
      <c r="N726" s="18" t="str">
        <f t="shared" si="89"/>
        <v/>
      </c>
      <c r="R726" s="18">
        <f t="shared" si="90"/>
        <v>0</v>
      </c>
      <c r="V726" s="18">
        <f t="shared" si="91"/>
        <v>0</v>
      </c>
      <c r="Z726" s="18">
        <f t="shared" si="92"/>
        <v>0</v>
      </c>
      <c r="AA726" s="18"/>
      <c r="AB726" s="18">
        <f t="shared" si="93"/>
        <v>0</v>
      </c>
      <c r="AC726" s="18" t="str">
        <f t="shared" si="94"/>
        <v/>
      </c>
      <c r="AD726" s="18" t="str">
        <f t="shared" si="95"/>
        <v/>
      </c>
      <c r="AF726" t="str">
        <f>IFERROR(INDEX('Task Master'!$D:$D,MATCH($F726,'Task Master'!$C:$C,0)),"")</f>
        <v/>
      </c>
    </row>
    <row r="727" spans="1:32" x14ac:dyDescent="0.25">
      <c r="A727" t="str">
        <f t="shared" si="88"/>
        <v/>
      </c>
      <c r="B727" s="16"/>
      <c r="D727" t="str">
        <f>IF($C727="","",IFERROR(INDEX('Asset Register'!$B:$B,MATCH($C727,'Asset Register'!$A:$A,0)),""))</f>
        <v/>
      </c>
      <c r="H727" t="str">
        <f>IFERROR(INDEX('Task Master'!$E:$E,MATCH($F727&amp;"||"&amp;$G727,'Task Master'!$K:$K,0)),"")</f>
        <v/>
      </c>
      <c r="I727" t="str">
        <f>IFERROR(INDEX('Task Master'!$F:$F,MATCH($F727&amp;"||"&amp;$G727,'Task Master'!$K:$K,0)),"")</f>
        <v/>
      </c>
      <c r="J727" t="str">
        <f>IFERROR(INDEX('Task Master'!$H:$H,MATCH($F727&amp;"||"&amp;$G727,'Task Master'!$K:$K,0)),"")</f>
        <v/>
      </c>
      <c r="N727" s="18" t="str">
        <f t="shared" si="89"/>
        <v/>
      </c>
      <c r="R727" s="18">
        <f t="shared" si="90"/>
        <v>0</v>
      </c>
      <c r="V727" s="18">
        <f t="shared" si="91"/>
        <v>0</v>
      </c>
      <c r="Z727" s="18">
        <f t="shared" si="92"/>
        <v>0</v>
      </c>
      <c r="AA727" s="18"/>
      <c r="AB727" s="18">
        <f t="shared" si="93"/>
        <v>0</v>
      </c>
      <c r="AC727" s="18" t="str">
        <f t="shared" si="94"/>
        <v/>
      </c>
      <c r="AD727" s="18" t="str">
        <f t="shared" si="95"/>
        <v/>
      </c>
      <c r="AF727" t="str">
        <f>IFERROR(INDEX('Task Master'!$D:$D,MATCH($F727,'Task Master'!$C:$C,0)),"")</f>
        <v/>
      </c>
    </row>
    <row r="728" spans="1:32" x14ac:dyDescent="0.25">
      <c r="A728" t="str">
        <f t="shared" si="88"/>
        <v/>
      </c>
      <c r="B728" s="16"/>
      <c r="D728" t="str">
        <f>IF($C728="","",IFERROR(INDEX('Asset Register'!$B:$B,MATCH($C728,'Asset Register'!$A:$A,0)),""))</f>
        <v/>
      </c>
      <c r="H728" t="str">
        <f>IFERROR(INDEX('Task Master'!$E:$E,MATCH($F728&amp;"||"&amp;$G728,'Task Master'!$K:$K,0)),"")</f>
        <v/>
      </c>
      <c r="I728" t="str">
        <f>IFERROR(INDEX('Task Master'!$F:$F,MATCH($F728&amp;"||"&amp;$G728,'Task Master'!$K:$K,0)),"")</f>
        <v/>
      </c>
      <c r="J728" t="str">
        <f>IFERROR(INDEX('Task Master'!$H:$H,MATCH($F728&amp;"||"&amp;$G728,'Task Master'!$K:$K,0)),"")</f>
        <v/>
      </c>
      <c r="N728" s="18" t="str">
        <f t="shared" si="89"/>
        <v/>
      </c>
      <c r="R728" s="18">
        <f t="shared" si="90"/>
        <v>0</v>
      </c>
      <c r="V728" s="18">
        <f t="shared" si="91"/>
        <v>0</v>
      </c>
      <c r="Z728" s="18">
        <f t="shared" si="92"/>
        <v>0</v>
      </c>
      <c r="AA728" s="18"/>
      <c r="AB728" s="18">
        <f t="shared" si="93"/>
        <v>0</v>
      </c>
      <c r="AC728" s="18" t="str">
        <f t="shared" si="94"/>
        <v/>
      </c>
      <c r="AD728" s="18" t="str">
        <f t="shared" si="95"/>
        <v/>
      </c>
      <c r="AF728" t="str">
        <f>IFERROR(INDEX('Task Master'!$D:$D,MATCH($F728,'Task Master'!$C:$C,0)),"")</f>
        <v/>
      </c>
    </row>
    <row r="729" spans="1:32" x14ac:dyDescent="0.25">
      <c r="A729" t="str">
        <f t="shared" si="88"/>
        <v/>
      </c>
      <c r="B729" s="16"/>
      <c r="D729" t="str">
        <f>IF($C729="","",IFERROR(INDEX('Asset Register'!$B:$B,MATCH($C729,'Asset Register'!$A:$A,0)),""))</f>
        <v/>
      </c>
      <c r="H729" t="str">
        <f>IFERROR(INDEX('Task Master'!$E:$E,MATCH($F729&amp;"||"&amp;$G729,'Task Master'!$K:$K,0)),"")</f>
        <v/>
      </c>
      <c r="I729" t="str">
        <f>IFERROR(INDEX('Task Master'!$F:$F,MATCH($F729&amp;"||"&amp;$G729,'Task Master'!$K:$K,0)),"")</f>
        <v/>
      </c>
      <c r="J729" t="str">
        <f>IFERROR(INDEX('Task Master'!$H:$H,MATCH($F729&amp;"||"&amp;$G729,'Task Master'!$K:$K,0)),"")</f>
        <v/>
      </c>
      <c r="N729" s="18" t="str">
        <f t="shared" si="89"/>
        <v/>
      </c>
      <c r="R729" s="18">
        <f t="shared" si="90"/>
        <v>0</v>
      </c>
      <c r="V729" s="18">
        <f t="shared" si="91"/>
        <v>0</v>
      </c>
      <c r="Z729" s="18">
        <f t="shared" si="92"/>
        <v>0</v>
      </c>
      <c r="AA729" s="18"/>
      <c r="AB729" s="18">
        <f t="shared" si="93"/>
        <v>0</v>
      </c>
      <c r="AC729" s="18" t="str">
        <f t="shared" si="94"/>
        <v/>
      </c>
      <c r="AD729" s="18" t="str">
        <f t="shared" si="95"/>
        <v/>
      </c>
      <c r="AF729" t="str">
        <f>IFERROR(INDEX('Task Master'!$D:$D,MATCH($F729,'Task Master'!$C:$C,0)),"")</f>
        <v/>
      </c>
    </row>
    <row r="730" spans="1:32" x14ac:dyDescent="0.25">
      <c r="A730" t="str">
        <f t="shared" si="88"/>
        <v/>
      </c>
      <c r="B730" s="16"/>
      <c r="D730" t="str">
        <f>IF($C730="","",IFERROR(INDEX('Asset Register'!$B:$B,MATCH($C730,'Asset Register'!$A:$A,0)),""))</f>
        <v/>
      </c>
      <c r="H730" t="str">
        <f>IFERROR(INDEX('Task Master'!$E:$E,MATCH($F730&amp;"||"&amp;$G730,'Task Master'!$K:$K,0)),"")</f>
        <v/>
      </c>
      <c r="I730" t="str">
        <f>IFERROR(INDEX('Task Master'!$F:$F,MATCH($F730&amp;"||"&amp;$G730,'Task Master'!$K:$K,0)),"")</f>
        <v/>
      </c>
      <c r="J730" t="str">
        <f>IFERROR(INDEX('Task Master'!$H:$H,MATCH($F730&amp;"||"&amp;$G730,'Task Master'!$K:$K,0)),"")</f>
        <v/>
      </c>
      <c r="N730" s="18" t="str">
        <f t="shared" si="89"/>
        <v/>
      </c>
      <c r="R730" s="18">
        <f t="shared" si="90"/>
        <v>0</v>
      </c>
      <c r="V730" s="18">
        <f t="shared" si="91"/>
        <v>0</v>
      </c>
      <c r="Z730" s="18">
        <f t="shared" si="92"/>
        <v>0</v>
      </c>
      <c r="AA730" s="18"/>
      <c r="AB730" s="18">
        <f t="shared" si="93"/>
        <v>0</v>
      </c>
      <c r="AC730" s="18" t="str">
        <f t="shared" si="94"/>
        <v/>
      </c>
      <c r="AD730" s="18" t="str">
        <f t="shared" si="95"/>
        <v/>
      </c>
      <c r="AF730" t="str">
        <f>IFERROR(INDEX('Task Master'!$D:$D,MATCH($F730,'Task Master'!$C:$C,0)),"")</f>
        <v/>
      </c>
    </row>
    <row r="731" spans="1:32" x14ac:dyDescent="0.25">
      <c r="A731" t="str">
        <f t="shared" si="88"/>
        <v/>
      </c>
      <c r="B731" s="16"/>
      <c r="D731" t="str">
        <f>IF($C731="","",IFERROR(INDEX('Asset Register'!$B:$B,MATCH($C731,'Asset Register'!$A:$A,0)),""))</f>
        <v/>
      </c>
      <c r="H731" t="str">
        <f>IFERROR(INDEX('Task Master'!$E:$E,MATCH($F731&amp;"||"&amp;$G731,'Task Master'!$K:$K,0)),"")</f>
        <v/>
      </c>
      <c r="I731" t="str">
        <f>IFERROR(INDEX('Task Master'!$F:$F,MATCH($F731&amp;"||"&amp;$G731,'Task Master'!$K:$K,0)),"")</f>
        <v/>
      </c>
      <c r="J731" t="str">
        <f>IFERROR(INDEX('Task Master'!$H:$H,MATCH($F731&amp;"||"&amp;$G731,'Task Master'!$K:$K,0)),"")</f>
        <v/>
      </c>
      <c r="N731" s="18" t="str">
        <f t="shared" si="89"/>
        <v/>
      </c>
      <c r="R731" s="18">
        <f t="shared" si="90"/>
        <v>0</v>
      </c>
      <c r="V731" s="18">
        <f t="shared" si="91"/>
        <v>0</v>
      </c>
      <c r="Z731" s="18">
        <f t="shared" si="92"/>
        <v>0</v>
      </c>
      <c r="AA731" s="18"/>
      <c r="AB731" s="18">
        <f t="shared" si="93"/>
        <v>0</v>
      </c>
      <c r="AC731" s="18" t="str">
        <f t="shared" si="94"/>
        <v/>
      </c>
      <c r="AD731" s="18" t="str">
        <f t="shared" si="95"/>
        <v/>
      </c>
      <c r="AF731" t="str">
        <f>IFERROR(INDEX('Task Master'!$D:$D,MATCH($F731,'Task Master'!$C:$C,0)),"")</f>
        <v/>
      </c>
    </row>
    <row r="732" spans="1:32" x14ac:dyDescent="0.25">
      <c r="A732" t="str">
        <f t="shared" si="88"/>
        <v/>
      </c>
      <c r="B732" s="16"/>
      <c r="D732" t="str">
        <f>IF($C732="","",IFERROR(INDEX('Asset Register'!$B:$B,MATCH($C732,'Asset Register'!$A:$A,0)),""))</f>
        <v/>
      </c>
      <c r="H732" t="str">
        <f>IFERROR(INDEX('Task Master'!$E:$E,MATCH($F732&amp;"||"&amp;$G732,'Task Master'!$K:$K,0)),"")</f>
        <v/>
      </c>
      <c r="I732" t="str">
        <f>IFERROR(INDEX('Task Master'!$F:$F,MATCH($F732&amp;"||"&amp;$G732,'Task Master'!$K:$K,0)),"")</f>
        <v/>
      </c>
      <c r="J732" t="str">
        <f>IFERROR(INDEX('Task Master'!$H:$H,MATCH($F732&amp;"||"&amp;$G732,'Task Master'!$K:$K,0)),"")</f>
        <v/>
      </c>
      <c r="N732" s="18" t="str">
        <f t="shared" si="89"/>
        <v/>
      </c>
      <c r="R732" s="18">
        <f t="shared" si="90"/>
        <v>0</v>
      </c>
      <c r="V732" s="18">
        <f t="shared" si="91"/>
        <v>0</v>
      </c>
      <c r="Z732" s="18">
        <f t="shared" si="92"/>
        <v>0</v>
      </c>
      <c r="AA732" s="18"/>
      <c r="AB732" s="18">
        <f t="shared" si="93"/>
        <v>0</v>
      </c>
      <c r="AC732" s="18" t="str">
        <f t="shared" si="94"/>
        <v/>
      </c>
      <c r="AD732" s="18" t="str">
        <f t="shared" si="95"/>
        <v/>
      </c>
      <c r="AF732" t="str">
        <f>IFERROR(INDEX('Task Master'!$D:$D,MATCH($F732,'Task Master'!$C:$C,0)),"")</f>
        <v/>
      </c>
    </row>
    <row r="733" spans="1:32" x14ac:dyDescent="0.25">
      <c r="A733" t="str">
        <f t="shared" si="88"/>
        <v/>
      </c>
      <c r="B733" s="16"/>
      <c r="D733" t="str">
        <f>IF($C733="","",IFERROR(INDEX('Asset Register'!$B:$B,MATCH($C733,'Asset Register'!$A:$A,0)),""))</f>
        <v/>
      </c>
      <c r="H733" t="str">
        <f>IFERROR(INDEX('Task Master'!$E:$E,MATCH($F733&amp;"||"&amp;$G733,'Task Master'!$K:$K,0)),"")</f>
        <v/>
      </c>
      <c r="I733" t="str">
        <f>IFERROR(INDEX('Task Master'!$F:$F,MATCH($F733&amp;"||"&amp;$G733,'Task Master'!$K:$K,0)),"")</f>
        <v/>
      </c>
      <c r="J733" t="str">
        <f>IFERROR(INDEX('Task Master'!$H:$H,MATCH($F733&amp;"||"&amp;$G733,'Task Master'!$K:$K,0)),"")</f>
        <v/>
      </c>
      <c r="N733" s="18" t="str">
        <f t="shared" si="89"/>
        <v/>
      </c>
      <c r="R733" s="18">
        <f t="shared" si="90"/>
        <v>0</v>
      </c>
      <c r="V733" s="18">
        <f t="shared" si="91"/>
        <v>0</v>
      </c>
      <c r="Z733" s="18">
        <f t="shared" si="92"/>
        <v>0</v>
      </c>
      <c r="AA733" s="18"/>
      <c r="AB733" s="18">
        <f t="shared" si="93"/>
        <v>0</v>
      </c>
      <c r="AC733" s="18" t="str">
        <f t="shared" si="94"/>
        <v/>
      </c>
      <c r="AD733" s="18" t="str">
        <f t="shared" si="95"/>
        <v/>
      </c>
      <c r="AF733" t="str">
        <f>IFERROR(INDEX('Task Master'!$D:$D,MATCH($F733,'Task Master'!$C:$C,0)),"")</f>
        <v/>
      </c>
    </row>
    <row r="734" spans="1:32" x14ac:dyDescent="0.25">
      <c r="A734" t="str">
        <f t="shared" si="88"/>
        <v/>
      </c>
      <c r="B734" s="16"/>
      <c r="D734" t="str">
        <f>IF($C734="","",IFERROR(INDEX('Asset Register'!$B:$B,MATCH($C734,'Asset Register'!$A:$A,0)),""))</f>
        <v/>
      </c>
      <c r="H734" t="str">
        <f>IFERROR(INDEX('Task Master'!$E:$E,MATCH($F734&amp;"||"&amp;$G734,'Task Master'!$K:$K,0)),"")</f>
        <v/>
      </c>
      <c r="I734" t="str">
        <f>IFERROR(INDEX('Task Master'!$F:$F,MATCH($F734&amp;"||"&amp;$G734,'Task Master'!$K:$K,0)),"")</f>
        <v/>
      </c>
      <c r="J734" t="str">
        <f>IFERROR(INDEX('Task Master'!$H:$H,MATCH($F734&amp;"||"&amp;$G734,'Task Master'!$K:$K,0)),"")</f>
        <v/>
      </c>
      <c r="N734" s="18" t="str">
        <f t="shared" si="89"/>
        <v/>
      </c>
      <c r="R734" s="18">
        <f t="shared" si="90"/>
        <v>0</v>
      </c>
      <c r="V734" s="18">
        <f t="shared" si="91"/>
        <v>0</v>
      </c>
      <c r="Z734" s="18">
        <f t="shared" si="92"/>
        <v>0</v>
      </c>
      <c r="AA734" s="18"/>
      <c r="AB734" s="18">
        <f t="shared" si="93"/>
        <v>0</v>
      </c>
      <c r="AC734" s="18" t="str">
        <f t="shared" si="94"/>
        <v/>
      </c>
      <c r="AD734" s="18" t="str">
        <f t="shared" si="95"/>
        <v/>
      </c>
      <c r="AF734" t="str">
        <f>IFERROR(INDEX('Task Master'!$D:$D,MATCH($F734,'Task Master'!$C:$C,0)),"")</f>
        <v/>
      </c>
    </row>
    <row r="735" spans="1:32" x14ac:dyDescent="0.25">
      <c r="A735" t="str">
        <f t="shared" si="88"/>
        <v/>
      </c>
      <c r="B735" s="16"/>
      <c r="D735" t="str">
        <f>IF($C735="","",IFERROR(INDEX('Asset Register'!$B:$B,MATCH($C735,'Asset Register'!$A:$A,0)),""))</f>
        <v/>
      </c>
      <c r="H735" t="str">
        <f>IFERROR(INDEX('Task Master'!$E:$E,MATCH($F735&amp;"||"&amp;$G735,'Task Master'!$K:$K,0)),"")</f>
        <v/>
      </c>
      <c r="I735" t="str">
        <f>IFERROR(INDEX('Task Master'!$F:$F,MATCH($F735&amp;"||"&amp;$G735,'Task Master'!$K:$K,0)),"")</f>
        <v/>
      </c>
      <c r="J735" t="str">
        <f>IFERROR(INDEX('Task Master'!$H:$H,MATCH($F735&amp;"||"&amp;$G735,'Task Master'!$K:$K,0)),"")</f>
        <v/>
      </c>
      <c r="N735" s="18" t="str">
        <f t="shared" si="89"/>
        <v/>
      </c>
      <c r="R735" s="18">
        <f t="shared" si="90"/>
        <v>0</v>
      </c>
      <c r="V735" s="18">
        <f t="shared" si="91"/>
        <v>0</v>
      </c>
      <c r="Z735" s="18">
        <f t="shared" si="92"/>
        <v>0</v>
      </c>
      <c r="AA735" s="18"/>
      <c r="AB735" s="18">
        <f t="shared" si="93"/>
        <v>0</v>
      </c>
      <c r="AC735" s="18" t="str">
        <f t="shared" si="94"/>
        <v/>
      </c>
      <c r="AD735" s="18" t="str">
        <f t="shared" si="95"/>
        <v/>
      </c>
      <c r="AF735" t="str">
        <f>IFERROR(INDEX('Task Master'!$D:$D,MATCH($F735,'Task Master'!$C:$C,0)),"")</f>
        <v/>
      </c>
    </row>
    <row r="736" spans="1:32" x14ac:dyDescent="0.25">
      <c r="A736" t="str">
        <f t="shared" si="88"/>
        <v/>
      </c>
      <c r="B736" s="16"/>
      <c r="D736" t="str">
        <f>IF($C736="","",IFERROR(INDEX('Asset Register'!$B:$B,MATCH($C736,'Asset Register'!$A:$A,0)),""))</f>
        <v/>
      </c>
      <c r="H736" t="str">
        <f>IFERROR(INDEX('Task Master'!$E:$E,MATCH($F736&amp;"||"&amp;$G736,'Task Master'!$K:$K,0)),"")</f>
        <v/>
      </c>
      <c r="I736" t="str">
        <f>IFERROR(INDEX('Task Master'!$F:$F,MATCH($F736&amp;"||"&amp;$G736,'Task Master'!$K:$K,0)),"")</f>
        <v/>
      </c>
      <c r="J736" t="str">
        <f>IFERROR(INDEX('Task Master'!$H:$H,MATCH($F736&amp;"||"&amp;$G736,'Task Master'!$K:$K,0)),"")</f>
        <v/>
      </c>
      <c r="N736" s="18" t="str">
        <f t="shared" si="89"/>
        <v/>
      </c>
      <c r="R736" s="18">
        <f t="shared" si="90"/>
        <v>0</v>
      </c>
      <c r="V736" s="18">
        <f t="shared" si="91"/>
        <v>0</v>
      </c>
      <c r="Z736" s="18">
        <f t="shared" si="92"/>
        <v>0</v>
      </c>
      <c r="AA736" s="18"/>
      <c r="AB736" s="18">
        <f t="shared" si="93"/>
        <v>0</v>
      </c>
      <c r="AC736" s="18" t="str">
        <f t="shared" si="94"/>
        <v/>
      </c>
      <c r="AD736" s="18" t="str">
        <f t="shared" si="95"/>
        <v/>
      </c>
      <c r="AF736" t="str">
        <f>IFERROR(INDEX('Task Master'!$D:$D,MATCH($F736,'Task Master'!$C:$C,0)),"")</f>
        <v/>
      </c>
    </row>
    <row r="737" spans="1:32" x14ac:dyDescent="0.25">
      <c r="A737" t="str">
        <f t="shared" si="88"/>
        <v/>
      </c>
      <c r="B737" s="16"/>
      <c r="D737" t="str">
        <f>IF($C737="","",IFERROR(INDEX('Asset Register'!$B:$B,MATCH($C737,'Asset Register'!$A:$A,0)),""))</f>
        <v/>
      </c>
      <c r="H737" t="str">
        <f>IFERROR(INDEX('Task Master'!$E:$E,MATCH($F737&amp;"||"&amp;$G737,'Task Master'!$K:$K,0)),"")</f>
        <v/>
      </c>
      <c r="I737" t="str">
        <f>IFERROR(INDEX('Task Master'!$F:$F,MATCH($F737&amp;"||"&amp;$G737,'Task Master'!$K:$K,0)),"")</f>
        <v/>
      </c>
      <c r="J737" t="str">
        <f>IFERROR(INDEX('Task Master'!$H:$H,MATCH($F737&amp;"||"&amp;$G737,'Task Master'!$K:$K,0)),"")</f>
        <v/>
      </c>
      <c r="N737" s="18" t="str">
        <f t="shared" si="89"/>
        <v/>
      </c>
      <c r="R737" s="18">
        <f t="shared" si="90"/>
        <v>0</v>
      </c>
      <c r="V737" s="18">
        <f t="shared" si="91"/>
        <v>0</v>
      </c>
      <c r="Z737" s="18">
        <f t="shared" si="92"/>
        <v>0</v>
      </c>
      <c r="AA737" s="18"/>
      <c r="AB737" s="18">
        <f t="shared" si="93"/>
        <v>0</v>
      </c>
      <c r="AC737" s="18" t="str">
        <f t="shared" si="94"/>
        <v/>
      </c>
      <c r="AD737" s="18" t="str">
        <f t="shared" si="95"/>
        <v/>
      </c>
      <c r="AF737" t="str">
        <f>IFERROR(INDEX('Task Master'!$D:$D,MATCH($F737,'Task Master'!$C:$C,0)),"")</f>
        <v/>
      </c>
    </row>
    <row r="738" spans="1:32" x14ac:dyDescent="0.25">
      <c r="A738" t="str">
        <f t="shared" si="88"/>
        <v/>
      </c>
      <c r="B738" s="16"/>
      <c r="D738" t="str">
        <f>IF($C738="","",IFERROR(INDEX('Asset Register'!$B:$B,MATCH($C738,'Asset Register'!$A:$A,0)),""))</f>
        <v/>
      </c>
      <c r="H738" t="str">
        <f>IFERROR(INDEX('Task Master'!$E:$E,MATCH($F738&amp;"||"&amp;$G738,'Task Master'!$K:$K,0)),"")</f>
        <v/>
      </c>
      <c r="I738" t="str">
        <f>IFERROR(INDEX('Task Master'!$F:$F,MATCH($F738&amp;"||"&amp;$G738,'Task Master'!$K:$K,0)),"")</f>
        <v/>
      </c>
      <c r="J738" t="str">
        <f>IFERROR(INDEX('Task Master'!$H:$H,MATCH($F738&amp;"||"&amp;$G738,'Task Master'!$K:$K,0)),"")</f>
        <v/>
      </c>
      <c r="N738" s="18" t="str">
        <f t="shared" si="89"/>
        <v/>
      </c>
      <c r="R738" s="18">
        <f t="shared" si="90"/>
        <v>0</v>
      </c>
      <c r="V738" s="18">
        <f t="shared" si="91"/>
        <v>0</v>
      </c>
      <c r="Z738" s="18">
        <f t="shared" si="92"/>
        <v>0</v>
      </c>
      <c r="AA738" s="18"/>
      <c r="AB738" s="18">
        <f t="shared" si="93"/>
        <v>0</v>
      </c>
      <c r="AC738" s="18" t="str">
        <f t="shared" si="94"/>
        <v/>
      </c>
      <c r="AD738" s="18" t="str">
        <f t="shared" si="95"/>
        <v/>
      </c>
      <c r="AF738" t="str">
        <f>IFERROR(INDEX('Task Master'!$D:$D,MATCH($F738,'Task Master'!$C:$C,0)),"")</f>
        <v/>
      </c>
    </row>
    <row r="739" spans="1:32" x14ac:dyDescent="0.25">
      <c r="A739" t="str">
        <f t="shared" si="88"/>
        <v/>
      </c>
      <c r="B739" s="16"/>
      <c r="D739" t="str">
        <f>IF($C739="","",IFERROR(INDEX('Asset Register'!$B:$B,MATCH($C739,'Asset Register'!$A:$A,0)),""))</f>
        <v/>
      </c>
      <c r="H739" t="str">
        <f>IFERROR(INDEX('Task Master'!$E:$E,MATCH($F739&amp;"||"&amp;$G739,'Task Master'!$K:$K,0)),"")</f>
        <v/>
      </c>
      <c r="I739" t="str">
        <f>IFERROR(INDEX('Task Master'!$F:$F,MATCH($F739&amp;"||"&amp;$G739,'Task Master'!$K:$K,0)),"")</f>
        <v/>
      </c>
      <c r="J739" t="str">
        <f>IFERROR(INDEX('Task Master'!$H:$H,MATCH($F739&amp;"||"&amp;$G739,'Task Master'!$K:$K,0)),"")</f>
        <v/>
      </c>
      <c r="N739" s="18" t="str">
        <f t="shared" si="89"/>
        <v/>
      </c>
      <c r="R739" s="18">
        <f t="shared" si="90"/>
        <v>0</v>
      </c>
      <c r="V739" s="18">
        <f t="shared" si="91"/>
        <v>0</v>
      </c>
      <c r="Z739" s="18">
        <f t="shared" si="92"/>
        <v>0</v>
      </c>
      <c r="AA739" s="18"/>
      <c r="AB739" s="18">
        <f t="shared" si="93"/>
        <v>0</v>
      </c>
      <c r="AC739" s="18" t="str">
        <f t="shared" si="94"/>
        <v/>
      </c>
      <c r="AD739" s="18" t="str">
        <f t="shared" si="95"/>
        <v/>
      </c>
      <c r="AF739" t="str">
        <f>IFERROR(INDEX('Task Master'!$D:$D,MATCH($F739,'Task Master'!$C:$C,0)),"")</f>
        <v/>
      </c>
    </row>
    <row r="740" spans="1:32" x14ac:dyDescent="0.25">
      <c r="A740" t="str">
        <f t="shared" si="88"/>
        <v/>
      </c>
      <c r="B740" s="16"/>
      <c r="D740" t="str">
        <f>IF($C740="","",IFERROR(INDEX('Asset Register'!$B:$B,MATCH($C740,'Asset Register'!$A:$A,0)),""))</f>
        <v/>
      </c>
      <c r="H740" t="str">
        <f>IFERROR(INDEX('Task Master'!$E:$E,MATCH($F740&amp;"||"&amp;$G740,'Task Master'!$K:$K,0)),"")</f>
        <v/>
      </c>
      <c r="I740" t="str">
        <f>IFERROR(INDEX('Task Master'!$F:$F,MATCH($F740&amp;"||"&amp;$G740,'Task Master'!$K:$K,0)),"")</f>
        <v/>
      </c>
      <c r="J740" t="str">
        <f>IFERROR(INDEX('Task Master'!$H:$H,MATCH($F740&amp;"||"&amp;$G740,'Task Master'!$K:$K,0)),"")</f>
        <v/>
      </c>
      <c r="N740" s="18" t="str">
        <f t="shared" si="89"/>
        <v/>
      </c>
      <c r="R740" s="18">
        <f t="shared" si="90"/>
        <v>0</v>
      </c>
      <c r="V740" s="18">
        <f t="shared" si="91"/>
        <v>0</v>
      </c>
      <c r="Z740" s="18">
        <f t="shared" si="92"/>
        <v>0</v>
      </c>
      <c r="AA740" s="18"/>
      <c r="AB740" s="18">
        <f t="shared" si="93"/>
        <v>0</v>
      </c>
      <c r="AC740" s="18" t="str">
        <f t="shared" si="94"/>
        <v/>
      </c>
      <c r="AD740" s="18" t="str">
        <f t="shared" si="95"/>
        <v/>
      </c>
      <c r="AF740" t="str">
        <f>IFERROR(INDEX('Task Master'!$D:$D,MATCH($F740,'Task Master'!$C:$C,0)),"")</f>
        <v/>
      </c>
    </row>
    <row r="741" spans="1:32" x14ac:dyDescent="0.25">
      <c r="A741" t="str">
        <f t="shared" si="88"/>
        <v/>
      </c>
      <c r="B741" s="16"/>
      <c r="D741" t="str">
        <f>IF($C741="","",IFERROR(INDEX('Asset Register'!$B:$B,MATCH($C741,'Asset Register'!$A:$A,0)),""))</f>
        <v/>
      </c>
      <c r="H741" t="str">
        <f>IFERROR(INDEX('Task Master'!$E:$E,MATCH($F741&amp;"||"&amp;$G741,'Task Master'!$K:$K,0)),"")</f>
        <v/>
      </c>
      <c r="I741" t="str">
        <f>IFERROR(INDEX('Task Master'!$F:$F,MATCH($F741&amp;"||"&amp;$G741,'Task Master'!$K:$K,0)),"")</f>
        <v/>
      </c>
      <c r="J741" t="str">
        <f>IFERROR(INDEX('Task Master'!$H:$H,MATCH($F741&amp;"||"&amp;$G741,'Task Master'!$K:$K,0)),"")</f>
        <v/>
      </c>
      <c r="N741" s="18" t="str">
        <f t="shared" si="89"/>
        <v/>
      </c>
      <c r="R741" s="18">
        <f t="shared" si="90"/>
        <v>0</v>
      </c>
      <c r="V741" s="18">
        <f t="shared" si="91"/>
        <v>0</v>
      </c>
      <c r="Z741" s="18">
        <f t="shared" si="92"/>
        <v>0</v>
      </c>
      <c r="AA741" s="18"/>
      <c r="AB741" s="18">
        <f t="shared" si="93"/>
        <v>0</v>
      </c>
      <c r="AC741" s="18" t="str">
        <f t="shared" si="94"/>
        <v/>
      </c>
      <c r="AD741" s="18" t="str">
        <f t="shared" si="95"/>
        <v/>
      </c>
      <c r="AF741" t="str">
        <f>IFERROR(INDEX('Task Master'!$D:$D,MATCH($F741,'Task Master'!$C:$C,0)),"")</f>
        <v/>
      </c>
    </row>
    <row r="742" spans="1:32" x14ac:dyDescent="0.25">
      <c r="A742" t="str">
        <f t="shared" si="88"/>
        <v/>
      </c>
      <c r="B742" s="16"/>
      <c r="D742" t="str">
        <f>IF($C742="","",IFERROR(INDEX('Asset Register'!$B:$B,MATCH($C742,'Asset Register'!$A:$A,0)),""))</f>
        <v/>
      </c>
      <c r="H742" t="str">
        <f>IFERROR(INDEX('Task Master'!$E:$E,MATCH($F742&amp;"||"&amp;$G742,'Task Master'!$K:$K,0)),"")</f>
        <v/>
      </c>
      <c r="I742" t="str">
        <f>IFERROR(INDEX('Task Master'!$F:$F,MATCH($F742&amp;"||"&amp;$G742,'Task Master'!$K:$K,0)),"")</f>
        <v/>
      </c>
      <c r="J742" t="str">
        <f>IFERROR(INDEX('Task Master'!$H:$H,MATCH($F742&amp;"||"&amp;$G742,'Task Master'!$K:$K,0)),"")</f>
        <v/>
      </c>
      <c r="N742" s="18" t="str">
        <f t="shared" si="89"/>
        <v/>
      </c>
      <c r="R742" s="18">
        <f t="shared" si="90"/>
        <v>0</v>
      </c>
      <c r="V742" s="18">
        <f t="shared" si="91"/>
        <v>0</v>
      </c>
      <c r="Z742" s="18">
        <f t="shared" si="92"/>
        <v>0</v>
      </c>
      <c r="AA742" s="18"/>
      <c r="AB742" s="18">
        <f t="shared" si="93"/>
        <v>0</v>
      </c>
      <c r="AC742" s="18" t="str">
        <f t="shared" si="94"/>
        <v/>
      </c>
      <c r="AD742" s="18" t="str">
        <f t="shared" si="95"/>
        <v/>
      </c>
      <c r="AF742" t="str">
        <f>IFERROR(INDEX('Task Master'!$D:$D,MATCH($F742,'Task Master'!$C:$C,0)),"")</f>
        <v/>
      </c>
    </row>
    <row r="743" spans="1:32" x14ac:dyDescent="0.25">
      <c r="A743" t="str">
        <f t="shared" si="88"/>
        <v/>
      </c>
      <c r="B743" s="16"/>
      <c r="D743" t="str">
        <f>IF($C743="","",IFERROR(INDEX('Asset Register'!$B:$B,MATCH($C743,'Asset Register'!$A:$A,0)),""))</f>
        <v/>
      </c>
      <c r="H743" t="str">
        <f>IFERROR(INDEX('Task Master'!$E:$E,MATCH($F743&amp;"||"&amp;$G743,'Task Master'!$K:$K,0)),"")</f>
        <v/>
      </c>
      <c r="I743" t="str">
        <f>IFERROR(INDEX('Task Master'!$F:$F,MATCH($F743&amp;"||"&amp;$G743,'Task Master'!$K:$K,0)),"")</f>
        <v/>
      </c>
      <c r="J743" t="str">
        <f>IFERROR(INDEX('Task Master'!$H:$H,MATCH($F743&amp;"||"&amp;$G743,'Task Master'!$K:$K,0)),"")</f>
        <v/>
      </c>
      <c r="N743" s="18" t="str">
        <f t="shared" si="89"/>
        <v/>
      </c>
      <c r="R743" s="18">
        <f t="shared" si="90"/>
        <v>0</v>
      </c>
      <c r="V743" s="18">
        <f t="shared" si="91"/>
        <v>0</v>
      </c>
      <c r="Z743" s="18">
        <f t="shared" si="92"/>
        <v>0</v>
      </c>
      <c r="AA743" s="18"/>
      <c r="AB743" s="18">
        <f t="shared" si="93"/>
        <v>0</v>
      </c>
      <c r="AC743" s="18" t="str">
        <f t="shared" si="94"/>
        <v/>
      </c>
      <c r="AD743" s="18" t="str">
        <f t="shared" si="95"/>
        <v/>
      </c>
      <c r="AF743" t="str">
        <f>IFERROR(INDEX('Task Master'!$D:$D,MATCH($F743,'Task Master'!$C:$C,0)),"")</f>
        <v/>
      </c>
    </row>
    <row r="744" spans="1:32" x14ac:dyDescent="0.25">
      <c r="A744" t="str">
        <f t="shared" si="88"/>
        <v/>
      </c>
      <c r="B744" s="16"/>
      <c r="D744" t="str">
        <f>IF($C744="","",IFERROR(INDEX('Asset Register'!$B:$B,MATCH($C744,'Asset Register'!$A:$A,0)),""))</f>
        <v/>
      </c>
      <c r="H744" t="str">
        <f>IFERROR(INDEX('Task Master'!$E:$E,MATCH($F744&amp;"||"&amp;$G744,'Task Master'!$K:$K,0)),"")</f>
        <v/>
      </c>
      <c r="I744" t="str">
        <f>IFERROR(INDEX('Task Master'!$F:$F,MATCH($F744&amp;"||"&amp;$G744,'Task Master'!$K:$K,0)),"")</f>
        <v/>
      </c>
      <c r="J744" t="str">
        <f>IFERROR(INDEX('Task Master'!$H:$H,MATCH($F744&amp;"||"&amp;$G744,'Task Master'!$K:$K,0)),"")</f>
        <v/>
      </c>
      <c r="N744" s="18" t="str">
        <f t="shared" si="89"/>
        <v/>
      </c>
      <c r="R744" s="18">
        <f t="shared" si="90"/>
        <v>0</v>
      </c>
      <c r="V744" s="18">
        <f t="shared" si="91"/>
        <v>0</v>
      </c>
      <c r="Z744" s="18">
        <f t="shared" si="92"/>
        <v>0</v>
      </c>
      <c r="AA744" s="18"/>
      <c r="AB744" s="18">
        <f t="shared" si="93"/>
        <v>0</v>
      </c>
      <c r="AC744" s="18" t="str">
        <f t="shared" si="94"/>
        <v/>
      </c>
      <c r="AD744" s="18" t="str">
        <f t="shared" si="95"/>
        <v/>
      </c>
      <c r="AF744" t="str">
        <f>IFERROR(INDEX('Task Master'!$D:$D,MATCH($F744,'Task Master'!$C:$C,0)),"")</f>
        <v/>
      </c>
    </row>
    <row r="745" spans="1:32" x14ac:dyDescent="0.25">
      <c r="A745" t="str">
        <f t="shared" si="88"/>
        <v/>
      </c>
      <c r="B745" s="16"/>
      <c r="D745" t="str">
        <f>IF($C745="","",IFERROR(INDEX('Asset Register'!$B:$B,MATCH($C745,'Asset Register'!$A:$A,0)),""))</f>
        <v/>
      </c>
      <c r="H745" t="str">
        <f>IFERROR(INDEX('Task Master'!$E:$E,MATCH($F745&amp;"||"&amp;$G745,'Task Master'!$K:$K,0)),"")</f>
        <v/>
      </c>
      <c r="I745" t="str">
        <f>IFERROR(INDEX('Task Master'!$F:$F,MATCH($F745&amp;"||"&amp;$G745,'Task Master'!$K:$K,0)),"")</f>
        <v/>
      </c>
      <c r="J745" t="str">
        <f>IFERROR(INDEX('Task Master'!$H:$H,MATCH($F745&amp;"||"&amp;$G745,'Task Master'!$K:$K,0)),"")</f>
        <v/>
      </c>
      <c r="N745" s="18" t="str">
        <f t="shared" si="89"/>
        <v/>
      </c>
      <c r="R745" s="18">
        <f t="shared" si="90"/>
        <v>0</v>
      </c>
      <c r="V745" s="18">
        <f t="shared" si="91"/>
        <v>0</v>
      </c>
      <c r="Z745" s="18">
        <f t="shared" si="92"/>
        <v>0</v>
      </c>
      <c r="AA745" s="18"/>
      <c r="AB745" s="18">
        <f t="shared" si="93"/>
        <v>0</v>
      </c>
      <c r="AC745" s="18" t="str">
        <f t="shared" si="94"/>
        <v/>
      </c>
      <c r="AD745" s="18" t="str">
        <f t="shared" si="95"/>
        <v/>
      </c>
      <c r="AF745" t="str">
        <f>IFERROR(INDEX('Task Master'!$D:$D,MATCH($F745,'Task Master'!$C:$C,0)),"")</f>
        <v/>
      </c>
    </row>
    <row r="746" spans="1:32" x14ac:dyDescent="0.25">
      <c r="A746" t="str">
        <f t="shared" si="88"/>
        <v/>
      </c>
      <c r="B746" s="16"/>
      <c r="D746" t="str">
        <f>IF($C746="","",IFERROR(INDEX('Asset Register'!$B:$B,MATCH($C746,'Asset Register'!$A:$A,0)),""))</f>
        <v/>
      </c>
      <c r="H746" t="str">
        <f>IFERROR(INDEX('Task Master'!$E:$E,MATCH($F746&amp;"||"&amp;$G746,'Task Master'!$K:$K,0)),"")</f>
        <v/>
      </c>
      <c r="I746" t="str">
        <f>IFERROR(INDEX('Task Master'!$F:$F,MATCH($F746&amp;"||"&amp;$G746,'Task Master'!$K:$K,0)),"")</f>
        <v/>
      </c>
      <c r="J746" t="str">
        <f>IFERROR(INDEX('Task Master'!$H:$H,MATCH($F746&amp;"||"&amp;$G746,'Task Master'!$K:$K,0)),"")</f>
        <v/>
      </c>
      <c r="N746" s="18" t="str">
        <f t="shared" si="89"/>
        <v/>
      </c>
      <c r="R746" s="18">
        <f t="shared" si="90"/>
        <v>0</v>
      </c>
      <c r="V746" s="18">
        <f t="shared" si="91"/>
        <v>0</v>
      </c>
      <c r="Z746" s="18">
        <f t="shared" si="92"/>
        <v>0</v>
      </c>
      <c r="AA746" s="18"/>
      <c r="AB746" s="18">
        <f t="shared" si="93"/>
        <v>0</v>
      </c>
      <c r="AC746" s="18" t="str">
        <f t="shared" si="94"/>
        <v/>
      </c>
      <c r="AD746" s="18" t="str">
        <f t="shared" si="95"/>
        <v/>
      </c>
      <c r="AF746" t="str">
        <f>IFERROR(INDEX('Task Master'!$D:$D,MATCH($F746,'Task Master'!$C:$C,0)),"")</f>
        <v/>
      </c>
    </row>
    <row r="747" spans="1:32" x14ac:dyDescent="0.25">
      <c r="A747" t="str">
        <f t="shared" si="88"/>
        <v/>
      </c>
      <c r="B747" s="16"/>
      <c r="D747" t="str">
        <f>IF($C747="","",IFERROR(INDEX('Asset Register'!$B:$B,MATCH($C747,'Asset Register'!$A:$A,0)),""))</f>
        <v/>
      </c>
      <c r="H747" t="str">
        <f>IFERROR(INDEX('Task Master'!$E:$E,MATCH($F747&amp;"||"&amp;$G747,'Task Master'!$K:$K,0)),"")</f>
        <v/>
      </c>
      <c r="I747" t="str">
        <f>IFERROR(INDEX('Task Master'!$F:$F,MATCH($F747&amp;"||"&amp;$G747,'Task Master'!$K:$K,0)),"")</f>
        <v/>
      </c>
      <c r="J747" t="str">
        <f>IFERROR(INDEX('Task Master'!$H:$H,MATCH($F747&amp;"||"&amp;$G747,'Task Master'!$K:$K,0)),"")</f>
        <v/>
      </c>
      <c r="N747" s="18" t="str">
        <f t="shared" si="89"/>
        <v/>
      </c>
      <c r="R747" s="18">
        <f t="shared" si="90"/>
        <v>0</v>
      </c>
      <c r="V747" s="18">
        <f t="shared" si="91"/>
        <v>0</v>
      </c>
      <c r="Z747" s="18">
        <f t="shared" si="92"/>
        <v>0</v>
      </c>
      <c r="AA747" s="18"/>
      <c r="AB747" s="18">
        <f t="shared" si="93"/>
        <v>0</v>
      </c>
      <c r="AC747" s="18" t="str">
        <f t="shared" si="94"/>
        <v/>
      </c>
      <c r="AD747" s="18" t="str">
        <f t="shared" si="95"/>
        <v/>
      </c>
      <c r="AF747" t="str">
        <f>IFERROR(INDEX('Task Master'!$D:$D,MATCH($F747,'Task Master'!$C:$C,0)),"")</f>
        <v/>
      </c>
    </row>
    <row r="748" spans="1:32" x14ac:dyDescent="0.25">
      <c r="A748" t="str">
        <f t="shared" si="88"/>
        <v/>
      </c>
      <c r="B748" s="16"/>
      <c r="D748" t="str">
        <f>IF($C748="","",IFERROR(INDEX('Asset Register'!$B:$B,MATCH($C748,'Asset Register'!$A:$A,0)),""))</f>
        <v/>
      </c>
      <c r="H748" t="str">
        <f>IFERROR(INDEX('Task Master'!$E:$E,MATCH($F748&amp;"||"&amp;$G748,'Task Master'!$K:$K,0)),"")</f>
        <v/>
      </c>
      <c r="I748" t="str">
        <f>IFERROR(INDEX('Task Master'!$F:$F,MATCH($F748&amp;"||"&amp;$G748,'Task Master'!$K:$K,0)),"")</f>
        <v/>
      </c>
      <c r="J748" t="str">
        <f>IFERROR(INDEX('Task Master'!$H:$H,MATCH($F748&amp;"||"&amp;$G748,'Task Master'!$K:$K,0)),"")</f>
        <v/>
      </c>
      <c r="N748" s="18" t="str">
        <f t="shared" si="89"/>
        <v/>
      </c>
      <c r="R748" s="18">
        <f t="shared" si="90"/>
        <v>0</v>
      </c>
      <c r="V748" s="18">
        <f t="shared" si="91"/>
        <v>0</v>
      </c>
      <c r="Z748" s="18">
        <f t="shared" si="92"/>
        <v>0</v>
      </c>
      <c r="AA748" s="18"/>
      <c r="AB748" s="18">
        <f t="shared" si="93"/>
        <v>0</v>
      </c>
      <c r="AC748" s="18" t="str">
        <f t="shared" si="94"/>
        <v/>
      </c>
      <c r="AD748" s="18" t="str">
        <f t="shared" si="95"/>
        <v/>
      </c>
      <c r="AF748" t="str">
        <f>IFERROR(INDEX('Task Master'!$D:$D,MATCH($F748,'Task Master'!$C:$C,0)),"")</f>
        <v/>
      </c>
    </row>
    <row r="749" spans="1:32" x14ac:dyDescent="0.25">
      <c r="A749" t="str">
        <f t="shared" si="88"/>
        <v/>
      </c>
      <c r="B749" s="16"/>
      <c r="D749" t="str">
        <f>IF($C749="","",IFERROR(INDEX('Asset Register'!$B:$B,MATCH($C749,'Asset Register'!$A:$A,0)),""))</f>
        <v/>
      </c>
      <c r="H749" t="str">
        <f>IFERROR(INDEX('Task Master'!$E:$E,MATCH($F749&amp;"||"&amp;$G749,'Task Master'!$K:$K,0)),"")</f>
        <v/>
      </c>
      <c r="I749" t="str">
        <f>IFERROR(INDEX('Task Master'!$F:$F,MATCH($F749&amp;"||"&amp;$G749,'Task Master'!$K:$K,0)),"")</f>
        <v/>
      </c>
      <c r="J749" t="str">
        <f>IFERROR(INDEX('Task Master'!$H:$H,MATCH($F749&amp;"||"&amp;$G749,'Task Master'!$K:$K,0)),"")</f>
        <v/>
      </c>
      <c r="N749" s="18" t="str">
        <f t="shared" si="89"/>
        <v/>
      </c>
      <c r="R749" s="18">
        <f t="shared" si="90"/>
        <v>0</v>
      </c>
      <c r="V749" s="18">
        <f t="shared" si="91"/>
        <v>0</v>
      </c>
      <c r="Z749" s="18">
        <f t="shared" si="92"/>
        <v>0</v>
      </c>
      <c r="AA749" s="18"/>
      <c r="AB749" s="18">
        <f t="shared" si="93"/>
        <v>0</v>
      </c>
      <c r="AC749" s="18" t="str">
        <f t="shared" si="94"/>
        <v/>
      </c>
      <c r="AD749" s="18" t="str">
        <f t="shared" si="95"/>
        <v/>
      </c>
      <c r="AF749" t="str">
        <f>IFERROR(INDEX('Task Master'!$D:$D,MATCH($F749,'Task Master'!$C:$C,0)),"")</f>
        <v/>
      </c>
    </row>
    <row r="750" spans="1:32" x14ac:dyDescent="0.25">
      <c r="A750" t="str">
        <f t="shared" si="88"/>
        <v/>
      </c>
      <c r="B750" s="16"/>
      <c r="D750" t="str">
        <f>IF($C750="","",IFERROR(INDEX('Asset Register'!$B:$B,MATCH($C750,'Asset Register'!$A:$A,0)),""))</f>
        <v/>
      </c>
      <c r="H750" t="str">
        <f>IFERROR(INDEX('Task Master'!$E:$E,MATCH($F750&amp;"||"&amp;$G750,'Task Master'!$K:$K,0)),"")</f>
        <v/>
      </c>
      <c r="I750" t="str">
        <f>IFERROR(INDEX('Task Master'!$F:$F,MATCH($F750&amp;"||"&amp;$G750,'Task Master'!$K:$K,0)),"")</f>
        <v/>
      </c>
      <c r="J750" t="str">
        <f>IFERROR(INDEX('Task Master'!$H:$H,MATCH($F750&amp;"||"&amp;$G750,'Task Master'!$K:$K,0)),"")</f>
        <v/>
      </c>
      <c r="N750" s="18" t="str">
        <f t="shared" si="89"/>
        <v/>
      </c>
      <c r="R750" s="18">
        <f t="shared" si="90"/>
        <v>0</v>
      </c>
      <c r="V750" s="18">
        <f t="shared" si="91"/>
        <v>0</v>
      </c>
      <c r="Z750" s="18">
        <f t="shared" si="92"/>
        <v>0</v>
      </c>
      <c r="AA750" s="18"/>
      <c r="AB750" s="18">
        <f t="shared" si="93"/>
        <v>0</v>
      </c>
      <c r="AC750" s="18" t="str">
        <f t="shared" si="94"/>
        <v/>
      </c>
      <c r="AD750" s="18" t="str">
        <f t="shared" si="95"/>
        <v/>
      </c>
      <c r="AF750" t="str">
        <f>IFERROR(INDEX('Task Master'!$D:$D,MATCH($F750,'Task Master'!$C:$C,0)),"")</f>
        <v/>
      </c>
    </row>
    <row r="751" spans="1:32" x14ac:dyDescent="0.25">
      <c r="A751" t="str">
        <f t="shared" si="88"/>
        <v/>
      </c>
      <c r="B751" s="16"/>
      <c r="D751" t="str">
        <f>IF($C751="","",IFERROR(INDEX('Asset Register'!$B:$B,MATCH($C751,'Asset Register'!$A:$A,0)),""))</f>
        <v/>
      </c>
      <c r="H751" t="str">
        <f>IFERROR(INDEX('Task Master'!$E:$E,MATCH($F751&amp;"||"&amp;$G751,'Task Master'!$K:$K,0)),"")</f>
        <v/>
      </c>
      <c r="I751" t="str">
        <f>IFERROR(INDEX('Task Master'!$F:$F,MATCH($F751&amp;"||"&amp;$G751,'Task Master'!$K:$K,0)),"")</f>
        <v/>
      </c>
      <c r="J751" t="str">
        <f>IFERROR(INDEX('Task Master'!$H:$H,MATCH($F751&amp;"||"&amp;$G751,'Task Master'!$K:$K,0)),"")</f>
        <v/>
      </c>
      <c r="N751" s="18" t="str">
        <f t="shared" si="89"/>
        <v/>
      </c>
      <c r="R751" s="18">
        <f t="shared" si="90"/>
        <v>0</v>
      </c>
      <c r="V751" s="18">
        <f t="shared" si="91"/>
        <v>0</v>
      </c>
      <c r="Z751" s="18">
        <f t="shared" si="92"/>
        <v>0</v>
      </c>
      <c r="AA751" s="18"/>
      <c r="AB751" s="18">
        <f t="shared" si="93"/>
        <v>0</v>
      </c>
      <c r="AC751" s="18" t="str">
        <f t="shared" si="94"/>
        <v/>
      </c>
      <c r="AD751" s="18" t="str">
        <f t="shared" si="95"/>
        <v/>
      </c>
      <c r="AF751" t="str">
        <f>IFERROR(INDEX('Task Master'!$D:$D,MATCH($F751,'Task Master'!$C:$C,0)),"")</f>
        <v/>
      </c>
    </row>
    <row r="752" spans="1:32" x14ac:dyDescent="0.25">
      <c r="A752" t="str">
        <f t="shared" si="88"/>
        <v/>
      </c>
      <c r="B752" s="16"/>
      <c r="D752" t="str">
        <f>IF($C752="","",IFERROR(INDEX('Asset Register'!$B:$B,MATCH($C752,'Asset Register'!$A:$A,0)),""))</f>
        <v/>
      </c>
      <c r="H752" t="str">
        <f>IFERROR(INDEX('Task Master'!$E:$E,MATCH($F752&amp;"||"&amp;$G752,'Task Master'!$K:$K,0)),"")</f>
        <v/>
      </c>
      <c r="I752" t="str">
        <f>IFERROR(INDEX('Task Master'!$F:$F,MATCH($F752&amp;"||"&amp;$G752,'Task Master'!$K:$K,0)),"")</f>
        <v/>
      </c>
      <c r="J752" t="str">
        <f>IFERROR(INDEX('Task Master'!$H:$H,MATCH($F752&amp;"||"&amp;$G752,'Task Master'!$K:$K,0)),"")</f>
        <v/>
      </c>
      <c r="N752" s="18" t="str">
        <f t="shared" si="89"/>
        <v/>
      </c>
      <c r="R752" s="18">
        <f t="shared" si="90"/>
        <v>0</v>
      </c>
      <c r="V752" s="18">
        <f t="shared" si="91"/>
        <v>0</v>
      </c>
      <c r="Z752" s="18">
        <f t="shared" si="92"/>
        <v>0</v>
      </c>
      <c r="AA752" s="18"/>
      <c r="AB752" s="18">
        <f t="shared" si="93"/>
        <v>0</v>
      </c>
      <c r="AC752" s="18" t="str">
        <f t="shared" si="94"/>
        <v/>
      </c>
      <c r="AD752" s="18" t="str">
        <f t="shared" si="95"/>
        <v/>
      </c>
      <c r="AF752" t="str">
        <f>IFERROR(INDEX('Task Master'!$D:$D,MATCH($F752,'Task Master'!$C:$C,0)),"")</f>
        <v/>
      </c>
    </row>
    <row r="753" spans="1:32" x14ac:dyDescent="0.25">
      <c r="A753" t="str">
        <f t="shared" si="88"/>
        <v/>
      </c>
      <c r="B753" s="16"/>
      <c r="D753" t="str">
        <f>IF($C753="","",IFERROR(INDEX('Asset Register'!$B:$B,MATCH($C753,'Asset Register'!$A:$A,0)),""))</f>
        <v/>
      </c>
      <c r="H753" t="str">
        <f>IFERROR(INDEX('Task Master'!$E:$E,MATCH($F753&amp;"||"&amp;$G753,'Task Master'!$K:$K,0)),"")</f>
        <v/>
      </c>
      <c r="I753" t="str">
        <f>IFERROR(INDEX('Task Master'!$F:$F,MATCH($F753&amp;"||"&amp;$G753,'Task Master'!$K:$K,0)),"")</f>
        <v/>
      </c>
      <c r="J753" t="str">
        <f>IFERROR(INDEX('Task Master'!$H:$H,MATCH($F753&amp;"||"&amp;$G753,'Task Master'!$K:$K,0)),"")</f>
        <v/>
      </c>
      <c r="N753" s="18" t="str">
        <f t="shared" si="89"/>
        <v/>
      </c>
      <c r="R753" s="18">
        <f t="shared" si="90"/>
        <v>0</v>
      </c>
      <c r="V753" s="18">
        <f t="shared" si="91"/>
        <v>0</v>
      </c>
      <c r="Z753" s="18">
        <f t="shared" si="92"/>
        <v>0</v>
      </c>
      <c r="AA753" s="18"/>
      <c r="AB753" s="18">
        <f t="shared" si="93"/>
        <v>0</v>
      </c>
      <c r="AC753" s="18" t="str">
        <f t="shared" si="94"/>
        <v/>
      </c>
      <c r="AD753" s="18" t="str">
        <f t="shared" si="95"/>
        <v/>
      </c>
      <c r="AF753" t="str">
        <f>IFERROR(INDEX('Task Master'!$D:$D,MATCH($F753,'Task Master'!$C:$C,0)),"")</f>
        <v/>
      </c>
    </row>
    <row r="754" spans="1:32" x14ac:dyDescent="0.25">
      <c r="A754" t="str">
        <f t="shared" si="88"/>
        <v/>
      </c>
      <c r="B754" s="16"/>
      <c r="D754" t="str">
        <f>IF($C754="","",IFERROR(INDEX('Asset Register'!$B:$B,MATCH($C754,'Asset Register'!$A:$A,0)),""))</f>
        <v/>
      </c>
      <c r="H754" t="str">
        <f>IFERROR(INDEX('Task Master'!$E:$E,MATCH($F754&amp;"||"&amp;$G754,'Task Master'!$K:$K,0)),"")</f>
        <v/>
      </c>
      <c r="I754" t="str">
        <f>IFERROR(INDEX('Task Master'!$F:$F,MATCH($F754&amp;"||"&amp;$G754,'Task Master'!$K:$K,0)),"")</f>
        <v/>
      </c>
      <c r="J754" t="str">
        <f>IFERROR(INDEX('Task Master'!$H:$H,MATCH($F754&amp;"||"&amp;$G754,'Task Master'!$K:$K,0)),"")</f>
        <v/>
      </c>
      <c r="N754" s="18" t="str">
        <f t="shared" si="89"/>
        <v/>
      </c>
      <c r="R754" s="18">
        <f t="shared" si="90"/>
        <v>0</v>
      </c>
      <c r="V754" s="18">
        <f t="shared" si="91"/>
        <v>0</v>
      </c>
      <c r="Z754" s="18">
        <f t="shared" si="92"/>
        <v>0</v>
      </c>
      <c r="AA754" s="18"/>
      <c r="AB754" s="18">
        <f t="shared" si="93"/>
        <v>0</v>
      </c>
      <c r="AC754" s="18" t="str">
        <f t="shared" si="94"/>
        <v/>
      </c>
      <c r="AD754" s="18" t="str">
        <f t="shared" si="95"/>
        <v/>
      </c>
      <c r="AF754" t="str">
        <f>IFERROR(INDEX('Task Master'!$D:$D,MATCH($F754,'Task Master'!$C:$C,0)),"")</f>
        <v/>
      </c>
    </row>
    <row r="755" spans="1:32" x14ac:dyDescent="0.25">
      <c r="A755" t="str">
        <f t="shared" si="88"/>
        <v/>
      </c>
      <c r="B755" s="16"/>
      <c r="D755" t="str">
        <f>IF($C755="","",IFERROR(INDEX('Asset Register'!$B:$B,MATCH($C755,'Asset Register'!$A:$A,0)),""))</f>
        <v/>
      </c>
      <c r="H755" t="str">
        <f>IFERROR(INDEX('Task Master'!$E:$E,MATCH($F755&amp;"||"&amp;$G755,'Task Master'!$K:$K,0)),"")</f>
        <v/>
      </c>
      <c r="I755" t="str">
        <f>IFERROR(INDEX('Task Master'!$F:$F,MATCH($F755&amp;"||"&amp;$G755,'Task Master'!$K:$K,0)),"")</f>
        <v/>
      </c>
      <c r="J755" t="str">
        <f>IFERROR(INDEX('Task Master'!$H:$H,MATCH($F755&amp;"||"&amp;$G755,'Task Master'!$K:$K,0)),"")</f>
        <v/>
      </c>
      <c r="N755" s="18" t="str">
        <f t="shared" si="89"/>
        <v/>
      </c>
      <c r="R755" s="18">
        <f t="shared" si="90"/>
        <v>0</v>
      </c>
      <c r="V755" s="18">
        <f t="shared" si="91"/>
        <v>0</v>
      </c>
      <c r="Z755" s="18">
        <f t="shared" si="92"/>
        <v>0</v>
      </c>
      <c r="AA755" s="18"/>
      <c r="AB755" s="18">
        <f t="shared" si="93"/>
        <v>0</v>
      </c>
      <c r="AC755" s="18" t="str">
        <f t="shared" si="94"/>
        <v/>
      </c>
      <c r="AD755" s="18" t="str">
        <f t="shared" si="95"/>
        <v/>
      </c>
      <c r="AF755" t="str">
        <f>IFERROR(INDEX('Task Master'!$D:$D,MATCH($F755,'Task Master'!$C:$C,0)),"")</f>
        <v/>
      </c>
    </row>
    <row r="756" spans="1:32" x14ac:dyDescent="0.25">
      <c r="A756" t="str">
        <f t="shared" si="88"/>
        <v/>
      </c>
      <c r="B756" s="16"/>
      <c r="D756" t="str">
        <f>IF($C756="","",IFERROR(INDEX('Asset Register'!$B:$B,MATCH($C756,'Asset Register'!$A:$A,0)),""))</f>
        <v/>
      </c>
      <c r="H756" t="str">
        <f>IFERROR(INDEX('Task Master'!$E:$E,MATCH($F756&amp;"||"&amp;$G756,'Task Master'!$K:$K,0)),"")</f>
        <v/>
      </c>
      <c r="I756" t="str">
        <f>IFERROR(INDEX('Task Master'!$F:$F,MATCH($F756&amp;"||"&amp;$G756,'Task Master'!$K:$K,0)),"")</f>
        <v/>
      </c>
      <c r="J756" t="str">
        <f>IFERROR(INDEX('Task Master'!$H:$H,MATCH($F756&amp;"||"&amp;$G756,'Task Master'!$K:$K,0)),"")</f>
        <v/>
      </c>
      <c r="N756" s="18" t="str">
        <f t="shared" si="89"/>
        <v/>
      </c>
      <c r="R756" s="18">
        <f t="shared" si="90"/>
        <v>0</v>
      </c>
      <c r="V756" s="18">
        <f t="shared" si="91"/>
        <v>0</v>
      </c>
      <c r="Z756" s="18">
        <f t="shared" si="92"/>
        <v>0</v>
      </c>
      <c r="AA756" s="18"/>
      <c r="AB756" s="18">
        <f t="shared" si="93"/>
        <v>0</v>
      </c>
      <c r="AC756" s="18" t="str">
        <f t="shared" si="94"/>
        <v/>
      </c>
      <c r="AD756" s="18" t="str">
        <f t="shared" si="95"/>
        <v/>
      </c>
      <c r="AF756" t="str">
        <f>IFERROR(INDEX('Task Master'!$D:$D,MATCH($F756,'Task Master'!$C:$C,0)),"")</f>
        <v/>
      </c>
    </row>
    <row r="757" spans="1:32" x14ac:dyDescent="0.25">
      <c r="A757" t="str">
        <f t="shared" si="88"/>
        <v/>
      </c>
      <c r="B757" s="16"/>
      <c r="D757" t="str">
        <f>IF($C757="","",IFERROR(INDEX('Asset Register'!$B:$B,MATCH($C757,'Asset Register'!$A:$A,0)),""))</f>
        <v/>
      </c>
      <c r="H757" t="str">
        <f>IFERROR(INDEX('Task Master'!$E:$E,MATCH($F757&amp;"||"&amp;$G757,'Task Master'!$K:$K,0)),"")</f>
        <v/>
      </c>
      <c r="I757" t="str">
        <f>IFERROR(INDEX('Task Master'!$F:$F,MATCH($F757&amp;"||"&amp;$G757,'Task Master'!$K:$K,0)),"")</f>
        <v/>
      </c>
      <c r="J757" t="str">
        <f>IFERROR(INDEX('Task Master'!$H:$H,MATCH($F757&amp;"||"&amp;$G757,'Task Master'!$K:$K,0)),"")</f>
        <v/>
      </c>
      <c r="N757" s="18" t="str">
        <f t="shared" si="89"/>
        <v/>
      </c>
      <c r="R757" s="18">
        <f t="shared" si="90"/>
        <v>0</v>
      </c>
      <c r="V757" s="18">
        <f t="shared" si="91"/>
        <v>0</v>
      </c>
      <c r="Z757" s="18">
        <f t="shared" si="92"/>
        <v>0</v>
      </c>
      <c r="AA757" s="18"/>
      <c r="AB757" s="18">
        <f t="shared" si="93"/>
        <v>0</v>
      </c>
      <c r="AC757" s="18" t="str">
        <f t="shared" si="94"/>
        <v/>
      </c>
      <c r="AD757" s="18" t="str">
        <f t="shared" si="95"/>
        <v/>
      </c>
      <c r="AF757" t="str">
        <f>IFERROR(INDEX('Task Master'!$D:$D,MATCH($F757,'Task Master'!$C:$C,0)),"")</f>
        <v/>
      </c>
    </row>
    <row r="758" spans="1:32" x14ac:dyDescent="0.25">
      <c r="A758" t="str">
        <f t="shared" si="88"/>
        <v/>
      </c>
      <c r="B758" s="16"/>
      <c r="D758" t="str">
        <f>IF($C758="","",IFERROR(INDEX('Asset Register'!$B:$B,MATCH($C758,'Asset Register'!$A:$A,0)),""))</f>
        <v/>
      </c>
      <c r="H758" t="str">
        <f>IFERROR(INDEX('Task Master'!$E:$E,MATCH($F758&amp;"||"&amp;$G758,'Task Master'!$K:$K,0)),"")</f>
        <v/>
      </c>
      <c r="I758" t="str">
        <f>IFERROR(INDEX('Task Master'!$F:$F,MATCH($F758&amp;"||"&amp;$G758,'Task Master'!$K:$K,0)),"")</f>
        <v/>
      </c>
      <c r="J758" t="str">
        <f>IFERROR(INDEX('Task Master'!$H:$H,MATCH($F758&amp;"||"&amp;$G758,'Task Master'!$K:$K,0)),"")</f>
        <v/>
      </c>
      <c r="N758" s="18" t="str">
        <f t="shared" si="89"/>
        <v/>
      </c>
      <c r="R758" s="18">
        <f t="shared" si="90"/>
        <v>0</v>
      </c>
      <c r="V758" s="18">
        <f t="shared" si="91"/>
        <v>0</v>
      </c>
      <c r="Z758" s="18">
        <f t="shared" si="92"/>
        <v>0</v>
      </c>
      <c r="AA758" s="18"/>
      <c r="AB758" s="18">
        <f t="shared" si="93"/>
        <v>0</v>
      </c>
      <c r="AC758" s="18" t="str">
        <f t="shared" si="94"/>
        <v/>
      </c>
      <c r="AD758" s="18" t="str">
        <f t="shared" si="95"/>
        <v/>
      </c>
      <c r="AF758" t="str">
        <f>IFERROR(INDEX('Task Master'!$D:$D,MATCH($F758,'Task Master'!$C:$C,0)),"")</f>
        <v/>
      </c>
    </row>
    <row r="759" spans="1:32" x14ac:dyDescent="0.25">
      <c r="A759" t="str">
        <f t="shared" si="88"/>
        <v/>
      </c>
      <c r="B759" s="16"/>
      <c r="D759" t="str">
        <f>IF($C759="","",IFERROR(INDEX('Asset Register'!$B:$B,MATCH($C759,'Asset Register'!$A:$A,0)),""))</f>
        <v/>
      </c>
      <c r="H759" t="str">
        <f>IFERROR(INDEX('Task Master'!$E:$E,MATCH($F759&amp;"||"&amp;$G759,'Task Master'!$K:$K,0)),"")</f>
        <v/>
      </c>
      <c r="I759" t="str">
        <f>IFERROR(INDEX('Task Master'!$F:$F,MATCH($F759&amp;"||"&amp;$G759,'Task Master'!$K:$K,0)),"")</f>
        <v/>
      </c>
      <c r="J759" t="str">
        <f>IFERROR(INDEX('Task Master'!$H:$H,MATCH($F759&amp;"||"&amp;$G759,'Task Master'!$K:$K,0)),"")</f>
        <v/>
      </c>
      <c r="N759" s="18" t="str">
        <f t="shared" si="89"/>
        <v/>
      </c>
      <c r="R759" s="18">
        <f t="shared" si="90"/>
        <v>0</v>
      </c>
      <c r="V759" s="18">
        <f t="shared" si="91"/>
        <v>0</v>
      </c>
      <c r="Z759" s="18">
        <f t="shared" si="92"/>
        <v>0</v>
      </c>
      <c r="AA759" s="18"/>
      <c r="AB759" s="18">
        <f t="shared" si="93"/>
        <v>0</v>
      </c>
      <c r="AC759" s="18" t="str">
        <f t="shared" si="94"/>
        <v/>
      </c>
      <c r="AD759" s="18" t="str">
        <f t="shared" si="95"/>
        <v/>
      </c>
      <c r="AF759" t="str">
        <f>IFERROR(INDEX('Task Master'!$D:$D,MATCH($F759,'Task Master'!$C:$C,0)),"")</f>
        <v/>
      </c>
    </row>
    <row r="760" spans="1:32" x14ac:dyDescent="0.25">
      <c r="A760" t="str">
        <f t="shared" si="88"/>
        <v/>
      </c>
      <c r="B760" s="16"/>
      <c r="D760" t="str">
        <f>IF($C760="","",IFERROR(INDEX('Asset Register'!$B:$B,MATCH($C760,'Asset Register'!$A:$A,0)),""))</f>
        <v/>
      </c>
      <c r="H760" t="str">
        <f>IFERROR(INDEX('Task Master'!$E:$E,MATCH($F760&amp;"||"&amp;$G760,'Task Master'!$K:$K,0)),"")</f>
        <v/>
      </c>
      <c r="I760" t="str">
        <f>IFERROR(INDEX('Task Master'!$F:$F,MATCH($F760&amp;"||"&amp;$G760,'Task Master'!$K:$K,0)),"")</f>
        <v/>
      </c>
      <c r="J760" t="str">
        <f>IFERROR(INDEX('Task Master'!$H:$H,MATCH($F760&amp;"||"&amp;$G760,'Task Master'!$K:$K,0)),"")</f>
        <v/>
      </c>
      <c r="N760" s="18" t="str">
        <f t="shared" si="89"/>
        <v/>
      </c>
      <c r="R760" s="18">
        <f t="shared" si="90"/>
        <v>0</v>
      </c>
      <c r="V760" s="18">
        <f t="shared" si="91"/>
        <v>0</v>
      </c>
      <c r="Z760" s="18">
        <f t="shared" si="92"/>
        <v>0</v>
      </c>
      <c r="AA760" s="18"/>
      <c r="AB760" s="18">
        <f t="shared" si="93"/>
        <v>0</v>
      </c>
      <c r="AC760" s="18" t="str">
        <f t="shared" si="94"/>
        <v/>
      </c>
      <c r="AD760" s="18" t="str">
        <f t="shared" si="95"/>
        <v/>
      </c>
      <c r="AF760" t="str">
        <f>IFERROR(INDEX('Task Master'!$D:$D,MATCH($F760,'Task Master'!$C:$C,0)),"")</f>
        <v/>
      </c>
    </row>
    <row r="761" spans="1:32" x14ac:dyDescent="0.25">
      <c r="A761" t="str">
        <f t="shared" si="88"/>
        <v/>
      </c>
      <c r="B761" s="16"/>
      <c r="D761" t="str">
        <f>IF($C761="","",IFERROR(INDEX('Asset Register'!$B:$B,MATCH($C761,'Asset Register'!$A:$A,0)),""))</f>
        <v/>
      </c>
      <c r="H761" t="str">
        <f>IFERROR(INDEX('Task Master'!$E:$E,MATCH($F761&amp;"||"&amp;$G761,'Task Master'!$K:$K,0)),"")</f>
        <v/>
      </c>
      <c r="I761" t="str">
        <f>IFERROR(INDEX('Task Master'!$F:$F,MATCH($F761&amp;"||"&amp;$G761,'Task Master'!$K:$K,0)),"")</f>
        <v/>
      </c>
      <c r="J761" t="str">
        <f>IFERROR(INDEX('Task Master'!$H:$H,MATCH($F761&amp;"||"&amp;$G761,'Task Master'!$K:$K,0)),"")</f>
        <v/>
      </c>
      <c r="N761" s="18" t="str">
        <f t="shared" si="89"/>
        <v/>
      </c>
      <c r="R761" s="18">
        <f t="shared" si="90"/>
        <v>0</v>
      </c>
      <c r="V761" s="18">
        <f t="shared" si="91"/>
        <v>0</v>
      </c>
      <c r="Z761" s="18">
        <f t="shared" si="92"/>
        <v>0</v>
      </c>
      <c r="AA761" s="18"/>
      <c r="AB761" s="18">
        <f t="shared" si="93"/>
        <v>0</v>
      </c>
      <c r="AC761" s="18" t="str">
        <f t="shared" si="94"/>
        <v/>
      </c>
      <c r="AD761" s="18" t="str">
        <f t="shared" si="95"/>
        <v/>
      </c>
      <c r="AF761" t="str">
        <f>IFERROR(INDEX('Task Master'!$D:$D,MATCH($F761,'Task Master'!$C:$C,0)),"")</f>
        <v/>
      </c>
    </row>
    <row r="762" spans="1:32" x14ac:dyDescent="0.25">
      <c r="A762" t="str">
        <f t="shared" si="88"/>
        <v/>
      </c>
      <c r="B762" s="16"/>
      <c r="D762" t="str">
        <f>IF($C762="","",IFERROR(INDEX('Asset Register'!$B:$B,MATCH($C762,'Asset Register'!$A:$A,0)),""))</f>
        <v/>
      </c>
      <c r="H762" t="str">
        <f>IFERROR(INDEX('Task Master'!$E:$E,MATCH($F762&amp;"||"&amp;$G762,'Task Master'!$K:$K,0)),"")</f>
        <v/>
      </c>
      <c r="I762" t="str">
        <f>IFERROR(INDEX('Task Master'!$F:$F,MATCH($F762&amp;"||"&amp;$G762,'Task Master'!$K:$K,0)),"")</f>
        <v/>
      </c>
      <c r="J762" t="str">
        <f>IFERROR(INDEX('Task Master'!$H:$H,MATCH($F762&amp;"||"&amp;$G762,'Task Master'!$K:$K,0)),"")</f>
        <v/>
      </c>
      <c r="N762" s="18" t="str">
        <f t="shared" si="89"/>
        <v/>
      </c>
      <c r="R762" s="18">
        <f t="shared" si="90"/>
        <v>0</v>
      </c>
      <c r="V762" s="18">
        <f t="shared" si="91"/>
        <v>0</v>
      </c>
      <c r="Z762" s="18">
        <f t="shared" si="92"/>
        <v>0</v>
      </c>
      <c r="AA762" s="18"/>
      <c r="AB762" s="18">
        <f t="shared" si="93"/>
        <v>0</v>
      </c>
      <c r="AC762" s="18" t="str">
        <f t="shared" si="94"/>
        <v/>
      </c>
      <c r="AD762" s="18" t="str">
        <f t="shared" si="95"/>
        <v/>
      </c>
      <c r="AF762" t="str">
        <f>IFERROR(INDEX('Task Master'!$D:$D,MATCH($F762,'Task Master'!$C:$C,0)),"")</f>
        <v/>
      </c>
    </row>
    <row r="763" spans="1:32" x14ac:dyDescent="0.25">
      <c r="A763" t="str">
        <f t="shared" si="88"/>
        <v/>
      </c>
      <c r="B763" s="16"/>
      <c r="D763" t="str">
        <f>IF($C763="","",IFERROR(INDEX('Asset Register'!$B:$B,MATCH($C763,'Asset Register'!$A:$A,0)),""))</f>
        <v/>
      </c>
      <c r="H763" t="str">
        <f>IFERROR(INDEX('Task Master'!$E:$E,MATCH($F763&amp;"||"&amp;$G763,'Task Master'!$K:$K,0)),"")</f>
        <v/>
      </c>
      <c r="I763" t="str">
        <f>IFERROR(INDEX('Task Master'!$F:$F,MATCH($F763&amp;"||"&amp;$G763,'Task Master'!$K:$K,0)),"")</f>
        <v/>
      </c>
      <c r="J763" t="str">
        <f>IFERROR(INDEX('Task Master'!$H:$H,MATCH($F763&amp;"||"&amp;$G763,'Task Master'!$K:$K,0)),"")</f>
        <v/>
      </c>
      <c r="N763" s="18" t="str">
        <f t="shared" si="89"/>
        <v/>
      </c>
      <c r="R763" s="18">
        <f t="shared" si="90"/>
        <v>0</v>
      </c>
      <c r="V763" s="18">
        <f t="shared" si="91"/>
        <v>0</v>
      </c>
      <c r="Z763" s="18">
        <f t="shared" si="92"/>
        <v>0</v>
      </c>
      <c r="AA763" s="18"/>
      <c r="AB763" s="18">
        <f t="shared" si="93"/>
        <v>0</v>
      </c>
      <c r="AC763" s="18" t="str">
        <f t="shared" si="94"/>
        <v/>
      </c>
      <c r="AD763" s="18" t="str">
        <f t="shared" si="95"/>
        <v/>
      </c>
      <c r="AF763" t="str">
        <f>IFERROR(INDEX('Task Master'!$D:$D,MATCH($F763,'Task Master'!$C:$C,0)),"")</f>
        <v/>
      </c>
    </row>
    <row r="764" spans="1:32" x14ac:dyDescent="0.25">
      <c r="A764" t="str">
        <f t="shared" si="88"/>
        <v/>
      </c>
      <c r="B764" s="16"/>
      <c r="D764" t="str">
        <f>IF($C764="","",IFERROR(INDEX('Asset Register'!$B:$B,MATCH($C764,'Asset Register'!$A:$A,0)),""))</f>
        <v/>
      </c>
      <c r="H764" t="str">
        <f>IFERROR(INDEX('Task Master'!$E:$E,MATCH($F764&amp;"||"&amp;$G764,'Task Master'!$K:$K,0)),"")</f>
        <v/>
      </c>
      <c r="I764" t="str">
        <f>IFERROR(INDEX('Task Master'!$F:$F,MATCH($F764&amp;"||"&amp;$G764,'Task Master'!$K:$K,0)),"")</f>
        <v/>
      </c>
      <c r="J764" t="str">
        <f>IFERROR(INDEX('Task Master'!$H:$H,MATCH($F764&amp;"||"&amp;$G764,'Task Master'!$K:$K,0)),"")</f>
        <v/>
      </c>
      <c r="N764" s="18" t="str">
        <f t="shared" si="89"/>
        <v/>
      </c>
      <c r="R764" s="18">
        <f t="shared" si="90"/>
        <v>0</v>
      </c>
      <c r="V764" s="18">
        <f t="shared" si="91"/>
        <v>0</v>
      </c>
      <c r="Z764" s="18">
        <f t="shared" si="92"/>
        <v>0</v>
      </c>
      <c r="AA764" s="18"/>
      <c r="AB764" s="18">
        <f t="shared" si="93"/>
        <v>0</v>
      </c>
      <c r="AC764" s="18" t="str">
        <f t="shared" si="94"/>
        <v/>
      </c>
      <c r="AD764" s="18" t="str">
        <f t="shared" si="95"/>
        <v/>
      </c>
      <c r="AF764" t="str">
        <f>IFERROR(INDEX('Task Master'!$D:$D,MATCH($F764,'Task Master'!$C:$C,0)),"")</f>
        <v/>
      </c>
    </row>
    <row r="765" spans="1:32" x14ac:dyDescent="0.25">
      <c r="A765" t="str">
        <f t="shared" si="88"/>
        <v/>
      </c>
      <c r="B765" s="16"/>
      <c r="D765" t="str">
        <f>IF($C765="","",IFERROR(INDEX('Asset Register'!$B:$B,MATCH($C765,'Asset Register'!$A:$A,0)),""))</f>
        <v/>
      </c>
      <c r="H765" t="str">
        <f>IFERROR(INDEX('Task Master'!$E:$E,MATCH($F765&amp;"||"&amp;$G765,'Task Master'!$K:$K,0)),"")</f>
        <v/>
      </c>
      <c r="I765" t="str">
        <f>IFERROR(INDEX('Task Master'!$F:$F,MATCH($F765&amp;"||"&amp;$G765,'Task Master'!$K:$K,0)),"")</f>
        <v/>
      </c>
      <c r="J765" t="str">
        <f>IFERROR(INDEX('Task Master'!$H:$H,MATCH($F765&amp;"||"&amp;$G765,'Task Master'!$K:$K,0)),"")</f>
        <v/>
      </c>
      <c r="N765" s="18" t="str">
        <f t="shared" si="89"/>
        <v/>
      </c>
      <c r="R765" s="18">
        <f t="shared" si="90"/>
        <v>0</v>
      </c>
      <c r="V765" s="18">
        <f t="shared" si="91"/>
        <v>0</v>
      </c>
      <c r="Z765" s="18">
        <f t="shared" si="92"/>
        <v>0</v>
      </c>
      <c r="AA765" s="18"/>
      <c r="AB765" s="18">
        <f t="shared" si="93"/>
        <v>0</v>
      </c>
      <c r="AC765" s="18" t="str">
        <f t="shared" si="94"/>
        <v/>
      </c>
      <c r="AD765" s="18" t="str">
        <f t="shared" si="95"/>
        <v/>
      </c>
      <c r="AF765" t="str">
        <f>IFERROR(INDEX('Task Master'!$D:$D,MATCH($F765,'Task Master'!$C:$C,0)),"")</f>
        <v/>
      </c>
    </row>
    <row r="766" spans="1:32" x14ac:dyDescent="0.25">
      <c r="A766" t="str">
        <f t="shared" si="88"/>
        <v/>
      </c>
      <c r="B766" s="16"/>
      <c r="D766" t="str">
        <f>IF($C766="","",IFERROR(INDEX('Asset Register'!$B:$B,MATCH($C766,'Asset Register'!$A:$A,0)),""))</f>
        <v/>
      </c>
      <c r="H766" t="str">
        <f>IFERROR(INDEX('Task Master'!$E:$E,MATCH($F766&amp;"||"&amp;$G766,'Task Master'!$K:$K,0)),"")</f>
        <v/>
      </c>
      <c r="I766" t="str">
        <f>IFERROR(INDEX('Task Master'!$F:$F,MATCH($F766&amp;"||"&amp;$G766,'Task Master'!$K:$K,0)),"")</f>
        <v/>
      </c>
      <c r="J766" t="str">
        <f>IFERROR(INDEX('Task Master'!$H:$H,MATCH($F766&amp;"||"&amp;$G766,'Task Master'!$K:$K,0)),"")</f>
        <v/>
      </c>
      <c r="N766" s="18" t="str">
        <f t="shared" si="89"/>
        <v/>
      </c>
      <c r="R766" s="18">
        <f t="shared" si="90"/>
        <v>0</v>
      </c>
      <c r="V766" s="18">
        <f t="shared" si="91"/>
        <v>0</v>
      </c>
      <c r="Z766" s="18">
        <f t="shared" si="92"/>
        <v>0</v>
      </c>
      <c r="AA766" s="18"/>
      <c r="AB766" s="18">
        <f t="shared" si="93"/>
        <v>0</v>
      </c>
      <c r="AC766" s="18" t="str">
        <f t="shared" si="94"/>
        <v/>
      </c>
      <c r="AD766" s="18" t="str">
        <f t="shared" si="95"/>
        <v/>
      </c>
      <c r="AF766" t="str">
        <f>IFERROR(INDEX('Task Master'!$D:$D,MATCH($F766,'Task Master'!$C:$C,0)),"")</f>
        <v/>
      </c>
    </row>
    <row r="767" spans="1:32" x14ac:dyDescent="0.25">
      <c r="A767" t="str">
        <f t="shared" si="88"/>
        <v/>
      </c>
      <c r="B767" s="16"/>
      <c r="D767" t="str">
        <f>IF($C767="","",IFERROR(INDEX('Asset Register'!$B:$B,MATCH($C767,'Asset Register'!$A:$A,0)),""))</f>
        <v/>
      </c>
      <c r="H767" t="str">
        <f>IFERROR(INDEX('Task Master'!$E:$E,MATCH($F767&amp;"||"&amp;$G767,'Task Master'!$K:$K,0)),"")</f>
        <v/>
      </c>
      <c r="I767" t="str">
        <f>IFERROR(INDEX('Task Master'!$F:$F,MATCH($F767&amp;"||"&amp;$G767,'Task Master'!$K:$K,0)),"")</f>
        <v/>
      </c>
      <c r="J767" t="str">
        <f>IFERROR(INDEX('Task Master'!$H:$H,MATCH($F767&amp;"||"&amp;$G767,'Task Master'!$K:$K,0)),"")</f>
        <v/>
      </c>
      <c r="N767" s="18" t="str">
        <f t="shared" si="89"/>
        <v/>
      </c>
      <c r="R767" s="18">
        <f t="shared" si="90"/>
        <v>0</v>
      </c>
      <c r="V767" s="18">
        <f t="shared" si="91"/>
        <v>0</v>
      </c>
      <c r="Z767" s="18">
        <f t="shared" si="92"/>
        <v>0</v>
      </c>
      <c r="AA767" s="18"/>
      <c r="AB767" s="18">
        <f t="shared" si="93"/>
        <v>0</v>
      </c>
      <c r="AC767" s="18" t="str">
        <f t="shared" si="94"/>
        <v/>
      </c>
      <c r="AD767" s="18" t="str">
        <f t="shared" si="95"/>
        <v/>
      </c>
      <c r="AF767" t="str">
        <f>IFERROR(INDEX('Task Master'!$D:$D,MATCH($F767,'Task Master'!$C:$C,0)),"")</f>
        <v/>
      </c>
    </row>
    <row r="768" spans="1:32" x14ac:dyDescent="0.25">
      <c r="A768" t="str">
        <f t="shared" si="88"/>
        <v/>
      </c>
      <c r="B768" s="16"/>
      <c r="D768" t="str">
        <f>IF($C768="","",IFERROR(INDEX('Asset Register'!$B:$B,MATCH($C768,'Asset Register'!$A:$A,0)),""))</f>
        <v/>
      </c>
      <c r="H768" t="str">
        <f>IFERROR(INDEX('Task Master'!$E:$E,MATCH($F768&amp;"||"&amp;$G768,'Task Master'!$K:$K,0)),"")</f>
        <v/>
      </c>
      <c r="I768" t="str">
        <f>IFERROR(INDEX('Task Master'!$F:$F,MATCH($F768&amp;"||"&amp;$G768,'Task Master'!$K:$K,0)),"")</f>
        <v/>
      </c>
      <c r="J768" t="str">
        <f>IFERROR(INDEX('Task Master'!$H:$H,MATCH($F768&amp;"||"&amp;$G768,'Task Master'!$K:$K,0)),"")</f>
        <v/>
      </c>
      <c r="N768" s="18" t="str">
        <f t="shared" si="89"/>
        <v/>
      </c>
      <c r="R768" s="18">
        <f t="shared" si="90"/>
        <v>0</v>
      </c>
      <c r="V768" s="18">
        <f t="shared" si="91"/>
        <v>0</v>
      </c>
      <c r="Z768" s="18">
        <f t="shared" si="92"/>
        <v>0</v>
      </c>
      <c r="AA768" s="18"/>
      <c r="AB768" s="18">
        <f t="shared" si="93"/>
        <v>0</v>
      </c>
      <c r="AC768" s="18" t="str">
        <f t="shared" si="94"/>
        <v/>
      </c>
      <c r="AD768" s="18" t="str">
        <f t="shared" si="95"/>
        <v/>
      </c>
      <c r="AF768" t="str">
        <f>IFERROR(INDEX('Task Master'!$D:$D,MATCH($F768,'Task Master'!$C:$C,0)),"")</f>
        <v/>
      </c>
    </row>
    <row r="769" spans="1:32" x14ac:dyDescent="0.25">
      <c r="A769" t="str">
        <f t="shared" si="88"/>
        <v/>
      </c>
      <c r="B769" s="16"/>
      <c r="D769" t="str">
        <f>IF($C769="","",IFERROR(INDEX('Asset Register'!$B:$B,MATCH($C769,'Asset Register'!$A:$A,0)),""))</f>
        <v/>
      </c>
      <c r="H769" t="str">
        <f>IFERROR(INDEX('Task Master'!$E:$E,MATCH($F769&amp;"||"&amp;$G769,'Task Master'!$K:$K,0)),"")</f>
        <v/>
      </c>
      <c r="I769" t="str">
        <f>IFERROR(INDEX('Task Master'!$F:$F,MATCH($F769&amp;"||"&amp;$G769,'Task Master'!$K:$K,0)),"")</f>
        <v/>
      </c>
      <c r="J769" t="str">
        <f>IFERROR(INDEX('Task Master'!$H:$H,MATCH($F769&amp;"||"&amp;$G769,'Task Master'!$K:$K,0)),"")</f>
        <v/>
      </c>
      <c r="N769" s="18" t="str">
        <f t="shared" si="89"/>
        <v/>
      </c>
      <c r="R769" s="18">
        <f t="shared" si="90"/>
        <v>0</v>
      </c>
      <c r="V769" s="18">
        <f t="shared" si="91"/>
        <v>0</v>
      </c>
      <c r="Z769" s="18">
        <f t="shared" si="92"/>
        <v>0</v>
      </c>
      <c r="AA769" s="18"/>
      <c r="AB769" s="18">
        <f t="shared" si="93"/>
        <v>0</v>
      </c>
      <c r="AC769" s="18" t="str">
        <f t="shared" si="94"/>
        <v/>
      </c>
      <c r="AD769" s="18" t="str">
        <f t="shared" si="95"/>
        <v/>
      </c>
      <c r="AF769" t="str">
        <f>IFERROR(INDEX('Task Master'!$D:$D,MATCH($F769,'Task Master'!$C:$C,0)),"")</f>
        <v/>
      </c>
    </row>
    <row r="770" spans="1:32" x14ac:dyDescent="0.25">
      <c r="A770" t="str">
        <f t="shared" ref="A770:A833" si="96">IF(B770="","",ROW()-1)</f>
        <v/>
      </c>
      <c r="B770" s="16"/>
      <c r="D770" t="str">
        <f>IF($C770="","",IFERROR(INDEX('Asset Register'!$B:$B,MATCH($C770,'Asset Register'!$A:$A,0)),""))</f>
        <v/>
      </c>
      <c r="H770" t="str">
        <f>IFERROR(INDEX('Task Master'!$E:$E,MATCH($F770&amp;"||"&amp;$G770,'Task Master'!$K:$K,0)),"")</f>
        <v/>
      </c>
      <c r="I770" t="str">
        <f>IFERROR(INDEX('Task Master'!$F:$F,MATCH($F770&amp;"||"&amp;$G770,'Task Master'!$K:$K,0)),"")</f>
        <v/>
      </c>
      <c r="J770" t="str">
        <f>IFERROR(INDEX('Task Master'!$H:$H,MATCH($F770&amp;"||"&amp;$G770,'Task Master'!$K:$K,0)),"")</f>
        <v/>
      </c>
      <c r="N770" s="18" t="str">
        <f t="shared" ref="N770:N833" si="97">IF(OR($K770="",$L770="",$M770=""),"",$K770*$L770*$M770)</f>
        <v/>
      </c>
      <c r="R770" s="18">
        <f t="shared" ref="R770:R833" si="98">IF(OR($P770="",$Q770=""),0,$P770*$Q770)</f>
        <v>0</v>
      </c>
      <c r="V770" s="18">
        <f t="shared" ref="V770:V833" si="99">IF(OR($T770="",$U770=""),0,$T770*$U770)</f>
        <v>0</v>
      </c>
      <c r="Z770" s="18">
        <f t="shared" ref="Z770:Z833" si="100">IF(OR($X770="",$Y770=""),0,$X770*$Y770)</f>
        <v>0</v>
      </c>
      <c r="AA770" s="18"/>
      <c r="AB770" s="18">
        <f t="shared" ref="AB770:AB833" si="101">$R770+$V770+$Z770</f>
        <v>0</v>
      </c>
      <c r="AC770" s="18" t="str">
        <f t="shared" ref="AC770:AC833" si="102">IF($B770="","",$AB770+$AA770+$N770)</f>
        <v/>
      </c>
      <c r="AD770" s="18" t="str">
        <f t="shared" ref="AD770:AD833" si="103">IF(OR($K770="",$K770=0,$AC770=""),"",$AC770/$K770)</f>
        <v/>
      </c>
      <c r="AF770" t="str">
        <f>IFERROR(INDEX('Task Master'!$D:$D,MATCH($F770,'Task Master'!$C:$C,0)),"")</f>
        <v/>
      </c>
    </row>
    <row r="771" spans="1:32" x14ac:dyDescent="0.25">
      <c r="A771" t="str">
        <f t="shared" si="96"/>
        <v/>
      </c>
      <c r="B771" s="16"/>
      <c r="D771" t="str">
        <f>IF($C771="","",IFERROR(INDEX('Asset Register'!$B:$B,MATCH($C771,'Asset Register'!$A:$A,0)),""))</f>
        <v/>
      </c>
      <c r="H771" t="str">
        <f>IFERROR(INDEX('Task Master'!$E:$E,MATCH($F771&amp;"||"&amp;$G771,'Task Master'!$K:$K,0)),"")</f>
        <v/>
      </c>
      <c r="I771" t="str">
        <f>IFERROR(INDEX('Task Master'!$F:$F,MATCH($F771&amp;"||"&amp;$G771,'Task Master'!$K:$K,0)),"")</f>
        <v/>
      </c>
      <c r="J771" t="str">
        <f>IFERROR(INDEX('Task Master'!$H:$H,MATCH($F771&amp;"||"&amp;$G771,'Task Master'!$K:$K,0)),"")</f>
        <v/>
      </c>
      <c r="N771" s="18" t="str">
        <f t="shared" si="97"/>
        <v/>
      </c>
      <c r="R771" s="18">
        <f t="shared" si="98"/>
        <v>0</v>
      </c>
      <c r="V771" s="18">
        <f t="shared" si="99"/>
        <v>0</v>
      </c>
      <c r="Z771" s="18">
        <f t="shared" si="100"/>
        <v>0</v>
      </c>
      <c r="AA771" s="18"/>
      <c r="AB771" s="18">
        <f t="shared" si="101"/>
        <v>0</v>
      </c>
      <c r="AC771" s="18" t="str">
        <f t="shared" si="102"/>
        <v/>
      </c>
      <c r="AD771" s="18" t="str">
        <f t="shared" si="103"/>
        <v/>
      </c>
      <c r="AF771" t="str">
        <f>IFERROR(INDEX('Task Master'!$D:$D,MATCH($F771,'Task Master'!$C:$C,0)),"")</f>
        <v/>
      </c>
    </row>
    <row r="772" spans="1:32" x14ac:dyDescent="0.25">
      <c r="A772" t="str">
        <f t="shared" si="96"/>
        <v/>
      </c>
      <c r="B772" s="16"/>
      <c r="D772" t="str">
        <f>IF($C772="","",IFERROR(INDEX('Asset Register'!$B:$B,MATCH($C772,'Asset Register'!$A:$A,0)),""))</f>
        <v/>
      </c>
      <c r="H772" t="str">
        <f>IFERROR(INDEX('Task Master'!$E:$E,MATCH($F772&amp;"||"&amp;$G772,'Task Master'!$K:$K,0)),"")</f>
        <v/>
      </c>
      <c r="I772" t="str">
        <f>IFERROR(INDEX('Task Master'!$F:$F,MATCH($F772&amp;"||"&amp;$G772,'Task Master'!$K:$K,0)),"")</f>
        <v/>
      </c>
      <c r="J772" t="str">
        <f>IFERROR(INDEX('Task Master'!$H:$H,MATCH($F772&amp;"||"&amp;$G772,'Task Master'!$K:$K,0)),"")</f>
        <v/>
      </c>
      <c r="N772" s="18" t="str">
        <f t="shared" si="97"/>
        <v/>
      </c>
      <c r="R772" s="18">
        <f t="shared" si="98"/>
        <v>0</v>
      </c>
      <c r="V772" s="18">
        <f t="shared" si="99"/>
        <v>0</v>
      </c>
      <c r="Z772" s="18">
        <f t="shared" si="100"/>
        <v>0</v>
      </c>
      <c r="AA772" s="18"/>
      <c r="AB772" s="18">
        <f t="shared" si="101"/>
        <v>0</v>
      </c>
      <c r="AC772" s="18" t="str">
        <f t="shared" si="102"/>
        <v/>
      </c>
      <c r="AD772" s="18" t="str">
        <f t="shared" si="103"/>
        <v/>
      </c>
      <c r="AF772" t="str">
        <f>IFERROR(INDEX('Task Master'!$D:$D,MATCH($F772,'Task Master'!$C:$C,0)),"")</f>
        <v/>
      </c>
    </row>
    <row r="773" spans="1:32" x14ac:dyDescent="0.25">
      <c r="A773" t="str">
        <f t="shared" si="96"/>
        <v/>
      </c>
      <c r="B773" s="16"/>
      <c r="D773" t="str">
        <f>IF($C773="","",IFERROR(INDEX('Asset Register'!$B:$B,MATCH($C773,'Asset Register'!$A:$A,0)),""))</f>
        <v/>
      </c>
      <c r="H773" t="str">
        <f>IFERROR(INDEX('Task Master'!$E:$E,MATCH($F773&amp;"||"&amp;$G773,'Task Master'!$K:$K,0)),"")</f>
        <v/>
      </c>
      <c r="I773" t="str">
        <f>IFERROR(INDEX('Task Master'!$F:$F,MATCH($F773&amp;"||"&amp;$G773,'Task Master'!$K:$K,0)),"")</f>
        <v/>
      </c>
      <c r="J773" t="str">
        <f>IFERROR(INDEX('Task Master'!$H:$H,MATCH($F773&amp;"||"&amp;$G773,'Task Master'!$K:$K,0)),"")</f>
        <v/>
      </c>
      <c r="N773" s="18" t="str">
        <f t="shared" si="97"/>
        <v/>
      </c>
      <c r="R773" s="18">
        <f t="shared" si="98"/>
        <v>0</v>
      </c>
      <c r="V773" s="18">
        <f t="shared" si="99"/>
        <v>0</v>
      </c>
      <c r="Z773" s="18">
        <f t="shared" si="100"/>
        <v>0</v>
      </c>
      <c r="AA773" s="18"/>
      <c r="AB773" s="18">
        <f t="shared" si="101"/>
        <v>0</v>
      </c>
      <c r="AC773" s="18" t="str">
        <f t="shared" si="102"/>
        <v/>
      </c>
      <c r="AD773" s="18" t="str">
        <f t="shared" si="103"/>
        <v/>
      </c>
      <c r="AF773" t="str">
        <f>IFERROR(INDEX('Task Master'!$D:$D,MATCH($F773,'Task Master'!$C:$C,0)),"")</f>
        <v/>
      </c>
    </row>
    <row r="774" spans="1:32" x14ac:dyDescent="0.25">
      <c r="A774" t="str">
        <f t="shared" si="96"/>
        <v/>
      </c>
      <c r="B774" s="16"/>
      <c r="D774" t="str">
        <f>IF($C774="","",IFERROR(INDEX('Asset Register'!$B:$B,MATCH($C774,'Asset Register'!$A:$A,0)),""))</f>
        <v/>
      </c>
      <c r="H774" t="str">
        <f>IFERROR(INDEX('Task Master'!$E:$E,MATCH($F774&amp;"||"&amp;$G774,'Task Master'!$K:$K,0)),"")</f>
        <v/>
      </c>
      <c r="I774" t="str">
        <f>IFERROR(INDEX('Task Master'!$F:$F,MATCH($F774&amp;"||"&amp;$G774,'Task Master'!$K:$K,0)),"")</f>
        <v/>
      </c>
      <c r="J774" t="str">
        <f>IFERROR(INDEX('Task Master'!$H:$H,MATCH($F774&amp;"||"&amp;$G774,'Task Master'!$K:$K,0)),"")</f>
        <v/>
      </c>
      <c r="N774" s="18" t="str">
        <f t="shared" si="97"/>
        <v/>
      </c>
      <c r="R774" s="18">
        <f t="shared" si="98"/>
        <v>0</v>
      </c>
      <c r="V774" s="18">
        <f t="shared" si="99"/>
        <v>0</v>
      </c>
      <c r="Z774" s="18">
        <f t="shared" si="100"/>
        <v>0</v>
      </c>
      <c r="AA774" s="18"/>
      <c r="AB774" s="18">
        <f t="shared" si="101"/>
        <v>0</v>
      </c>
      <c r="AC774" s="18" t="str">
        <f t="shared" si="102"/>
        <v/>
      </c>
      <c r="AD774" s="18" t="str">
        <f t="shared" si="103"/>
        <v/>
      </c>
      <c r="AF774" t="str">
        <f>IFERROR(INDEX('Task Master'!$D:$D,MATCH($F774,'Task Master'!$C:$C,0)),"")</f>
        <v/>
      </c>
    </row>
    <row r="775" spans="1:32" x14ac:dyDescent="0.25">
      <c r="A775" t="str">
        <f t="shared" si="96"/>
        <v/>
      </c>
      <c r="B775" s="16"/>
      <c r="D775" t="str">
        <f>IF($C775="","",IFERROR(INDEX('Asset Register'!$B:$B,MATCH($C775,'Asset Register'!$A:$A,0)),""))</f>
        <v/>
      </c>
      <c r="H775" t="str">
        <f>IFERROR(INDEX('Task Master'!$E:$E,MATCH($F775&amp;"||"&amp;$G775,'Task Master'!$K:$K,0)),"")</f>
        <v/>
      </c>
      <c r="I775" t="str">
        <f>IFERROR(INDEX('Task Master'!$F:$F,MATCH($F775&amp;"||"&amp;$G775,'Task Master'!$K:$K,0)),"")</f>
        <v/>
      </c>
      <c r="J775" t="str">
        <f>IFERROR(INDEX('Task Master'!$H:$H,MATCH($F775&amp;"||"&amp;$G775,'Task Master'!$K:$K,0)),"")</f>
        <v/>
      </c>
      <c r="N775" s="18" t="str">
        <f t="shared" si="97"/>
        <v/>
      </c>
      <c r="R775" s="18">
        <f t="shared" si="98"/>
        <v>0</v>
      </c>
      <c r="V775" s="18">
        <f t="shared" si="99"/>
        <v>0</v>
      </c>
      <c r="Z775" s="18">
        <f t="shared" si="100"/>
        <v>0</v>
      </c>
      <c r="AA775" s="18"/>
      <c r="AB775" s="18">
        <f t="shared" si="101"/>
        <v>0</v>
      </c>
      <c r="AC775" s="18" t="str">
        <f t="shared" si="102"/>
        <v/>
      </c>
      <c r="AD775" s="18" t="str">
        <f t="shared" si="103"/>
        <v/>
      </c>
      <c r="AF775" t="str">
        <f>IFERROR(INDEX('Task Master'!$D:$D,MATCH($F775,'Task Master'!$C:$C,0)),"")</f>
        <v/>
      </c>
    </row>
    <row r="776" spans="1:32" x14ac:dyDescent="0.25">
      <c r="A776" t="str">
        <f t="shared" si="96"/>
        <v/>
      </c>
      <c r="B776" s="16"/>
      <c r="D776" t="str">
        <f>IF($C776="","",IFERROR(INDEX('Asset Register'!$B:$B,MATCH($C776,'Asset Register'!$A:$A,0)),""))</f>
        <v/>
      </c>
      <c r="H776" t="str">
        <f>IFERROR(INDEX('Task Master'!$E:$E,MATCH($F776&amp;"||"&amp;$G776,'Task Master'!$K:$K,0)),"")</f>
        <v/>
      </c>
      <c r="I776" t="str">
        <f>IFERROR(INDEX('Task Master'!$F:$F,MATCH($F776&amp;"||"&amp;$G776,'Task Master'!$K:$K,0)),"")</f>
        <v/>
      </c>
      <c r="J776" t="str">
        <f>IFERROR(INDEX('Task Master'!$H:$H,MATCH($F776&amp;"||"&amp;$G776,'Task Master'!$K:$K,0)),"")</f>
        <v/>
      </c>
      <c r="N776" s="18" t="str">
        <f t="shared" si="97"/>
        <v/>
      </c>
      <c r="R776" s="18">
        <f t="shared" si="98"/>
        <v>0</v>
      </c>
      <c r="V776" s="18">
        <f t="shared" si="99"/>
        <v>0</v>
      </c>
      <c r="Z776" s="18">
        <f t="shared" si="100"/>
        <v>0</v>
      </c>
      <c r="AA776" s="18"/>
      <c r="AB776" s="18">
        <f t="shared" si="101"/>
        <v>0</v>
      </c>
      <c r="AC776" s="18" t="str">
        <f t="shared" si="102"/>
        <v/>
      </c>
      <c r="AD776" s="18" t="str">
        <f t="shared" si="103"/>
        <v/>
      </c>
      <c r="AF776" t="str">
        <f>IFERROR(INDEX('Task Master'!$D:$D,MATCH($F776,'Task Master'!$C:$C,0)),"")</f>
        <v/>
      </c>
    </row>
    <row r="777" spans="1:32" x14ac:dyDescent="0.25">
      <c r="A777" t="str">
        <f t="shared" si="96"/>
        <v/>
      </c>
      <c r="B777" s="16"/>
      <c r="D777" t="str">
        <f>IF($C777="","",IFERROR(INDEX('Asset Register'!$B:$B,MATCH($C777,'Asset Register'!$A:$A,0)),""))</f>
        <v/>
      </c>
      <c r="H777" t="str">
        <f>IFERROR(INDEX('Task Master'!$E:$E,MATCH($F777&amp;"||"&amp;$G777,'Task Master'!$K:$K,0)),"")</f>
        <v/>
      </c>
      <c r="I777" t="str">
        <f>IFERROR(INDEX('Task Master'!$F:$F,MATCH($F777&amp;"||"&amp;$G777,'Task Master'!$K:$K,0)),"")</f>
        <v/>
      </c>
      <c r="J777" t="str">
        <f>IFERROR(INDEX('Task Master'!$H:$H,MATCH($F777&amp;"||"&amp;$G777,'Task Master'!$K:$K,0)),"")</f>
        <v/>
      </c>
      <c r="N777" s="18" t="str">
        <f t="shared" si="97"/>
        <v/>
      </c>
      <c r="R777" s="18">
        <f t="shared" si="98"/>
        <v>0</v>
      </c>
      <c r="V777" s="18">
        <f t="shared" si="99"/>
        <v>0</v>
      </c>
      <c r="Z777" s="18">
        <f t="shared" si="100"/>
        <v>0</v>
      </c>
      <c r="AA777" s="18"/>
      <c r="AB777" s="18">
        <f t="shared" si="101"/>
        <v>0</v>
      </c>
      <c r="AC777" s="18" t="str">
        <f t="shared" si="102"/>
        <v/>
      </c>
      <c r="AD777" s="18" t="str">
        <f t="shared" si="103"/>
        <v/>
      </c>
      <c r="AF777" t="str">
        <f>IFERROR(INDEX('Task Master'!$D:$D,MATCH($F777,'Task Master'!$C:$C,0)),"")</f>
        <v/>
      </c>
    </row>
    <row r="778" spans="1:32" x14ac:dyDescent="0.25">
      <c r="A778" t="str">
        <f t="shared" si="96"/>
        <v/>
      </c>
      <c r="B778" s="16"/>
      <c r="D778" t="str">
        <f>IF($C778="","",IFERROR(INDEX('Asset Register'!$B:$B,MATCH($C778,'Asset Register'!$A:$A,0)),""))</f>
        <v/>
      </c>
      <c r="H778" t="str">
        <f>IFERROR(INDEX('Task Master'!$E:$E,MATCH($F778&amp;"||"&amp;$G778,'Task Master'!$K:$K,0)),"")</f>
        <v/>
      </c>
      <c r="I778" t="str">
        <f>IFERROR(INDEX('Task Master'!$F:$F,MATCH($F778&amp;"||"&amp;$G778,'Task Master'!$K:$K,0)),"")</f>
        <v/>
      </c>
      <c r="J778" t="str">
        <f>IFERROR(INDEX('Task Master'!$H:$H,MATCH($F778&amp;"||"&amp;$G778,'Task Master'!$K:$K,0)),"")</f>
        <v/>
      </c>
      <c r="N778" s="18" t="str">
        <f t="shared" si="97"/>
        <v/>
      </c>
      <c r="R778" s="18">
        <f t="shared" si="98"/>
        <v>0</v>
      </c>
      <c r="V778" s="18">
        <f t="shared" si="99"/>
        <v>0</v>
      </c>
      <c r="Z778" s="18">
        <f t="shared" si="100"/>
        <v>0</v>
      </c>
      <c r="AA778" s="18"/>
      <c r="AB778" s="18">
        <f t="shared" si="101"/>
        <v>0</v>
      </c>
      <c r="AC778" s="18" t="str">
        <f t="shared" si="102"/>
        <v/>
      </c>
      <c r="AD778" s="18" t="str">
        <f t="shared" si="103"/>
        <v/>
      </c>
      <c r="AF778" t="str">
        <f>IFERROR(INDEX('Task Master'!$D:$D,MATCH($F778,'Task Master'!$C:$C,0)),"")</f>
        <v/>
      </c>
    </row>
    <row r="779" spans="1:32" x14ac:dyDescent="0.25">
      <c r="A779" t="str">
        <f t="shared" si="96"/>
        <v/>
      </c>
      <c r="B779" s="16"/>
      <c r="D779" t="str">
        <f>IF($C779="","",IFERROR(INDEX('Asset Register'!$B:$B,MATCH($C779,'Asset Register'!$A:$A,0)),""))</f>
        <v/>
      </c>
      <c r="H779" t="str">
        <f>IFERROR(INDEX('Task Master'!$E:$E,MATCH($F779&amp;"||"&amp;$G779,'Task Master'!$K:$K,0)),"")</f>
        <v/>
      </c>
      <c r="I779" t="str">
        <f>IFERROR(INDEX('Task Master'!$F:$F,MATCH($F779&amp;"||"&amp;$G779,'Task Master'!$K:$K,0)),"")</f>
        <v/>
      </c>
      <c r="J779" t="str">
        <f>IFERROR(INDEX('Task Master'!$H:$H,MATCH($F779&amp;"||"&amp;$G779,'Task Master'!$K:$K,0)),"")</f>
        <v/>
      </c>
      <c r="N779" s="18" t="str">
        <f t="shared" si="97"/>
        <v/>
      </c>
      <c r="R779" s="18">
        <f t="shared" si="98"/>
        <v>0</v>
      </c>
      <c r="V779" s="18">
        <f t="shared" si="99"/>
        <v>0</v>
      </c>
      <c r="Z779" s="18">
        <f t="shared" si="100"/>
        <v>0</v>
      </c>
      <c r="AA779" s="18"/>
      <c r="AB779" s="18">
        <f t="shared" si="101"/>
        <v>0</v>
      </c>
      <c r="AC779" s="18" t="str">
        <f t="shared" si="102"/>
        <v/>
      </c>
      <c r="AD779" s="18" t="str">
        <f t="shared" si="103"/>
        <v/>
      </c>
      <c r="AF779" t="str">
        <f>IFERROR(INDEX('Task Master'!$D:$D,MATCH($F779,'Task Master'!$C:$C,0)),"")</f>
        <v/>
      </c>
    </row>
    <row r="780" spans="1:32" x14ac:dyDescent="0.25">
      <c r="A780" t="str">
        <f t="shared" si="96"/>
        <v/>
      </c>
      <c r="B780" s="16"/>
      <c r="D780" t="str">
        <f>IF($C780="","",IFERROR(INDEX('Asset Register'!$B:$B,MATCH($C780,'Asset Register'!$A:$A,0)),""))</f>
        <v/>
      </c>
      <c r="H780" t="str">
        <f>IFERROR(INDEX('Task Master'!$E:$E,MATCH($F780&amp;"||"&amp;$G780,'Task Master'!$K:$K,0)),"")</f>
        <v/>
      </c>
      <c r="I780" t="str">
        <f>IFERROR(INDEX('Task Master'!$F:$F,MATCH($F780&amp;"||"&amp;$G780,'Task Master'!$K:$K,0)),"")</f>
        <v/>
      </c>
      <c r="J780" t="str">
        <f>IFERROR(INDEX('Task Master'!$H:$H,MATCH($F780&amp;"||"&amp;$G780,'Task Master'!$K:$K,0)),"")</f>
        <v/>
      </c>
      <c r="N780" s="18" t="str">
        <f t="shared" si="97"/>
        <v/>
      </c>
      <c r="R780" s="18">
        <f t="shared" si="98"/>
        <v>0</v>
      </c>
      <c r="V780" s="18">
        <f t="shared" si="99"/>
        <v>0</v>
      </c>
      <c r="Z780" s="18">
        <f t="shared" si="100"/>
        <v>0</v>
      </c>
      <c r="AA780" s="18"/>
      <c r="AB780" s="18">
        <f t="shared" si="101"/>
        <v>0</v>
      </c>
      <c r="AC780" s="18" t="str">
        <f t="shared" si="102"/>
        <v/>
      </c>
      <c r="AD780" s="18" t="str">
        <f t="shared" si="103"/>
        <v/>
      </c>
      <c r="AF780" t="str">
        <f>IFERROR(INDEX('Task Master'!$D:$D,MATCH($F780,'Task Master'!$C:$C,0)),"")</f>
        <v/>
      </c>
    </row>
    <row r="781" spans="1:32" x14ac:dyDescent="0.25">
      <c r="A781" t="str">
        <f t="shared" si="96"/>
        <v/>
      </c>
      <c r="B781" s="16"/>
      <c r="D781" t="str">
        <f>IF($C781="","",IFERROR(INDEX('Asset Register'!$B:$B,MATCH($C781,'Asset Register'!$A:$A,0)),""))</f>
        <v/>
      </c>
      <c r="H781" t="str">
        <f>IFERROR(INDEX('Task Master'!$E:$E,MATCH($F781&amp;"||"&amp;$G781,'Task Master'!$K:$K,0)),"")</f>
        <v/>
      </c>
      <c r="I781" t="str">
        <f>IFERROR(INDEX('Task Master'!$F:$F,MATCH($F781&amp;"||"&amp;$G781,'Task Master'!$K:$K,0)),"")</f>
        <v/>
      </c>
      <c r="J781" t="str">
        <f>IFERROR(INDEX('Task Master'!$H:$H,MATCH($F781&amp;"||"&amp;$G781,'Task Master'!$K:$K,0)),"")</f>
        <v/>
      </c>
      <c r="N781" s="18" t="str">
        <f t="shared" si="97"/>
        <v/>
      </c>
      <c r="R781" s="18">
        <f t="shared" si="98"/>
        <v>0</v>
      </c>
      <c r="V781" s="18">
        <f t="shared" si="99"/>
        <v>0</v>
      </c>
      <c r="Z781" s="18">
        <f t="shared" si="100"/>
        <v>0</v>
      </c>
      <c r="AA781" s="18"/>
      <c r="AB781" s="18">
        <f t="shared" si="101"/>
        <v>0</v>
      </c>
      <c r="AC781" s="18" t="str">
        <f t="shared" si="102"/>
        <v/>
      </c>
      <c r="AD781" s="18" t="str">
        <f t="shared" si="103"/>
        <v/>
      </c>
      <c r="AF781" t="str">
        <f>IFERROR(INDEX('Task Master'!$D:$D,MATCH($F781,'Task Master'!$C:$C,0)),"")</f>
        <v/>
      </c>
    </row>
    <row r="782" spans="1:32" x14ac:dyDescent="0.25">
      <c r="A782" t="str">
        <f t="shared" si="96"/>
        <v/>
      </c>
      <c r="B782" s="16"/>
      <c r="D782" t="str">
        <f>IF($C782="","",IFERROR(INDEX('Asset Register'!$B:$B,MATCH($C782,'Asset Register'!$A:$A,0)),""))</f>
        <v/>
      </c>
      <c r="H782" t="str">
        <f>IFERROR(INDEX('Task Master'!$E:$E,MATCH($F782&amp;"||"&amp;$G782,'Task Master'!$K:$K,0)),"")</f>
        <v/>
      </c>
      <c r="I782" t="str">
        <f>IFERROR(INDEX('Task Master'!$F:$F,MATCH($F782&amp;"||"&amp;$G782,'Task Master'!$K:$K,0)),"")</f>
        <v/>
      </c>
      <c r="J782" t="str">
        <f>IFERROR(INDEX('Task Master'!$H:$H,MATCH($F782&amp;"||"&amp;$G782,'Task Master'!$K:$K,0)),"")</f>
        <v/>
      </c>
      <c r="N782" s="18" t="str">
        <f t="shared" si="97"/>
        <v/>
      </c>
      <c r="R782" s="18">
        <f t="shared" si="98"/>
        <v>0</v>
      </c>
      <c r="V782" s="18">
        <f t="shared" si="99"/>
        <v>0</v>
      </c>
      <c r="Z782" s="18">
        <f t="shared" si="100"/>
        <v>0</v>
      </c>
      <c r="AA782" s="18"/>
      <c r="AB782" s="18">
        <f t="shared" si="101"/>
        <v>0</v>
      </c>
      <c r="AC782" s="18" t="str">
        <f t="shared" si="102"/>
        <v/>
      </c>
      <c r="AD782" s="18" t="str">
        <f t="shared" si="103"/>
        <v/>
      </c>
      <c r="AF782" t="str">
        <f>IFERROR(INDEX('Task Master'!$D:$D,MATCH($F782,'Task Master'!$C:$C,0)),"")</f>
        <v/>
      </c>
    </row>
    <row r="783" spans="1:32" x14ac:dyDescent="0.25">
      <c r="A783" t="str">
        <f t="shared" si="96"/>
        <v/>
      </c>
      <c r="B783" s="16"/>
      <c r="D783" t="str">
        <f>IF($C783="","",IFERROR(INDEX('Asset Register'!$B:$B,MATCH($C783,'Asset Register'!$A:$A,0)),""))</f>
        <v/>
      </c>
      <c r="H783" t="str">
        <f>IFERROR(INDEX('Task Master'!$E:$E,MATCH($F783&amp;"||"&amp;$G783,'Task Master'!$K:$K,0)),"")</f>
        <v/>
      </c>
      <c r="I783" t="str">
        <f>IFERROR(INDEX('Task Master'!$F:$F,MATCH($F783&amp;"||"&amp;$G783,'Task Master'!$K:$K,0)),"")</f>
        <v/>
      </c>
      <c r="J783" t="str">
        <f>IFERROR(INDEX('Task Master'!$H:$H,MATCH($F783&amp;"||"&amp;$G783,'Task Master'!$K:$K,0)),"")</f>
        <v/>
      </c>
      <c r="N783" s="18" t="str">
        <f t="shared" si="97"/>
        <v/>
      </c>
      <c r="R783" s="18">
        <f t="shared" si="98"/>
        <v>0</v>
      </c>
      <c r="V783" s="18">
        <f t="shared" si="99"/>
        <v>0</v>
      </c>
      <c r="Z783" s="18">
        <f t="shared" si="100"/>
        <v>0</v>
      </c>
      <c r="AA783" s="18"/>
      <c r="AB783" s="18">
        <f t="shared" si="101"/>
        <v>0</v>
      </c>
      <c r="AC783" s="18" t="str">
        <f t="shared" si="102"/>
        <v/>
      </c>
      <c r="AD783" s="18" t="str">
        <f t="shared" si="103"/>
        <v/>
      </c>
      <c r="AF783" t="str">
        <f>IFERROR(INDEX('Task Master'!$D:$D,MATCH($F783,'Task Master'!$C:$C,0)),"")</f>
        <v/>
      </c>
    </row>
    <row r="784" spans="1:32" x14ac:dyDescent="0.25">
      <c r="A784" t="str">
        <f t="shared" si="96"/>
        <v/>
      </c>
      <c r="B784" s="16"/>
      <c r="D784" t="str">
        <f>IF($C784="","",IFERROR(INDEX('Asset Register'!$B:$B,MATCH($C784,'Asset Register'!$A:$A,0)),""))</f>
        <v/>
      </c>
      <c r="H784" t="str">
        <f>IFERROR(INDEX('Task Master'!$E:$E,MATCH($F784&amp;"||"&amp;$G784,'Task Master'!$K:$K,0)),"")</f>
        <v/>
      </c>
      <c r="I784" t="str">
        <f>IFERROR(INDEX('Task Master'!$F:$F,MATCH($F784&amp;"||"&amp;$G784,'Task Master'!$K:$K,0)),"")</f>
        <v/>
      </c>
      <c r="J784" t="str">
        <f>IFERROR(INDEX('Task Master'!$H:$H,MATCH($F784&amp;"||"&amp;$G784,'Task Master'!$K:$K,0)),"")</f>
        <v/>
      </c>
      <c r="N784" s="18" t="str">
        <f t="shared" si="97"/>
        <v/>
      </c>
      <c r="R784" s="18">
        <f t="shared" si="98"/>
        <v>0</v>
      </c>
      <c r="V784" s="18">
        <f t="shared" si="99"/>
        <v>0</v>
      </c>
      <c r="Z784" s="18">
        <f t="shared" si="100"/>
        <v>0</v>
      </c>
      <c r="AA784" s="18"/>
      <c r="AB784" s="18">
        <f t="shared" si="101"/>
        <v>0</v>
      </c>
      <c r="AC784" s="18" t="str">
        <f t="shared" si="102"/>
        <v/>
      </c>
      <c r="AD784" s="18" t="str">
        <f t="shared" si="103"/>
        <v/>
      </c>
      <c r="AF784" t="str">
        <f>IFERROR(INDEX('Task Master'!$D:$D,MATCH($F784,'Task Master'!$C:$C,0)),"")</f>
        <v/>
      </c>
    </row>
    <row r="785" spans="1:32" x14ac:dyDescent="0.25">
      <c r="A785" t="str">
        <f t="shared" si="96"/>
        <v/>
      </c>
      <c r="B785" s="16"/>
      <c r="D785" t="str">
        <f>IF($C785="","",IFERROR(INDEX('Asset Register'!$B:$B,MATCH($C785,'Asset Register'!$A:$A,0)),""))</f>
        <v/>
      </c>
      <c r="H785" t="str">
        <f>IFERROR(INDEX('Task Master'!$E:$E,MATCH($F785&amp;"||"&amp;$G785,'Task Master'!$K:$K,0)),"")</f>
        <v/>
      </c>
      <c r="I785" t="str">
        <f>IFERROR(INDEX('Task Master'!$F:$F,MATCH($F785&amp;"||"&amp;$G785,'Task Master'!$K:$K,0)),"")</f>
        <v/>
      </c>
      <c r="J785" t="str">
        <f>IFERROR(INDEX('Task Master'!$H:$H,MATCH($F785&amp;"||"&amp;$G785,'Task Master'!$K:$K,0)),"")</f>
        <v/>
      </c>
      <c r="N785" s="18" t="str">
        <f t="shared" si="97"/>
        <v/>
      </c>
      <c r="R785" s="18">
        <f t="shared" si="98"/>
        <v>0</v>
      </c>
      <c r="V785" s="18">
        <f t="shared" si="99"/>
        <v>0</v>
      </c>
      <c r="Z785" s="18">
        <f t="shared" si="100"/>
        <v>0</v>
      </c>
      <c r="AA785" s="18"/>
      <c r="AB785" s="18">
        <f t="shared" si="101"/>
        <v>0</v>
      </c>
      <c r="AC785" s="18" t="str">
        <f t="shared" si="102"/>
        <v/>
      </c>
      <c r="AD785" s="18" t="str">
        <f t="shared" si="103"/>
        <v/>
      </c>
      <c r="AF785" t="str">
        <f>IFERROR(INDEX('Task Master'!$D:$D,MATCH($F785,'Task Master'!$C:$C,0)),"")</f>
        <v/>
      </c>
    </row>
    <row r="786" spans="1:32" x14ac:dyDescent="0.25">
      <c r="A786" t="str">
        <f t="shared" si="96"/>
        <v/>
      </c>
      <c r="B786" s="16"/>
      <c r="D786" t="str">
        <f>IF($C786="","",IFERROR(INDEX('Asset Register'!$B:$B,MATCH($C786,'Asset Register'!$A:$A,0)),""))</f>
        <v/>
      </c>
      <c r="H786" t="str">
        <f>IFERROR(INDEX('Task Master'!$E:$E,MATCH($F786&amp;"||"&amp;$G786,'Task Master'!$K:$K,0)),"")</f>
        <v/>
      </c>
      <c r="I786" t="str">
        <f>IFERROR(INDEX('Task Master'!$F:$F,MATCH($F786&amp;"||"&amp;$G786,'Task Master'!$K:$K,0)),"")</f>
        <v/>
      </c>
      <c r="J786" t="str">
        <f>IFERROR(INDEX('Task Master'!$H:$H,MATCH($F786&amp;"||"&amp;$G786,'Task Master'!$K:$K,0)),"")</f>
        <v/>
      </c>
      <c r="N786" s="18" t="str">
        <f t="shared" si="97"/>
        <v/>
      </c>
      <c r="R786" s="18">
        <f t="shared" si="98"/>
        <v>0</v>
      </c>
      <c r="V786" s="18">
        <f t="shared" si="99"/>
        <v>0</v>
      </c>
      <c r="Z786" s="18">
        <f t="shared" si="100"/>
        <v>0</v>
      </c>
      <c r="AA786" s="18"/>
      <c r="AB786" s="18">
        <f t="shared" si="101"/>
        <v>0</v>
      </c>
      <c r="AC786" s="18" t="str">
        <f t="shared" si="102"/>
        <v/>
      </c>
      <c r="AD786" s="18" t="str">
        <f t="shared" si="103"/>
        <v/>
      </c>
      <c r="AF786" t="str">
        <f>IFERROR(INDEX('Task Master'!$D:$D,MATCH($F786,'Task Master'!$C:$C,0)),"")</f>
        <v/>
      </c>
    </row>
    <row r="787" spans="1:32" x14ac:dyDescent="0.25">
      <c r="A787" t="str">
        <f t="shared" si="96"/>
        <v/>
      </c>
      <c r="B787" s="16"/>
      <c r="D787" t="str">
        <f>IF($C787="","",IFERROR(INDEX('Asset Register'!$B:$B,MATCH($C787,'Asset Register'!$A:$A,0)),""))</f>
        <v/>
      </c>
      <c r="H787" t="str">
        <f>IFERROR(INDEX('Task Master'!$E:$E,MATCH($F787&amp;"||"&amp;$G787,'Task Master'!$K:$K,0)),"")</f>
        <v/>
      </c>
      <c r="I787" t="str">
        <f>IFERROR(INDEX('Task Master'!$F:$F,MATCH($F787&amp;"||"&amp;$G787,'Task Master'!$K:$K,0)),"")</f>
        <v/>
      </c>
      <c r="J787" t="str">
        <f>IFERROR(INDEX('Task Master'!$H:$H,MATCH($F787&amp;"||"&amp;$G787,'Task Master'!$K:$K,0)),"")</f>
        <v/>
      </c>
      <c r="N787" s="18" t="str">
        <f t="shared" si="97"/>
        <v/>
      </c>
      <c r="R787" s="18">
        <f t="shared" si="98"/>
        <v>0</v>
      </c>
      <c r="V787" s="18">
        <f t="shared" si="99"/>
        <v>0</v>
      </c>
      <c r="Z787" s="18">
        <f t="shared" si="100"/>
        <v>0</v>
      </c>
      <c r="AA787" s="18"/>
      <c r="AB787" s="18">
        <f t="shared" si="101"/>
        <v>0</v>
      </c>
      <c r="AC787" s="18" t="str">
        <f t="shared" si="102"/>
        <v/>
      </c>
      <c r="AD787" s="18" t="str">
        <f t="shared" si="103"/>
        <v/>
      </c>
      <c r="AF787" t="str">
        <f>IFERROR(INDEX('Task Master'!$D:$D,MATCH($F787,'Task Master'!$C:$C,0)),"")</f>
        <v/>
      </c>
    </row>
    <row r="788" spans="1:32" x14ac:dyDescent="0.25">
      <c r="A788" t="str">
        <f t="shared" si="96"/>
        <v/>
      </c>
      <c r="B788" s="16"/>
      <c r="D788" t="str">
        <f>IF($C788="","",IFERROR(INDEX('Asset Register'!$B:$B,MATCH($C788,'Asset Register'!$A:$A,0)),""))</f>
        <v/>
      </c>
      <c r="H788" t="str">
        <f>IFERROR(INDEX('Task Master'!$E:$E,MATCH($F788&amp;"||"&amp;$G788,'Task Master'!$K:$K,0)),"")</f>
        <v/>
      </c>
      <c r="I788" t="str">
        <f>IFERROR(INDEX('Task Master'!$F:$F,MATCH($F788&amp;"||"&amp;$G788,'Task Master'!$K:$K,0)),"")</f>
        <v/>
      </c>
      <c r="J788" t="str">
        <f>IFERROR(INDEX('Task Master'!$H:$H,MATCH($F788&amp;"||"&amp;$G788,'Task Master'!$K:$K,0)),"")</f>
        <v/>
      </c>
      <c r="N788" s="18" t="str">
        <f t="shared" si="97"/>
        <v/>
      </c>
      <c r="R788" s="18">
        <f t="shared" si="98"/>
        <v>0</v>
      </c>
      <c r="V788" s="18">
        <f t="shared" si="99"/>
        <v>0</v>
      </c>
      <c r="Z788" s="18">
        <f t="shared" si="100"/>
        <v>0</v>
      </c>
      <c r="AA788" s="18"/>
      <c r="AB788" s="18">
        <f t="shared" si="101"/>
        <v>0</v>
      </c>
      <c r="AC788" s="18" t="str">
        <f t="shared" si="102"/>
        <v/>
      </c>
      <c r="AD788" s="18" t="str">
        <f t="shared" si="103"/>
        <v/>
      </c>
      <c r="AF788" t="str">
        <f>IFERROR(INDEX('Task Master'!$D:$D,MATCH($F788,'Task Master'!$C:$C,0)),"")</f>
        <v/>
      </c>
    </row>
    <row r="789" spans="1:32" x14ac:dyDescent="0.25">
      <c r="A789" t="str">
        <f t="shared" si="96"/>
        <v/>
      </c>
      <c r="B789" s="16"/>
      <c r="D789" t="str">
        <f>IF($C789="","",IFERROR(INDEX('Asset Register'!$B:$B,MATCH($C789,'Asset Register'!$A:$A,0)),""))</f>
        <v/>
      </c>
      <c r="H789" t="str">
        <f>IFERROR(INDEX('Task Master'!$E:$E,MATCH($F789&amp;"||"&amp;$G789,'Task Master'!$K:$K,0)),"")</f>
        <v/>
      </c>
      <c r="I789" t="str">
        <f>IFERROR(INDEX('Task Master'!$F:$F,MATCH($F789&amp;"||"&amp;$G789,'Task Master'!$K:$K,0)),"")</f>
        <v/>
      </c>
      <c r="J789" t="str">
        <f>IFERROR(INDEX('Task Master'!$H:$H,MATCH($F789&amp;"||"&amp;$G789,'Task Master'!$K:$K,0)),"")</f>
        <v/>
      </c>
      <c r="N789" s="18" t="str">
        <f t="shared" si="97"/>
        <v/>
      </c>
      <c r="R789" s="18">
        <f t="shared" si="98"/>
        <v>0</v>
      </c>
      <c r="V789" s="18">
        <f t="shared" si="99"/>
        <v>0</v>
      </c>
      <c r="Z789" s="18">
        <f t="shared" si="100"/>
        <v>0</v>
      </c>
      <c r="AA789" s="18"/>
      <c r="AB789" s="18">
        <f t="shared" si="101"/>
        <v>0</v>
      </c>
      <c r="AC789" s="18" t="str">
        <f t="shared" si="102"/>
        <v/>
      </c>
      <c r="AD789" s="18" t="str">
        <f t="shared" si="103"/>
        <v/>
      </c>
      <c r="AF789" t="str">
        <f>IFERROR(INDEX('Task Master'!$D:$D,MATCH($F789,'Task Master'!$C:$C,0)),"")</f>
        <v/>
      </c>
    </row>
    <row r="790" spans="1:32" x14ac:dyDescent="0.25">
      <c r="A790" t="str">
        <f t="shared" si="96"/>
        <v/>
      </c>
      <c r="B790" s="16"/>
      <c r="D790" t="str">
        <f>IF($C790="","",IFERROR(INDEX('Asset Register'!$B:$B,MATCH($C790,'Asset Register'!$A:$A,0)),""))</f>
        <v/>
      </c>
      <c r="H790" t="str">
        <f>IFERROR(INDEX('Task Master'!$E:$E,MATCH($F790&amp;"||"&amp;$G790,'Task Master'!$K:$K,0)),"")</f>
        <v/>
      </c>
      <c r="I790" t="str">
        <f>IFERROR(INDEX('Task Master'!$F:$F,MATCH($F790&amp;"||"&amp;$G790,'Task Master'!$K:$K,0)),"")</f>
        <v/>
      </c>
      <c r="J790" t="str">
        <f>IFERROR(INDEX('Task Master'!$H:$H,MATCH($F790&amp;"||"&amp;$G790,'Task Master'!$K:$K,0)),"")</f>
        <v/>
      </c>
      <c r="N790" s="18" t="str">
        <f t="shared" si="97"/>
        <v/>
      </c>
      <c r="R790" s="18">
        <f t="shared" si="98"/>
        <v>0</v>
      </c>
      <c r="V790" s="18">
        <f t="shared" si="99"/>
        <v>0</v>
      </c>
      <c r="Z790" s="18">
        <f t="shared" si="100"/>
        <v>0</v>
      </c>
      <c r="AA790" s="18"/>
      <c r="AB790" s="18">
        <f t="shared" si="101"/>
        <v>0</v>
      </c>
      <c r="AC790" s="18" t="str">
        <f t="shared" si="102"/>
        <v/>
      </c>
      <c r="AD790" s="18" t="str">
        <f t="shared" si="103"/>
        <v/>
      </c>
      <c r="AF790" t="str">
        <f>IFERROR(INDEX('Task Master'!$D:$D,MATCH($F790,'Task Master'!$C:$C,0)),"")</f>
        <v/>
      </c>
    </row>
    <row r="791" spans="1:32" x14ac:dyDescent="0.25">
      <c r="A791" t="str">
        <f t="shared" si="96"/>
        <v/>
      </c>
      <c r="B791" s="16"/>
      <c r="D791" t="str">
        <f>IF($C791="","",IFERROR(INDEX('Asset Register'!$B:$B,MATCH($C791,'Asset Register'!$A:$A,0)),""))</f>
        <v/>
      </c>
      <c r="H791" t="str">
        <f>IFERROR(INDEX('Task Master'!$E:$E,MATCH($F791&amp;"||"&amp;$G791,'Task Master'!$K:$K,0)),"")</f>
        <v/>
      </c>
      <c r="I791" t="str">
        <f>IFERROR(INDEX('Task Master'!$F:$F,MATCH($F791&amp;"||"&amp;$G791,'Task Master'!$K:$K,0)),"")</f>
        <v/>
      </c>
      <c r="J791" t="str">
        <f>IFERROR(INDEX('Task Master'!$H:$H,MATCH($F791&amp;"||"&amp;$G791,'Task Master'!$K:$K,0)),"")</f>
        <v/>
      </c>
      <c r="N791" s="18" t="str">
        <f t="shared" si="97"/>
        <v/>
      </c>
      <c r="R791" s="18">
        <f t="shared" si="98"/>
        <v>0</v>
      </c>
      <c r="V791" s="18">
        <f t="shared" si="99"/>
        <v>0</v>
      </c>
      <c r="Z791" s="18">
        <f t="shared" si="100"/>
        <v>0</v>
      </c>
      <c r="AA791" s="18"/>
      <c r="AB791" s="18">
        <f t="shared" si="101"/>
        <v>0</v>
      </c>
      <c r="AC791" s="18" t="str">
        <f t="shared" si="102"/>
        <v/>
      </c>
      <c r="AD791" s="18" t="str">
        <f t="shared" si="103"/>
        <v/>
      </c>
      <c r="AF791" t="str">
        <f>IFERROR(INDEX('Task Master'!$D:$D,MATCH($F791,'Task Master'!$C:$C,0)),"")</f>
        <v/>
      </c>
    </row>
    <row r="792" spans="1:32" x14ac:dyDescent="0.25">
      <c r="A792" t="str">
        <f t="shared" si="96"/>
        <v/>
      </c>
      <c r="B792" s="16"/>
      <c r="D792" t="str">
        <f>IF($C792="","",IFERROR(INDEX('Asset Register'!$B:$B,MATCH($C792,'Asset Register'!$A:$A,0)),""))</f>
        <v/>
      </c>
      <c r="H792" t="str">
        <f>IFERROR(INDEX('Task Master'!$E:$E,MATCH($F792&amp;"||"&amp;$G792,'Task Master'!$K:$K,0)),"")</f>
        <v/>
      </c>
      <c r="I792" t="str">
        <f>IFERROR(INDEX('Task Master'!$F:$F,MATCH($F792&amp;"||"&amp;$G792,'Task Master'!$K:$K,0)),"")</f>
        <v/>
      </c>
      <c r="J792" t="str">
        <f>IFERROR(INDEX('Task Master'!$H:$H,MATCH($F792&amp;"||"&amp;$G792,'Task Master'!$K:$K,0)),"")</f>
        <v/>
      </c>
      <c r="N792" s="18" t="str">
        <f t="shared" si="97"/>
        <v/>
      </c>
      <c r="R792" s="18">
        <f t="shared" si="98"/>
        <v>0</v>
      </c>
      <c r="V792" s="18">
        <f t="shared" si="99"/>
        <v>0</v>
      </c>
      <c r="Z792" s="18">
        <f t="shared" si="100"/>
        <v>0</v>
      </c>
      <c r="AA792" s="18"/>
      <c r="AB792" s="18">
        <f t="shared" si="101"/>
        <v>0</v>
      </c>
      <c r="AC792" s="18" t="str">
        <f t="shared" si="102"/>
        <v/>
      </c>
      <c r="AD792" s="18" t="str">
        <f t="shared" si="103"/>
        <v/>
      </c>
      <c r="AF792" t="str">
        <f>IFERROR(INDEX('Task Master'!$D:$D,MATCH($F792,'Task Master'!$C:$C,0)),"")</f>
        <v/>
      </c>
    </row>
    <row r="793" spans="1:32" x14ac:dyDescent="0.25">
      <c r="A793" t="str">
        <f t="shared" si="96"/>
        <v/>
      </c>
      <c r="B793" s="16"/>
      <c r="D793" t="str">
        <f>IF($C793="","",IFERROR(INDEX('Asset Register'!$B:$B,MATCH($C793,'Asset Register'!$A:$A,0)),""))</f>
        <v/>
      </c>
      <c r="H793" t="str">
        <f>IFERROR(INDEX('Task Master'!$E:$E,MATCH($F793&amp;"||"&amp;$G793,'Task Master'!$K:$K,0)),"")</f>
        <v/>
      </c>
      <c r="I793" t="str">
        <f>IFERROR(INDEX('Task Master'!$F:$F,MATCH($F793&amp;"||"&amp;$G793,'Task Master'!$K:$K,0)),"")</f>
        <v/>
      </c>
      <c r="J793" t="str">
        <f>IFERROR(INDEX('Task Master'!$H:$H,MATCH($F793&amp;"||"&amp;$G793,'Task Master'!$K:$K,0)),"")</f>
        <v/>
      </c>
      <c r="N793" s="18" t="str">
        <f t="shared" si="97"/>
        <v/>
      </c>
      <c r="R793" s="18">
        <f t="shared" si="98"/>
        <v>0</v>
      </c>
      <c r="V793" s="18">
        <f t="shared" si="99"/>
        <v>0</v>
      </c>
      <c r="Z793" s="18">
        <f t="shared" si="100"/>
        <v>0</v>
      </c>
      <c r="AA793" s="18"/>
      <c r="AB793" s="18">
        <f t="shared" si="101"/>
        <v>0</v>
      </c>
      <c r="AC793" s="18" t="str">
        <f t="shared" si="102"/>
        <v/>
      </c>
      <c r="AD793" s="18" t="str">
        <f t="shared" si="103"/>
        <v/>
      </c>
      <c r="AF793" t="str">
        <f>IFERROR(INDEX('Task Master'!$D:$D,MATCH($F793,'Task Master'!$C:$C,0)),"")</f>
        <v/>
      </c>
    </row>
    <row r="794" spans="1:32" x14ac:dyDescent="0.25">
      <c r="A794" t="str">
        <f t="shared" si="96"/>
        <v/>
      </c>
      <c r="B794" s="16"/>
      <c r="D794" t="str">
        <f>IF($C794="","",IFERROR(INDEX('Asset Register'!$B:$B,MATCH($C794,'Asset Register'!$A:$A,0)),""))</f>
        <v/>
      </c>
      <c r="H794" t="str">
        <f>IFERROR(INDEX('Task Master'!$E:$E,MATCH($F794&amp;"||"&amp;$G794,'Task Master'!$K:$K,0)),"")</f>
        <v/>
      </c>
      <c r="I794" t="str">
        <f>IFERROR(INDEX('Task Master'!$F:$F,MATCH($F794&amp;"||"&amp;$G794,'Task Master'!$K:$K,0)),"")</f>
        <v/>
      </c>
      <c r="J794" t="str">
        <f>IFERROR(INDEX('Task Master'!$H:$H,MATCH($F794&amp;"||"&amp;$G794,'Task Master'!$K:$K,0)),"")</f>
        <v/>
      </c>
      <c r="N794" s="18" t="str">
        <f t="shared" si="97"/>
        <v/>
      </c>
      <c r="R794" s="18">
        <f t="shared" si="98"/>
        <v>0</v>
      </c>
      <c r="V794" s="18">
        <f t="shared" si="99"/>
        <v>0</v>
      </c>
      <c r="Z794" s="18">
        <f t="shared" si="100"/>
        <v>0</v>
      </c>
      <c r="AA794" s="18"/>
      <c r="AB794" s="18">
        <f t="shared" si="101"/>
        <v>0</v>
      </c>
      <c r="AC794" s="18" t="str">
        <f t="shared" si="102"/>
        <v/>
      </c>
      <c r="AD794" s="18" t="str">
        <f t="shared" si="103"/>
        <v/>
      </c>
      <c r="AF794" t="str">
        <f>IFERROR(INDEX('Task Master'!$D:$D,MATCH($F794,'Task Master'!$C:$C,0)),"")</f>
        <v/>
      </c>
    </row>
    <row r="795" spans="1:32" x14ac:dyDescent="0.25">
      <c r="A795" t="str">
        <f t="shared" si="96"/>
        <v/>
      </c>
      <c r="B795" s="16"/>
      <c r="D795" t="str">
        <f>IF($C795="","",IFERROR(INDEX('Asset Register'!$B:$B,MATCH($C795,'Asset Register'!$A:$A,0)),""))</f>
        <v/>
      </c>
      <c r="H795" t="str">
        <f>IFERROR(INDEX('Task Master'!$E:$E,MATCH($F795&amp;"||"&amp;$G795,'Task Master'!$K:$K,0)),"")</f>
        <v/>
      </c>
      <c r="I795" t="str">
        <f>IFERROR(INDEX('Task Master'!$F:$F,MATCH($F795&amp;"||"&amp;$G795,'Task Master'!$K:$K,0)),"")</f>
        <v/>
      </c>
      <c r="J795" t="str">
        <f>IFERROR(INDEX('Task Master'!$H:$H,MATCH($F795&amp;"||"&amp;$G795,'Task Master'!$K:$K,0)),"")</f>
        <v/>
      </c>
      <c r="N795" s="18" t="str">
        <f t="shared" si="97"/>
        <v/>
      </c>
      <c r="R795" s="18">
        <f t="shared" si="98"/>
        <v>0</v>
      </c>
      <c r="V795" s="18">
        <f t="shared" si="99"/>
        <v>0</v>
      </c>
      <c r="Z795" s="18">
        <f t="shared" si="100"/>
        <v>0</v>
      </c>
      <c r="AA795" s="18"/>
      <c r="AB795" s="18">
        <f t="shared" si="101"/>
        <v>0</v>
      </c>
      <c r="AC795" s="18" t="str">
        <f t="shared" si="102"/>
        <v/>
      </c>
      <c r="AD795" s="18" t="str">
        <f t="shared" si="103"/>
        <v/>
      </c>
      <c r="AF795" t="str">
        <f>IFERROR(INDEX('Task Master'!$D:$D,MATCH($F795,'Task Master'!$C:$C,0)),"")</f>
        <v/>
      </c>
    </row>
    <row r="796" spans="1:32" x14ac:dyDescent="0.25">
      <c r="A796" t="str">
        <f t="shared" si="96"/>
        <v/>
      </c>
      <c r="B796" s="16"/>
      <c r="D796" t="str">
        <f>IF($C796="","",IFERROR(INDEX('Asset Register'!$B:$B,MATCH($C796,'Asset Register'!$A:$A,0)),""))</f>
        <v/>
      </c>
      <c r="H796" t="str">
        <f>IFERROR(INDEX('Task Master'!$E:$E,MATCH($F796&amp;"||"&amp;$G796,'Task Master'!$K:$K,0)),"")</f>
        <v/>
      </c>
      <c r="I796" t="str">
        <f>IFERROR(INDEX('Task Master'!$F:$F,MATCH($F796&amp;"||"&amp;$G796,'Task Master'!$K:$K,0)),"")</f>
        <v/>
      </c>
      <c r="J796" t="str">
        <f>IFERROR(INDEX('Task Master'!$H:$H,MATCH($F796&amp;"||"&amp;$G796,'Task Master'!$K:$K,0)),"")</f>
        <v/>
      </c>
      <c r="N796" s="18" t="str">
        <f t="shared" si="97"/>
        <v/>
      </c>
      <c r="R796" s="18">
        <f t="shared" si="98"/>
        <v>0</v>
      </c>
      <c r="V796" s="18">
        <f t="shared" si="99"/>
        <v>0</v>
      </c>
      <c r="Z796" s="18">
        <f t="shared" si="100"/>
        <v>0</v>
      </c>
      <c r="AA796" s="18"/>
      <c r="AB796" s="18">
        <f t="shared" si="101"/>
        <v>0</v>
      </c>
      <c r="AC796" s="18" t="str">
        <f t="shared" si="102"/>
        <v/>
      </c>
      <c r="AD796" s="18" t="str">
        <f t="shared" si="103"/>
        <v/>
      </c>
      <c r="AF796" t="str">
        <f>IFERROR(INDEX('Task Master'!$D:$D,MATCH($F796,'Task Master'!$C:$C,0)),"")</f>
        <v/>
      </c>
    </row>
    <row r="797" spans="1:32" x14ac:dyDescent="0.25">
      <c r="A797" t="str">
        <f t="shared" si="96"/>
        <v/>
      </c>
      <c r="B797" s="16"/>
      <c r="D797" t="str">
        <f>IF($C797="","",IFERROR(INDEX('Asset Register'!$B:$B,MATCH($C797,'Asset Register'!$A:$A,0)),""))</f>
        <v/>
      </c>
      <c r="H797" t="str">
        <f>IFERROR(INDEX('Task Master'!$E:$E,MATCH($F797&amp;"||"&amp;$G797,'Task Master'!$K:$K,0)),"")</f>
        <v/>
      </c>
      <c r="I797" t="str">
        <f>IFERROR(INDEX('Task Master'!$F:$F,MATCH($F797&amp;"||"&amp;$G797,'Task Master'!$K:$K,0)),"")</f>
        <v/>
      </c>
      <c r="J797" t="str">
        <f>IFERROR(INDEX('Task Master'!$H:$H,MATCH($F797&amp;"||"&amp;$G797,'Task Master'!$K:$K,0)),"")</f>
        <v/>
      </c>
      <c r="N797" s="18" t="str">
        <f t="shared" si="97"/>
        <v/>
      </c>
      <c r="R797" s="18">
        <f t="shared" si="98"/>
        <v>0</v>
      </c>
      <c r="V797" s="18">
        <f t="shared" si="99"/>
        <v>0</v>
      </c>
      <c r="Z797" s="18">
        <f t="shared" si="100"/>
        <v>0</v>
      </c>
      <c r="AA797" s="18"/>
      <c r="AB797" s="18">
        <f t="shared" si="101"/>
        <v>0</v>
      </c>
      <c r="AC797" s="18" t="str">
        <f t="shared" si="102"/>
        <v/>
      </c>
      <c r="AD797" s="18" t="str">
        <f t="shared" si="103"/>
        <v/>
      </c>
      <c r="AF797" t="str">
        <f>IFERROR(INDEX('Task Master'!$D:$D,MATCH($F797,'Task Master'!$C:$C,0)),"")</f>
        <v/>
      </c>
    </row>
    <row r="798" spans="1:32" x14ac:dyDescent="0.25">
      <c r="A798" t="str">
        <f t="shared" si="96"/>
        <v/>
      </c>
      <c r="B798" s="16"/>
      <c r="D798" t="str">
        <f>IF($C798="","",IFERROR(INDEX('Asset Register'!$B:$B,MATCH($C798,'Asset Register'!$A:$A,0)),""))</f>
        <v/>
      </c>
      <c r="H798" t="str">
        <f>IFERROR(INDEX('Task Master'!$E:$E,MATCH($F798&amp;"||"&amp;$G798,'Task Master'!$K:$K,0)),"")</f>
        <v/>
      </c>
      <c r="I798" t="str">
        <f>IFERROR(INDEX('Task Master'!$F:$F,MATCH($F798&amp;"||"&amp;$G798,'Task Master'!$K:$K,0)),"")</f>
        <v/>
      </c>
      <c r="J798" t="str">
        <f>IFERROR(INDEX('Task Master'!$H:$H,MATCH($F798&amp;"||"&amp;$G798,'Task Master'!$K:$K,0)),"")</f>
        <v/>
      </c>
      <c r="N798" s="18" t="str">
        <f t="shared" si="97"/>
        <v/>
      </c>
      <c r="R798" s="18">
        <f t="shared" si="98"/>
        <v>0</v>
      </c>
      <c r="V798" s="18">
        <f t="shared" si="99"/>
        <v>0</v>
      </c>
      <c r="Z798" s="18">
        <f t="shared" si="100"/>
        <v>0</v>
      </c>
      <c r="AA798" s="18"/>
      <c r="AB798" s="18">
        <f t="shared" si="101"/>
        <v>0</v>
      </c>
      <c r="AC798" s="18" t="str">
        <f t="shared" si="102"/>
        <v/>
      </c>
      <c r="AD798" s="18" t="str">
        <f t="shared" si="103"/>
        <v/>
      </c>
      <c r="AF798" t="str">
        <f>IFERROR(INDEX('Task Master'!$D:$D,MATCH($F798,'Task Master'!$C:$C,0)),"")</f>
        <v/>
      </c>
    </row>
    <row r="799" spans="1:32" x14ac:dyDescent="0.25">
      <c r="A799" t="str">
        <f t="shared" si="96"/>
        <v/>
      </c>
      <c r="B799" s="16"/>
      <c r="D799" t="str">
        <f>IF($C799="","",IFERROR(INDEX('Asset Register'!$B:$B,MATCH($C799,'Asset Register'!$A:$A,0)),""))</f>
        <v/>
      </c>
      <c r="H799" t="str">
        <f>IFERROR(INDEX('Task Master'!$E:$E,MATCH($F799&amp;"||"&amp;$G799,'Task Master'!$K:$K,0)),"")</f>
        <v/>
      </c>
      <c r="I799" t="str">
        <f>IFERROR(INDEX('Task Master'!$F:$F,MATCH($F799&amp;"||"&amp;$G799,'Task Master'!$K:$K,0)),"")</f>
        <v/>
      </c>
      <c r="J799" t="str">
        <f>IFERROR(INDEX('Task Master'!$H:$H,MATCH($F799&amp;"||"&amp;$G799,'Task Master'!$K:$K,0)),"")</f>
        <v/>
      </c>
      <c r="N799" s="18" t="str">
        <f t="shared" si="97"/>
        <v/>
      </c>
      <c r="R799" s="18">
        <f t="shared" si="98"/>
        <v>0</v>
      </c>
      <c r="V799" s="18">
        <f t="shared" si="99"/>
        <v>0</v>
      </c>
      <c r="Z799" s="18">
        <f t="shared" si="100"/>
        <v>0</v>
      </c>
      <c r="AA799" s="18"/>
      <c r="AB799" s="18">
        <f t="shared" si="101"/>
        <v>0</v>
      </c>
      <c r="AC799" s="18" t="str">
        <f t="shared" si="102"/>
        <v/>
      </c>
      <c r="AD799" s="18" t="str">
        <f t="shared" si="103"/>
        <v/>
      </c>
      <c r="AF799" t="str">
        <f>IFERROR(INDEX('Task Master'!$D:$D,MATCH($F799,'Task Master'!$C:$C,0)),"")</f>
        <v/>
      </c>
    </row>
    <row r="800" spans="1:32" x14ac:dyDescent="0.25">
      <c r="A800" t="str">
        <f t="shared" si="96"/>
        <v/>
      </c>
      <c r="B800" s="16"/>
      <c r="D800" t="str">
        <f>IF($C800="","",IFERROR(INDEX('Asset Register'!$B:$B,MATCH($C800,'Asset Register'!$A:$A,0)),""))</f>
        <v/>
      </c>
      <c r="H800" t="str">
        <f>IFERROR(INDEX('Task Master'!$E:$E,MATCH($F800&amp;"||"&amp;$G800,'Task Master'!$K:$K,0)),"")</f>
        <v/>
      </c>
      <c r="I800" t="str">
        <f>IFERROR(INDEX('Task Master'!$F:$F,MATCH($F800&amp;"||"&amp;$G800,'Task Master'!$K:$K,0)),"")</f>
        <v/>
      </c>
      <c r="J800" t="str">
        <f>IFERROR(INDEX('Task Master'!$H:$H,MATCH($F800&amp;"||"&amp;$G800,'Task Master'!$K:$K,0)),"")</f>
        <v/>
      </c>
      <c r="N800" s="18" t="str">
        <f t="shared" si="97"/>
        <v/>
      </c>
      <c r="R800" s="18">
        <f t="shared" si="98"/>
        <v>0</v>
      </c>
      <c r="V800" s="18">
        <f t="shared" si="99"/>
        <v>0</v>
      </c>
      <c r="Z800" s="18">
        <f t="shared" si="100"/>
        <v>0</v>
      </c>
      <c r="AA800" s="18"/>
      <c r="AB800" s="18">
        <f t="shared" si="101"/>
        <v>0</v>
      </c>
      <c r="AC800" s="18" t="str">
        <f t="shared" si="102"/>
        <v/>
      </c>
      <c r="AD800" s="18" t="str">
        <f t="shared" si="103"/>
        <v/>
      </c>
      <c r="AF800" t="str">
        <f>IFERROR(INDEX('Task Master'!$D:$D,MATCH($F800,'Task Master'!$C:$C,0)),"")</f>
        <v/>
      </c>
    </row>
    <row r="801" spans="1:32" x14ac:dyDescent="0.25">
      <c r="A801" t="str">
        <f t="shared" si="96"/>
        <v/>
      </c>
      <c r="B801" s="16"/>
      <c r="D801" t="str">
        <f>IF($C801="","",IFERROR(INDEX('Asset Register'!$B:$B,MATCH($C801,'Asset Register'!$A:$A,0)),""))</f>
        <v/>
      </c>
      <c r="H801" t="str">
        <f>IFERROR(INDEX('Task Master'!$E:$E,MATCH($F801&amp;"||"&amp;$G801,'Task Master'!$K:$K,0)),"")</f>
        <v/>
      </c>
      <c r="I801" t="str">
        <f>IFERROR(INDEX('Task Master'!$F:$F,MATCH($F801&amp;"||"&amp;$G801,'Task Master'!$K:$K,0)),"")</f>
        <v/>
      </c>
      <c r="J801" t="str">
        <f>IFERROR(INDEX('Task Master'!$H:$H,MATCH($F801&amp;"||"&amp;$G801,'Task Master'!$K:$K,0)),"")</f>
        <v/>
      </c>
      <c r="N801" s="18" t="str">
        <f t="shared" si="97"/>
        <v/>
      </c>
      <c r="R801" s="18">
        <f t="shared" si="98"/>
        <v>0</v>
      </c>
      <c r="V801" s="18">
        <f t="shared" si="99"/>
        <v>0</v>
      </c>
      <c r="Z801" s="18">
        <f t="shared" si="100"/>
        <v>0</v>
      </c>
      <c r="AA801" s="18"/>
      <c r="AB801" s="18">
        <f t="shared" si="101"/>
        <v>0</v>
      </c>
      <c r="AC801" s="18" t="str">
        <f t="shared" si="102"/>
        <v/>
      </c>
      <c r="AD801" s="18" t="str">
        <f t="shared" si="103"/>
        <v/>
      </c>
      <c r="AF801" t="str">
        <f>IFERROR(INDEX('Task Master'!$D:$D,MATCH($F801,'Task Master'!$C:$C,0)),"")</f>
        <v/>
      </c>
    </row>
    <row r="802" spans="1:32" x14ac:dyDescent="0.25">
      <c r="A802" t="str">
        <f t="shared" si="96"/>
        <v/>
      </c>
      <c r="B802" s="16"/>
      <c r="D802" t="str">
        <f>IF($C802="","",IFERROR(INDEX('Asset Register'!$B:$B,MATCH($C802,'Asset Register'!$A:$A,0)),""))</f>
        <v/>
      </c>
      <c r="H802" t="str">
        <f>IFERROR(INDEX('Task Master'!$E:$E,MATCH($F802&amp;"||"&amp;$G802,'Task Master'!$K:$K,0)),"")</f>
        <v/>
      </c>
      <c r="I802" t="str">
        <f>IFERROR(INDEX('Task Master'!$F:$F,MATCH($F802&amp;"||"&amp;$G802,'Task Master'!$K:$K,0)),"")</f>
        <v/>
      </c>
      <c r="J802" t="str">
        <f>IFERROR(INDEX('Task Master'!$H:$H,MATCH($F802&amp;"||"&amp;$G802,'Task Master'!$K:$K,0)),"")</f>
        <v/>
      </c>
      <c r="N802" s="18" t="str">
        <f t="shared" si="97"/>
        <v/>
      </c>
      <c r="R802" s="18">
        <f t="shared" si="98"/>
        <v>0</v>
      </c>
      <c r="V802" s="18">
        <f t="shared" si="99"/>
        <v>0</v>
      </c>
      <c r="Z802" s="18">
        <f t="shared" si="100"/>
        <v>0</v>
      </c>
      <c r="AA802" s="18"/>
      <c r="AB802" s="18">
        <f t="shared" si="101"/>
        <v>0</v>
      </c>
      <c r="AC802" s="18" t="str">
        <f t="shared" si="102"/>
        <v/>
      </c>
      <c r="AD802" s="18" t="str">
        <f t="shared" si="103"/>
        <v/>
      </c>
      <c r="AF802" t="str">
        <f>IFERROR(INDEX('Task Master'!$D:$D,MATCH($F802,'Task Master'!$C:$C,0)),"")</f>
        <v/>
      </c>
    </row>
    <row r="803" spans="1:32" x14ac:dyDescent="0.25">
      <c r="A803" t="str">
        <f t="shared" si="96"/>
        <v/>
      </c>
      <c r="B803" s="16"/>
      <c r="D803" t="str">
        <f>IF($C803="","",IFERROR(INDEX('Asset Register'!$B:$B,MATCH($C803,'Asset Register'!$A:$A,0)),""))</f>
        <v/>
      </c>
      <c r="H803" t="str">
        <f>IFERROR(INDEX('Task Master'!$E:$E,MATCH($F803&amp;"||"&amp;$G803,'Task Master'!$K:$K,0)),"")</f>
        <v/>
      </c>
      <c r="I803" t="str">
        <f>IFERROR(INDEX('Task Master'!$F:$F,MATCH($F803&amp;"||"&amp;$G803,'Task Master'!$K:$K,0)),"")</f>
        <v/>
      </c>
      <c r="J803" t="str">
        <f>IFERROR(INDEX('Task Master'!$H:$H,MATCH($F803&amp;"||"&amp;$G803,'Task Master'!$K:$K,0)),"")</f>
        <v/>
      </c>
      <c r="N803" s="18" t="str">
        <f t="shared" si="97"/>
        <v/>
      </c>
      <c r="R803" s="18">
        <f t="shared" si="98"/>
        <v>0</v>
      </c>
      <c r="V803" s="18">
        <f t="shared" si="99"/>
        <v>0</v>
      </c>
      <c r="Z803" s="18">
        <f t="shared" si="100"/>
        <v>0</v>
      </c>
      <c r="AA803" s="18"/>
      <c r="AB803" s="18">
        <f t="shared" si="101"/>
        <v>0</v>
      </c>
      <c r="AC803" s="18" t="str">
        <f t="shared" si="102"/>
        <v/>
      </c>
      <c r="AD803" s="18" t="str">
        <f t="shared" si="103"/>
        <v/>
      </c>
      <c r="AF803" t="str">
        <f>IFERROR(INDEX('Task Master'!$D:$D,MATCH($F803,'Task Master'!$C:$C,0)),"")</f>
        <v/>
      </c>
    </row>
    <row r="804" spans="1:32" x14ac:dyDescent="0.25">
      <c r="A804" t="str">
        <f t="shared" si="96"/>
        <v/>
      </c>
      <c r="B804" s="16"/>
      <c r="D804" t="str">
        <f>IF($C804="","",IFERROR(INDEX('Asset Register'!$B:$B,MATCH($C804,'Asset Register'!$A:$A,0)),""))</f>
        <v/>
      </c>
      <c r="H804" t="str">
        <f>IFERROR(INDEX('Task Master'!$E:$E,MATCH($F804&amp;"||"&amp;$G804,'Task Master'!$K:$K,0)),"")</f>
        <v/>
      </c>
      <c r="I804" t="str">
        <f>IFERROR(INDEX('Task Master'!$F:$F,MATCH($F804&amp;"||"&amp;$G804,'Task Master'!$K:$K,0)),"")</f>
        <v/>
      </c>
      <c r="J804" t="str">
        <f>IFERROR(INDEX('Task Master'!$H:$H,MATCH($F804&amp;"||"&amp;$G804,'Task Master'!$K:$K,0)),"")</f>
        <v/>
      </c>
      <c r="N804" s="18" t="str">
        <f t="shared" si="97"/>
        <v/>
      </c>
      <c r="R804" s="18">
        <f t="shared" si="98"/>
        <v>0</v>
      </c>
      <c r="V804" s="18">
        <f t="shared" si="99"/>
        <v>0</v>
      </c>
      <c r="Z804" s="18">
        <f t="shared" si="100"/>
        <v>0</v>
      </c>
      <c r="AA804" s="18"/>
      <c r="AB804" s="18">
        <f t="shared" si="101"/>
        <v>0</v>
      </c>
      <c r="AC804" s="18" t="str">
        <f t="shared" si="102"/>
        <v/>
      </c>
      <c r="AD804" s="18" t="str">
        <f t="shared" si="103"/>
        <v/>
      </c>
      <c r="AF804" t="str">
        <f>IFERROR(INDEX('Task Master'!$D:$D,MATCH($F804,'Task Master'!$C:$C,0)),"")</f>
        <v/>
      </c>
    </row>
    <row r="805" spans="1:32" x14ac:dyDescent="0.25">
      <c r="A805" t="str">
        <f t="shared" si="96"/>
        <v/>
      </c>
      <c r="B805" s="16"/>
      <c r="D805" t="str">
        <f>IF($C805="","",IFERROR(INDEX('Asset Register'!$B:$B,MATCH($C805,'Asset Register'!$A:$A,0)),""))</f>
        <v/>
      </c>
      <c r="H805" t="str">
        <f>IFERROR(INDEX('Task Master'!$E:$E,MATCH($F805&amp;"||"&amp;$G805,'Task Master'!$K:$K,0)),"")</f>
        <v/>
      </c>
      <c r="I805" t="str">
        <f>IFERROR(INDEX('Task Master'!$F:$F,MATCH($F805&amp;"||"&amp;$G805,'Task Master'!$K:$K,0)),"")</f>
        <v/>
      </c>
      <c r="J805" t="str">
        <f>IFERROR(INDEX('Task Master'!$H:$H,MATCH($F805&amp;"||"&amp;$G805,'Task Master'!$K:$K,0)),"")</f>
        <v/>
      </c>
      <c r="N805" s="18" t="str">
        <f t="shared" si="97"/>
        <v/>
      </c>
      <c r="R805" s="18">
        <f t="shared" si="98"/>
        <v>0</v>
      </c>
      <c r="V805" s="18">
        <f t="shared" si="99"/>
        <v>0</v>
      </c>
      <c r="Z805" s="18">
        <f t="shared" si="100"/>
        <v>0</v>
      </c>
      <c r="AA805" s="18"/>
      <c r="AB805" s="18">
        <f t="shared" si="101"/>
        <v>0</v>
      </c>
      <c r="AC805" s="18" t="str">
        <f t="shared" si="102"/>
        <v/>
      </c>
      <c r="AD805" s="18" t="str">
        <f t="shared" si="103"/>
        <v/>
      </c>
      <c r="AF805" t="str">
        <f>IFERROR(INDEX('Task Master'!$D:$D,MATCH($F805,'Task Master'!$C:$C,0)),"")</f>
        <v/>
      </c>
    </row>
    <row r="806" spans="1:32" x14ac:dyDescent="0.25">
      <c r="A806" t="str">
        <f t="shared" si="96"/>
        <v/>
      </c>
      <c r="B806" s="16"/>
      <c r="D806" t="str">
        <f>IF($C806="","",IFERROR(INDEX('Asset Register'!$B:$B,MATCH($C806,'Asset Register'!$A:$A,0)),""))</f>
        <v/>
      </c>
      <c r="H806" t="str">
        <f>IFERROR(INDEX('Task Master'!$E:$E,MATCH($F806&amp;"||"&amp;$G806,'Task Master'!$K:$K,0)),"")</f>
        <v/>
      </c>
      <c r="I806" t="str">
        <f>IFERROR(INDEX('Task Master'!$F:$F,MATCH($F806&amp;"||"&amp;$G806,'Task Master'!$K:$K,0)),"")</f>
        <v/>
      </c>
      <c r="J806" t="str">
        <f>IFERROR(INDEX('Task Master'!$H:$H,MATCH($F806&amp;"||"&amp;$G806,'Task Master'!$K:$K,0)),"")</f>
        <v/>
      </c>
      <c r="N806" s="18" t="str">
        <f t="shared" si="97"/>
        <v/>
      </c>
      <c r="R806" s="18">
        <f t="shared" si="98"/>
        <v>0</v>
      </c>
      <c r="V806" s="18">
        <f t="shared" si="99"/>
        <v>0</v>
      </c>
      <c r="Z806" s="18">
        <f t="shared" si="100"/>
        <v>0</v>
      </c>
      <c r="AA806" s="18"/>
      <c r="AB806" s="18">
        <f t="shared" si="101"/>
        <v>0</v>
      </c>
      <c r="AC806" s="18" t="str">
        <f t="shared" si="102"/>
        <v/>
      </c>
      <c r="AD806" s="18" t="str">
        <f t="shared" si="103"/>
        <v/>
      </c>
      <c r="AF806" t="str">
        <f>IFERROR(INDEX('Task Master'!$D:$D,MATCH($F806,'Task Master'!$C:$C,0)),"")</f>
        <v/>
      </c>
    </row>
    <row r="807" spans="1:32" x14ac:dyDescent="0.25">
      <c r="A807" t="str">
        <f t="shared" si="96"/>
        <v/>
      </c>
      <c r="B807" s="16"/>
      <c r="D807" t="str">
        <f>IF($C807="","",IFERROR(INDEX('Asset Register'!$B:$B,MATCH($C807,'Asset Register'!$A:$A,0)),""))</f>
        <v/>
      </c>
      <c r="H807" t="str">
        <f>IFERROR(INDEX('Task Master'!$E:$E,MATCH($F807&amp;"||"&amp;$G807,'Task Master'!$K:$K,0)),"")</f>
        <v/>
      </c>
      <c r="I807" t="str">
        <f>IFERROR(INDEX('Task Master'!$F:$F,MATCH($F807&amp;"||"&amp;$G807,'Task Master'!$K:$K,0)),"")</f>
        <v/>
      </c>
      <c r="J807" t="str">
        <f>IFERROR(INDEX('Task Master'!$H:$H,MATCH($F807&amp;"||"&amp;$G807,'Task Master'!$K:$K,0)),"")</f>
        <v/>
      </c>
      <c r="N807" s="18" t="str">
        <f t="shared" si="97"/>
        <v/>
      </c>
      <c r="R807" s="18">
        <f t="shared" si="98"/>
        <v>0</v>
      </c>
      <c r="V807" s="18">
        <f t="shared" si="99"/>
        <v>0</v>
      </c>
      <c r="Z807" s="18">
        <f t="shared" si="100"/>
        <v>0</v>
      </c>
      <c r="AA807" s="18"/>
      <c r="AB807" s="18">
        <f t="shared" si="101"/>
        <v>0</v>
      </c>
      <c r="AC807" s="18" t="str">
        <f t="shared" si="102"/>
        <v/>
      </c>
      <c r="AD807" s="18" t="str">
        <f t="shared" si="103"/>
        <v/>
      </c>
      <c r="AF807" t="str">
        <f>IFERROR(INDEX('Task Master'!$D:$D,MATCH($F807,'Task Master'!$C:$C,0)),"")</f>
        <v/>
      </c>
    </row>
    <row r="808" spans="1:32" x14ac:dyDescent="0.25">
      <c r="A808" t="str">
        <f t="shared" si="96"/>
        <v/>
      </c>
      <c r="B808" s="16"/>
      <c r="D808" t="str">
        <f>IF($C808="","",IFERROR(INDEX('Asset Register'!$B:$B,MATCH($C808,'Asset Register'!$A:$A,0)),""))</f>
        <v/>
      </c>
      <c r="H808" t="str">
        <f>IFERROR(INDEX('Task Master'!$E:$E,MATCH($F808&amp;"||"&amp;$G808,'Task Master'!$K:$K,0)),"")</f>
        <v/>
      </c>
      <c r="I808" t="str">
        <f>IFERROR(INDEX('Task Master'!$F:$F,MATCH($F808&amp;"||"&amp;$G808,'Task Master'!$K:$K,0)),"")</f>
        <v/>
      </c>
      <c r="J808" t="str">
        <f>IFERROR(INDEX('Task Master'!$H:$H,MATCH($F808&amp;"||"&amp;$G808,'Task Master'!$K:$K,0)),"")</f>
        <v/>
      </c>
      <c r="N808" s="18" t="str">
        <f t="shared" si="97"/>
        <v/>
      </c>
      <c r="R808" s="18">
        <f t="shared" si="98"/>
        <v>0</v>
      </c>
      <c r="V808" s="18">
        <f t="shared" si="99"/>
        <v>0</v>
      </c>
      <c r="Z808" s="18">
        <f t="shared" si="100"/>
        <v>0</v>
      </c>
      <c r="AA808" s="18"/>
      <c r="AB808" s="18">
        <f t="shared" si="101"/>
        <v>0</v>
      </c>
      <c r="AC808" s="18" t="str">
        <f t="shared" si="102"/>
        <v/>
      </c>
      <c r="AD808" s="18" t="str">
        <f t="shared" si="103"/>
        <v/>
      </c>
      <c r="AF808" t="str">
        <f>IFERROR(INDEX('Task Master'!$D:$D,MATCH($F808,'Task Master'!$C:$C,0)),"")</f>
        <v/>
      </c>
    </row>
    <row r="809" spans="1:32" x14ac:dyDescent="0.25">
      <c r="A809" t="str">
        <f t="shared" si="96"/>
        <v/>
      </c>
      <c r="B809" s="16"/>
      <c r="D809" t="str">
        <f>IF($C809="","",IFERROR(INDEX('Asset Register'!$B:$B,MATCH($C809,'Asset Register'!$A:$A,0)),""))</f>
        <v/>
      </c>
      <c r="H809" t="str">
        <f>IFERROR(INDEX('Task Master'!$E:$E,MATCH($F809&amp;"||"&amp;$G809,'Task Master'!$K:$K,0)),"")</f>
        <v/>
      </c>
      <c r="I809" t="str">
        <f>IFERROR(INDEX('Task Master'!$F:$F,MATCH($F809&amp;"||"&amp;$G809,'Task Master'!$K:$K,0)),"")</f>
        <v/>
      </c>
      <c r="J809" t="str">
        <f>IFERROR(INDEX('Task Master'!$H:$H,MATCH($F809&amp;"||"&amp;$G809,'Task Master'!$K:$K,0)),"")</f>
        <v/>
      </c>
      <c r="N809" s="18" t="str">
        <f t="shared" si="97"/>
        <v/>
      </c>
      <c r="R809" s="18">
        <f t="shared" si="98"/>
        <v>0</v>
      </c>
      <c r="V809" s="18">
        <f t="shared" si="99"/>
        <v>0</v>
      </c>
      <c r="Z809" s="18">
        <f t="shared" si="100"/>
        <v>0</v>
      </c>
      <c r="AA809" s="18"/>
      <c r="AB809" s="18">
        <f t="shared" si="101"/>
        <v>0</v>
      </c>
      <c r="AC809" s="18" t="str">
        <f t="shared" si="102"/>
        <v/>
      </c>
      <c r="AD809" s="18" t="str">
        <f t="shared" si="103"/>
        <v/>
      </c>
      <c r="AF809" t="str">
        <f>IFERROR(INDEX('Task Master'!$D:$D,MATCH($F809,'Task Master'!$C:$C,0)),"")</f>
        <v/>
      </c>
    </row>
    <row r="810" spans="1:32" x14ac:dyDescent="0.25">
      <c r="A810" t="str">
        <f t="shared" si="96"/>
        <v/>
      </c>
      <c r="B810" s="16"/>
      <c r="D810" t="str">
        <f>IF($C810="","",IFERROR(INDEX('Asset Register'!$B:$B,MATCH($C810,'Asset Register'!$A:$A,0)),""))</f>
        <v/>
      </c>
      <c r="H810" t="str">
        <f>IFERROR(INDEX('Task Master'!$E:$E,MATCH($F810&amp;"||"&amp;$G810,'Task Master'!$K:$K,0)),"")</f>
        <v/>
      </c>
      <c r="I810" t="str">
        <f>IFERROR(INDEX('Task Master'!$F:$F,MATCH($F810&amp;"||"&amp;$G810,'Task Master'!$K:$K,0)),"")</f>
        <v/>
      </c>
      <c r="J810" t="str">
        <f>IFERROR(INDEX('Task Master'!$H:$H,MATCH($F810&amp;"||"&amp;$G810,'Task Master'!$K:$K,0)),"")</f>
        <v/>
      </c>
      <c r="N810" s="18" t="str">
        <f t="shared" si="97"/>
        <v/>
      </c>
      <c r="R810" s="18">
        <f t="shared" si="98"/>
        <v>0</v>
      </c>
      <c r="V810" s="18">
        <f t="shared" si="99"/>
        <v>0</v>
      </c>
      <c r="Z810" s="18">
        <f t="shared" si="100"/>
        <v>0</v>
      </c>
      <c r="AA810" s="18"/>
      <c r="AB810" s="18">
        <f t="shared" si="101"/>
        <v>0</v>
      </c>
      <c r="AC810" s="18" t="str">
        <f t="shared" si="102"/>
        <v/>
      </c>
      <c r="AD810" s="18" t="str">
        <f t="shared" si="103"/>
        <v/>
      </c>
      <c r="AF810" t="str">
        <f>IFERROR(INDEX('Task Master'!$D:$D,MATCH($F810,'Task Master'!$C:$C,0)),"")</f>
        <v/>
      </c>
    </row>
    <row r="811" spans="1:32" x14ac:dyDescent="0.25">
      <c r="A811" t="str">
        <f t="shared" si="96"/>
        <v/>
      </c>
      <c r="B811" s="16"/>
      <c r="D811" t="str">
        <f>IF($C811="","",IFERROR(INDEX('Asset Register'!$B:$B,MATCH($C811,'Asset Register'!$A:$A,0)),""))</f>
        <v/>
      </c>
      <c r="H811" t="str">
        <f>IFERROR(INDEX('Task Master'!$E:$E,MATCH($F811&amp;"||"&amp;$G811,'Task Master'!$K:$K,0)),"")</f>
        <v/>
      </c>
      <c r="I811" t="str">
        <f>IFERROR(INDEX('Task Master'!$F:$F,MATCH($F811&amp;"||"&amp;$G811,'Task Master'!$K:$K,0)),"")</f>
        <v/>
      </c>
      <c r="J811" t="str">
        <f>IFERROR(INDEX('Task Master'!$H:$H,MATCH($F811&amp;"||"&amp;$G811,'Task Master'!$K:$K,0)),"")</f>
        <v/>
      </c>
      <c r="N811" s="18" t="str">
        <f t="shared" si="97"/>
        <v/>
      </c>
      <c r="R811" s="18">
        <f t="shared" si="98"/>
        <v>0</v>
      </c>
      <c r="V811" s="18">
        <f t="shared" si="99"/>
        <v>0</v>
      </c>
      <c r="Z811" s="18">
        <f t="shared" si="100"/>
        <v>0</v>
      </c>
      <c r="AA811" s="18"/>
      <c r="AB811" s="18">
        <f t="shared" si="101"/>
        <v>0</v>
      </c>
      <c r="AC811" s="18" t="str">
        <f t="shared" si="102"/>
        <v/>
      </c>
      <c r="AD811" s="18" t="str">
        <f t="shared" si="103"/>
        <v/>
      </c>
      <c r="AF811" t="str">
        <f>IFERROR(INDEX('Task Master'!$D:$D,MATCH($F811,'Task Master'!$C:$C,0)),"")</f>
        <v/>
      </c>
    </row>
    <row r="812" spans="1:32" x14ac:dyDescent="0.25">
      <c r="A812" t="str">
        <f t="shared" si="96"/>
        <v/>
      </c>
      <c r="B812" s="16"/>
      <c r="D812" t="str">
        <f>IF($C812="","",IFERROR(INDEX('Asset Register'!$B:$B,MATCH($C812,'Asset Register'!$A:$A,0)),""))</f>
        <v/>
      </c>
      <c r="H812" t="str">
        <f>IFERROR(INDEX('Task Master'!$E:$E,MATCH($F812&amp;"||"&amp;$G812,'Task Master'!$K:$K,0)),"")</f>
        <v/>
      </c>
      <c r="I812" t="str">
        <f>IFERROR(INDEX('Task Master'!$F:$F,MATCH($F812&amp;"||"&amp;$G812,'Task Master'!$K:$K,0)),"")</f>
        <v/>
      </c>
      <c r="J812" t="str">
        <f>IFERROR(INDEX('Task Master'!$H:$H,MATCH($F812&amp;"||"&amp;$G812,'Task Master'!$K:$K,0)),"")</f>
        <v/>
      </c>
      <c r="N812" s="18" t="str">
        <f t="shared" si="97"/>
        <v/>
      </c>
      <c r="R812" s="18">
        <f t="shared" si="98"/>
        <v>0</v>
      </c>
      <c r="V812" s="18">
        <f t="shared" si="99"/>
        <v>0</v>
      </c>
      <c r="Z812" s="18">
        <f t="shared" si="100"/>
        <v>0</v>
      </c>
      <c r="AA812" s="18"/>
      <c r="AB812" s="18">
        <f t="shared" si="101"/>
        <v>0</v>
      </c>
      <c r="AC812" s="18" t="str">
        <f t="shared" si="102"/>
        <v/>
      </c>
      <c r="AD812" s="18" t="str">
        <f t="shared" si="103"/>
        <v/>
      </c>
      <c r="AF812" t="str">
        <f>IFERROR(INDEX('Task Master'!$D:$D,MATCH($F812,'Task Master'!$C:$C,0)),"")</f>
        <v/>
      </c>
    </row>
    <row r="813" spans="1:32" x14ac:dyDescent="0.25">
      <c r="A813" t="str">
        <f t="shared" si="96"/>
        <v/>
      </c>
      <c r="B813" s="16"/>
      <c r="D813" t="str">
        <f>IF($C813="","",IFERROR(INDEX('Asset Register'!$B:$B,MATCH($C813,'Asset Register'!$A:$A,0)),""))</f>
        <v/>
      </c>
      <c r="H813" t="str">
        <f>IFERROR(INDEX('Task Master'!$E:$E,MATCH($F813&amp;"||"&amp;$G813,'Task Master'!$K:$K,0)),"")</f>
        <v/>
      </c>
      <c r="I813" t="str">
        <f>IFERROR(INDEX('Task Master'!$F:$F,MATCH($F813&amp;"||"&amp;$G813,'Task Master'!$K:$K,0)),"")</f>
        <v/>
      </c>
      <c r="J813" t="str">
        <f>IFERROR(INDEX('Task Master'!$H:$H,MATCH($F813&amp;"||"&amp;$G813,'Task Master'!$K:$K,0)),"")</f>
        <v/>
      </c>
      <c r="N813" s="18" t="str">
        <f t="shared" si="97"/>
        <v/>
      </c>
      <c r="R813" s="18">
        <f t="shared" si="98"/>
        <v>0</v>
      </c>
      <c r="V813" s="18">
        <f t="shared" si="99"/>
        <v>0</v>
      </c>
      <c r="Z813" s="18">
        <f t="shared" si="100"/>
        <v>0</v>
      </c>
      <c r="AA813" s="18"/>
      <c r="AB813" s="18">
        <f t="shared" si="101"/>
        <v>0</v>
      </c>
      <c r="AC813" s="18" t="str">
        <f t="shared" si="102"/>
        <v/>
      </c>
      <c r="AD813" s="18" t="str">
        <f t="shared" si="103"/>
        <v/>
      </c>
      <c r="AF813" t="str">
        <f>IFERROR(INDEX('Task Master'!$D:$D,MATCH($F813,'Task Master'!$C:$C,0)),"")</f>
        <v/>
      </c>
    </row>
    <row r="814" spans="1:32" x14ac:dyDescent="0.25">
      <c r="A814" t="str">
        <f t="shared" si="96"/>
        <v/>
      </c>
      <c r="B814" s="16"/>
      <c r="D814" t="str">
        <f>IF($C814="","",IFERROR(INDEX('Asset Register'!$B:$B,MATCH($C814,'Asset Register'!$A:$A,0)),""))</f>
        <v/>
      </c>
      <c r="H814" t="str">
        <f>IFERROR(INDEX('Task Master'!$E:$E,MATCH($F814&amp;"||"&amp;$G814,'Task Master'!$K:$K,0)),"")</f>
        <v/>
      </c>
      <c r="I814" t="str">
        <f>IFERROR(INDEX('Task Master'!$F:$F,MATCH($F814&amp;"||"&amp;$G814,'Task Master'!$K:$K,0)),"")</f>
        <v/>
      </c>
      <c r="J814" t="str">
        <f>IFERROR(INDEX('Task Master'!$H:$H,MATCH($F814&amp;"||"&amp;$G814,'Task Master'!$K:$K,0)),"")</f>
        <v/>
      </c>
      <c r="N814" s="18" t="str">
        <f t="shared" si="97"/>
        <v/>
      </c>
      <c r="R814" s="18">
        <f t="shared" si="98"/>
        <v>0</v>
      </c>
      <c r="V814" s="18">
        <f t="shared" si="99"/>
        <v>0</v>
      </c>
      <c r="Z814" s="18">
        <f t="shared" si="100"/>
        <v>0</v>
      </c>
      <c r="AA814" s="18"/>
      <c r="AB814" s="18">
        <f t="shared" si="101"/>
        <v>0</v>
      </c>
      <c r="AC814" s="18" t="str">
        <f t="shared" si="102"/>
        <v/>
      </c>
      <c r="AD814" s="18" t="str">
        <f t="shared" si="103"/>
        <v/>
      </c>
      <c r="AF814" t="str">
        <f>IFERROR(INDEX('Task Master'!$D:$D,MATCH($F814,'Task Master'!$C:$C,0)),"")</f>
        <v/>
      </c>
    </row>
    <row r="815" spans="1:32" x14ac:dyDescent="0.25">
      <c r="A815" t="str">
        <f t="shared" si="96"/>
        <v/>
      </c>
      <c r="B815" s="16"/>
      <c r="D815" t="str">
        <f>IF($C815="","",IFERROR(INDEX('Asset Register'!$B:$B,MATCH($C815,'Asset Register'!$A:$A,0)),""))</f>
        <v/>
      </c>
      <c r="H815" t="str">
        <f>IFERROR(INDEX('Task Master'!$E:$E,MATCH($F815&amp;"||"&amp;$G815,'Task Master'!$K:$K,0)),"")</f>
        <v/>
      </c>
      <c r="I815" t="str">
        <f>IFERROR(INDEX('Task Master'!$F:$F,MATCH($F815&amp;"||"&amp;$G815,'Task Master'!$K:$K,0)),"")</f>
        <v/>
      </c>
      <c r="J815" t="str">
        <f>IFERROR(INDEX('Task Master'!$H:$H,MATCH($F815&amp;"||"&amp;$G815,'Task Master'!$K:$K,0)),"")</f>
        <v/>
      </c>
      <c r="N815" s="18" t="str">
        <f t="shared" si="97"/>
        <v/>
      </c>
      <c r="R815" s="18">
        <f t="shared" si="98"/>
        <v>0</v>
      </c>
      <c r="V815" s="18">
        <f t="shared" si="99"/>
        <v>0</v>
      </c>
      <c r="Z815" s="18">
        <f t="shared" si="100"/>
        <v>0</v>
      </c>
      <c r="AA815" s="18"/>
      <c r="AB815" s="18">
        <f t="shared" si="101"/>
        <v>0</v>
      </c>
      <c r="AC815" s="18" t="str">
        <f t="shared" si="102"/>
        <v/>
      </c>
      <c r="AD815" s="18" t="str">
        <f t="shared" si="103"/>
        <v/>
      </c>
      <c r="AF815" t="str">
        <f>IFERROR(INDEX('Task Master'!$D:$D,MATCH($F815,'Task Master'!$C:$C,0)),"")</f>
        <v/>
      </c>
    </row>
    <row r="816" spans="1:32" x14ac:dyDescent="0.25">
      <c r="A816" t="str">
        <f t="shared" si="96"/>
        <v/>
      </c>
      <c r="B816" s="16"/>
      <c r="D816" t="str">
        <f>IF($C816="","",IFERROR(INDEX('Asset Register'!$B:$B,MATCH($C816,'Asset Register'!$A:$A,0)),""))</f>
        <v/>
      </c>
      <c r="H816" t="str">
        <f>IFERROR(INDEX('Task Master'!$E:$E,MATCH($F816&amp;"||"&amp;$G816,'Task Master'!$K:$K,0)),"")</f>
        <v/>
      </c>
      <c r="I816" t="str">
        <f>IFERROR(INDEX('Task Master'!$F:$F,MATCH($F816&amp;"||"&amp;$G816,'Task Master'!$K:$K,0)),"")</f>
        <v/>
      </c>
      <c r="J816" t="str">
        <f>IFERROR(INDEX('Task Master'!$H:$H,MATCH($F816&amp;"||"&amp;$G816,'Task Master'!$K:$K,0)),"")</f>
        <v/>
      </c>
      <c r="N816" s="18" t="str">
        <f t="shared" si="97"/>
        <v/>
      </c>
      <c r="R816" s="18">
        <f t="shared" si="98"/>
        <v>0</v>
      </c>
      <c r="V816" s="18">
        <f t="shared" si="99"/>
        <v>0</v>
      </c>
      <c r="Z816" s="18">
        <f t="shared" si="100"/>
        <v>0</v>
      </c>
      <c r="AA816" s="18"/>
      <c r="AB816" s="18">
        <f t="shared" si="101"/>
        <v>0</v>
      </c>
      <c r="AC816" s="18" t="str">
        <f t="shared" si="102"/>
        <v/>
      </c>
      <c r="AD816" s="18" t="str">
        <f t="shared" si="103"/>
        <v/>
      </c>
      <c r="AF816" t="str">
        <f>IFERROR(INDEX('Task Master'!$D:$D,MATCH($F816,'Task Master'!$C:$C,0)),"")</f>
        <v/>
      </c>
    </row>
    <row r="817" spans="1:32" x14ac:dyDescent="0.25">
      <c r="A817" t="str">
        <f t="shared" si="96"/>
        <v/>
      </c>
      <c r="B817" s="16"/>
      <c r="D817" t="str">
        <f>IF($C817="","",IFERROR(INDEX('Asset Register'!$B:$B,MATCH($C817,'Asset Register'!$A:$A,0)),""))</f>
        <v/>
      </c>
      <c r="H817" t="str">
        <f>IFERROR(INDEX('Task Master'!$E:$E,MATCH($F817&amp;"||"&amp;$G817,'Task Master'!$K:$K,0)),"")</f>
        <v/>
      </c>
      <c r="I817" t="str">
        <f>IFERROR(INDEX('Task Master'!$F:$F,MATCH($F817&amp;"||"&amp;$G817,'Task Master'!$K:$K,0)),"")</f>
        <v/>
      </c>
      <c r="J817" t="str">
        <f>IFERROR(INDEX('Task Master'!$H:$H,MATCH($F817&amp;"||"&amp;$G817,'Task Master'!$K:$K,0)),"")</f>
        <v/>
      </c>
      <c r="N817" s="18" t="str">
        <f t="shared" si="97"/>
        <v/>
      </c>
      <c r="R817" s="18">
        <f t="shared" si="98"/>
        <v>0</v>
      </c>
      <c r="V817" s="18">
        <f t="shared" si="99"/>
        <v>0</v>
      </c>
      <c r="Z817" s="18">
        <f t="shared" si="100"/>
        <v>0</v>
      </c>
      <c r="AA817" s="18"/>
      <c r="AB817" s="18">
        <f t="shared" si="101"/>
        <v>0</v>
      </c>
      <c r="AC817" s="18" t="str">
        <f t="shared" si="102"/>
        <v/>
      </c>
      <c r="AD817" s="18" t="str">
        <f t="shared" si="103"/>
        <v/>
      </c>
      <c r="AF817" t="str">
        <f>IFERROR(INDEX('Task Master'!$D:$D,MATCH($F817,'Task Master'!$C:$C,0)),"")</f>
        <v/>
      </c>
    </row>
    <row r="818" spans="1:32" x14ac:dyDescent="0.25">
      <c r="A818" t="str">
        <f t="shared" si="96"/>
        <v/>
      </c>
      <c r="B818" s="16"/>
      <c r="D818" t="str">
        <f>IF($C818="","",IFERROR(INDEX('Asset Register'!$B:$B,MATCH($C818,'Asset Register'!$A:$A,0)),""))</f>
        <v/>
      </c>
      <c r="H818" t="str">
        <f>IFERROR(INDEX('Task Master'!$E:$E,MATCH($F818&amp;"||"&amp;$G818,'Task Master'!$K:$K,0)),"")</f>
        <v/>
      </c>
      <c r="I818" t="str">
        <f>IFERROR(INDEX('Task Master'!$F:$F,MATCH($F818&amp;"||"&amp;$G818,'Task Master'!$K:$K,0)),"")</f>
        <v/>
      </c>
      <c r="J818" t="str">
        <f>IFERROR(INDEX('Task Master'!$H:$H,MATCH($F818&amp;"||"&amp;$G818,'Task Master'!$K:$K,0)),"")</f>
        <v/>
      </c>
      <c r="N818" s="18" t="str">
        <f t="shared" si="97"/>
        <v/>
      </c>
      <c r="R818" s="18">
        <f t="shared" si="98"/>
        <v>0</v>
      </c>
      <c r="V818" s="18">
        <f t="shared" si="99"/>
        <v>0</v>
      </c>
      <c r="Z818" s="18">
        <f t="shared" si="100"/>
        <v>0</v>
      </c>
      <c r="AA818" s="18"/>
      <c r="AB818" s="18">
        <f t="shared" si="101"/>
        <v>0</v>
      </c>
      <c r="AC818" s="18" t="str">
        <f t="shared" si="102"/>
        <v/>
      </c>
      <c r="AD818" s="18" t="str">
        <f t="shared" si="103"/>
        <v/>
      </c>
      <c r="AF818" t="str">
        <f>IFERROR(INDEX('Task Master'!$D:$D,MATCH($F818,'Task Master'!$C:$C,0)),"")</f>
        <v/>
      </c>
    </row>
    <row r="819" spans="1:32" x14ac:dyDescent="0.25">
      <c r="A819" t="str">
        <f t="shared" si="96"/>
        <v/>
      </c>
      <c r="B819" s="16"/>
      <c r="D819" t="str">
        <f>IF($C819="","",IFERROR(INDEX('Asset Register'!$B:$B,MATCH($C819,'Asset Register'!$A:$A,0)),""))</f>
        <v/>
      </c>
      <c r="H819" t="str">
        <f>IFERROR(INDEX('Task Master'!$E:$E,MATCH($F819&amp;"||"&amp;$G819,'Task Master'!$K:$K,0)),"")</f>
        <v/>
      </c>
      <c r="I819" t="str">
        <f>IFERROR(INDEX('Task Master'!$F:$F,MATCH($F819&amp;"||"&amp;$G819,'Task Master'!$K:$K,0)),"")</f>
        <v/>
      </c>
      <c r="J819" t="str">
        <f>IFERROR(INDEX('Task Master'!$H:$H,MATCH($F819&amp;"||"&amp;$G819,'Task Master'!$K:$K,0)),"")</f>
        <v/>
      </c>
      <c r="N819" s="18" t="str">
        <f t="shared" si="97"/>
        <v/>
      </c>
      <c r="R819" s="18">
        <f t="shared" si="98"/>
        <v>0</v>
      </c>
      <c r="V819" s="18">
        <f t="shared" si="99"/>
        <v>0</v>
      </c>
      <c r="Z819" s="18">
        <f t="shared" si="100"/>
        <v>0</v>
      </c>
      <c r="AA819" s="18"/>
      <c r="AB819" s="18">
        <f t="shared" si="101"/>
        <v>0</v>
      </c>
      <c r="AC819" s="18" t="str">
        <f t="shared" si="102"/>
        <v/>
      </c>
      <c r="AD819" s="18" t="str">
        <f t="shared" si="103"/>
        <v/>
      </c>
      <c r="AF819" t="str">
        <f>IFERROR(INDEX('Task Master'!$D:$D,MATCH($F819,'Task Master'!$C:$C,0)),"")</f>
        <v/>
      </c>
    </row>
    <row r="820" spans="1:32" x14ac:dyDescent="0.25">
      <c r="A820" t="str">
        <f t="shared" si="96"/>
        <v/>
      </c>
      <c r="B820" s="16"/>
      <c r="D820" t="str">
        <f>IF($C820="","",IFERROR(INDEX('Asset Register'!$B:$B,MATCH($C820,'Asset Register'!$A:$A,0)),""))</f>
        <v/>
      </c>
      <c r="H820" t="str">
        <f>IFERROR(INDEX('Task Master'!$E:$E,MATCH($F820&amp;"||"&amp;$G820,'Task Master'!$K:$K,0)),"")</f>
        <v/>
      </c>
      <c r="I820" t="str">
        <f>IFERROR(INDEX('Task Master'!$F:$F,MATCH($F820&amp;"||"&amp;$G820,'Task Master'!$K:$K,0)),"")</f>
        <v/>
      </c>
      <c r="J820" t="str">
        <f>IFERROR(INDEX('Task Master'!$H:$H,MATCH($F820&amp;"||"&amp;$G820,'Task Master'!$K:$K,0)),"")</f>
        <v/>
      </c>
      <c r="N820" s="18" t="str">
        <f t="shared" si="97"/>
        <v/>
      </c>
      <c r="R820" s="18">
        <f t="shared" si="98"/>
        <v>0</v>
      </c>
      <c r="V820" s="18">
        <f t="shared" si="99"/>
        <v>0</v>
      </c>
      <c r="Z820" s="18">
        <f t="shared" si="100"/>
        <v>0</v>
      </c>
      <c r="AA820" s="18"/>
      <c r="AB820" s="18">
        <f t="shared" si="101"/>
        <v>0</v>
      </c>
      <c r="AC820" s="18" t="str">
        <f t="shared" si="102"/>
        <v/>
      </c>
      <c r="AD820" s="18" t="str">
        <f t="shared" si="103"/>
        <v/>
      </c>
      <c r="AF820" t="str">
        <f>IFERROR(INDEX('Task Master'!$D:$D,MATCH($F820,'Task Master'!$C:$C,0)),"")</f>
        <v/>
      </c>
    </row>
    <row r="821" spans="1:32" x14ac:dyDescent="0.25">
      <c r="A821" t="str">
        <f t="shared" si="96"/>
        <v/>
      </c>
      <c r="B821" s="16"/>
      <c r="D821" t="str">
        <f>IF($C821="","",IFERROR(INDEX('Asset Register'!$B:$B,MATCH($C821,'Asset Register'!$A:$A,0)),""))</f>
        <v/>
      </c>
      <c r="H821" t="str">
        <f>IFERROR(INDEX('Task Master'!$E:$E,MATCH($F821&amp;"||"&amp;$G821,'Task Master'!$K:$K,0)),"")</f>
        <v/>
      </c>
      <c r="I821" t="str">
        <f>IFERROR(INDEX('Task Master'!$F:$F,MATCH($F821&amp;"||"&amp;$G821,'Task Master'!$K:$K,0)),"")</f>
        <v/>
      </c>
      <c r="J821" t="str">
        <f>IFERROR(INDEX('Task Master'!$H:$H,MATCH($F821&amp;"||"&amp;$G821,'Task Master'!$K:$K,0)),"")</f>
        <v/>
      </c>
      <c r="N821" s="18" t="str">
        <f t="shared" si="97"/>
        <v/>
      </c>
      <c r="R821" s="18">
        <f t="shared" si="98"/>
        <v>0</v>
      </c>
      <c r="V821" s="18">
        <f t="shared" si="99"/>
        <v>0</v>
      </c>
      <c r="Z821" s="18">
        <f t="shared" si="100"/>
        <v>0</v>
      </c>
      <c r="AA821" s="18"/>
      <c r="AB821" s="18">
        <f t="shared" si="101"/>
        <v>0</v>
      </c>
      <c r="AC821" s="18" t="str">
        <f t="shared" si="102"/>
        <v/>
      </c>
      <c r="AD821" s="18" t="str">
        <f t="shared" si="103"/>
        <v/>
      </c>
      <c r="AF821" t="str">
        <f>IFERROR(INDEX('Task Master'!$D:$D,MATCH($F821,'Task Master'!$C:$C,0)),"")</f>
        <v/>
      </c>
    </row>
    <row r="822" spans="1:32" x14ac:dyDescent="0.25">
      <c r="A822" t="str">
        <f t="shared" si="96"/>
        <v/>
      </c>
      <c r="B822" s="16"/>
      <c r="D822" t="str">
        <f>IF($C822="","",IFERROR(INDEX('Asset Register'!$B:$B,MATCH($C822,'Asset Register'!$A:$A,0)),""))</f>
        <v/>
      </c>
      <c r="H822" t="str">
        <f>IFERROR(INDEX('Task Master'!$E:$E,MATCH($F822&amp;"||"&amp;$G822,'Task Master'!$K:$K,0)),"")</f>
        <v/>
      </c>
      <c r="I822" t="str">
        <f>IFERROR(INDEX('Task Master'!$F:$F,MATCH($F822&amp;"||"&amp;$G822,'Task Master'!$K:$K,0)),"")</f>
        <v/>
      </c>
      <c r="J822" t="str">
        <f>IFERROR(INDEX('Task Master'!$H:$H,MATCH($F822&amp;"||"&amp;$G822,'Task Master'!$K:$K,0)),"")</f>
        <v/>
      </c>
      <c r="N822" s="18" t="str">
        <f t="shared" si="97"/>
        <v/>
      </c>
      <c r="R822" s="18">
        <f t="shared" si="98"/>
        <v>0</v>
      </c>
      <c r="V822" s="18">
        <f t="shared" si="99"/>
        <v>0</v>
      </c>
      <c r="Z822" s="18">
        <f t="shared" si="100"/>
        <v>0</v>
      </c>
      <c r="AA822" s="18"/>
      <c r="AB822" s="18">
        <f t="shared" si="101"/>
        <v>0</v>
      </c>
      <c r="AC822" s="18" t="str">
        <f t="shared" si="102"/>
        <v/>
      </c>
      <c r="AD822" s="18" t="str">
        <f t="shared" si="103"/>
        <v/>
      </c>
      <c r="AF822" t="str">
        <f>IFERROR(INDEX('Task Master'!$D:$D,MATCH($F822,'Task Master'!$C:$C,0)),"")</f>
        <v/>
      </c>
    </row>
    <row r="823" spans="1:32" x14ac:dyDescent="0.25">
      <c r="A823" t="str">
        <f t="shared" si="96"/>
        <v/>
      </c>
      <c r="B823" s="16"/>
      <c r="D823" t="str">
        <f>IF($C823="","",IFERROR(INDEX('Asset Register'!$B:$B,MATCH($C823,'Asset Register'!$A:$A,0)),""))</f>
        <v/>
      </c>
      <c r="H823" t="str">
        <f>IFERROR(INDEX('Task Master'!$E:$E,MATCH($F823&amp;"||"&amp;$G823,'Task Master'!$K:$K,0)),"")</f>
        <v/>
      </c>
      <c r="I823" t="str">
        <f>IFERROR(INDEX('Task Master'!$F:$F,MATCH($F823&amp;"||"&amp;$G823,'Task Master'!$K:$K,0)),"")</f>
        <v/>
      </c>
      <c r="J823" t="str">
        <f>IFERROR(INDEX('Task Master'!$H:$H,MATCH($F823&amp;"||"&amp;$G823,'Task Master'!$K:$K,0)),"")</f>
        <v/>
      </c>
      <c r="N823" s="18" t="str">
        <f t="shared" si="97"/>
        <v/>
      </c>
      <c r="R823" s="18">
        <f t="shared" si="98"/>
        <v>0</v>
      </c>
      <c r="V823" s="18">
        <f t="shared" si="99"/>
        <v>0</v>
      </c>
      <c r="Z823" s="18">
        <f t="shared" si="100"/>
        <v>0</v>
      </c>
      <c r="AA823" s="18"/>
      <c r="AB823" s="18">
        <f t="shared" si="101"/>
        <v>0</v>
      </c>
      <c r="AC823" s="18" t="str">
        <f t="shared" si="102"/>
        <v/>
      </c>
      <c r="AD823" s="18" t="str">
        <f t="shared" si="103"/>
        <v/>
      </c>
      <c r="AF823" t="str">
        <f>IFERROR(INDEX('Task Master'!$D:$D,MATCH($F823,'Task Master'!$C:$C,0)),"")</f>
        <v/>
      </c>
    </row>
    <row r="824" spans="1:32" x14ac:dyDescent="0.25">
      <c r="A824" t="str">
        <f t="shared" si="96"/>
        <v/>
      </c>
      <c r="B824" s="16"/>
      <c r="D824" t="str">
        <f>IF($C824="","",IFERROR(INDEX('Asset Register'!$B:$B,MATCH($C824,'Asset Register'!$A:$A,0)),""))</f>
        <v/>
      </c>
      <c r="H824" t="str">
        <f>IFERROR(INDEX('Task Master'!$E:$E,MATCH($F824&amp;"||"&amp;$G824,'Task Master'!$K:$K,0)),"")</f>
        <v/>
      </c>
      <c r="I824" t="str">
        <f>IFERROR(INDEX('Task Master'!$F:$F,MATCH($F824&amp;"||"&amp;$G824,'Task Master'!$K:$K,0)),"")</f>
        <v/>
      </c>
      <c r="J824" t="str">
        <f>IFERROR(INDEX('Task Master'!$H:$H,MATCH($F824&amp;"||"&amp;$G824,'Task Master'!$K:$K,0)),"")</f>
        <v/>
      </c>
      <c r="N824" s="18" t="str">
        <f t="shared" si="97"/>
        <v/>
      </c>
      <c r="R824" s="18">
        <f t="shared" si="98"/>
        <v>0</v>
      </c>
      <c r="V824" s="18">
        <f t="shared" si="99"/>
        <v>0</v>
      </c>
      <c r="Z824" s="18">
        <f t="shared" si="100"/>
        <v>0</v>
      </c>
      <c r="AA824" s="18"/>
      <c r="AB824" s="18">
        <f t="shared" si="101"/>
        <v>0</v>
      </c>
      <c r="AC824" s="18" t="str">
        <f t="shared" si="102"/>
        <v/>
      </c>
      <c r="AD824" s="18" t="str">
        <f t="shared" si="103"/>
        <v/>
      </c>
      <c r="AF824" t="str">
        <f>IFERROR(INDEX('Task Master'!$D:$D,MATCH($F824,'Task Master'!$C:$C,0)),"")</f>
        <v/>
      </c>
    </row>
    <row r="825" spans="1:32" x14ac:dyDescent="0.25">
      <c r="A825" t="str">
        <f t="shared" si="96"/>
        <v/>
      </c>
      <c r="B825" s="16"/>
      <c r="D825" t="str">
        <f>IF($C825="","",IFERROR(INDEX('Asset Register'!$B:$B,MATCH($C825,'Asset Register'!$A:$A,0)),""))</f>
        <v/>
      </c>
      <c r="H825" t="str">
        <f>IFERROR(INDEX('Task Master'!$E:$E,MATCH($F825&amp;"||"&amp;$G825,'Task Master'!$K:$K,0)),"")</f>
        <v/>
      </c>
      <c r="I825" t="str">
        <f>IFERROR(INDEX('Task Master'!$F:$F,MATCH($F825&amp;"||"&amp;$G825,'Task Master'!$K:$K,0)),"")</f>
        <v/>
      </c>
      <c r="J825" t="str">
        <f>IFERROR(INDEX('Task Master'!$H:$H,MATCH($F825&amp;"||"&amp;$G825,'Task Master'!$K:$K,0)),"")</f>
        <v/>
      </c>
      <c r="N825" s="18" t="str">
        <f t="shared" si="97"/>
        <v/>
      </c>
      <c r="R825" s="18">
        <f t="shared" si="98"/>
        <v>0</v>
      </c>
      <c r="V825" s="18">
        <f t="shared" si="99"/>
        <v>0</v>
      </c>
      <c r="Z825" s="18">
        <f t="shared" si="100"/>
        <v>0</v>
      </c>
      <c r="AA825" s="18"/>
      <c r="AB825" s="18">
        <f t="shared" si="101"/>
        <v>0</v>
      </c>
      <c r="AC825" s="18" t="str">
        <f t="shared" si="102"/>
        <v/>
      </c>
      <c r="AD825" s="18" t="str">
        <f t="shared" si="103"/>
        <v/>
      </c>
      <c r="AF825" t="str">
        <f>IFERROR(INDEX('Task Master'!$D:$D,MATCH($F825,'Task Master'!$C:$C,0)),"")</f>
        <v/>
      </c>
    </row>
    <row r="826" spans="1:32" x14ac:dyDescent="0.25">
      <c r="A826" t="str">
        <f t="shared" si="96"/>
        <v/>
      </c>
      <c r="B826" s="16"/>
      <c r="D826" t="str">
        <f>IF($C826="","",IFERROR(INDEX('Asset Register'!$B:$B,MATCH($C826,'Asset Register'!$A:$A,0)),""))</f>
        <v/>
      </c>
      <c r="H826" t="str">
        <f>IFERROR(INDEX('Task Master'!$E:$E,MATCH($F826&amp;"||"&amp;$G826,'Task Master'!$K:$K,0)),"")</f>
        <v/>
      </c>
      <c r="I826" t="str">
        <f>IFERROR(INDEX('Task Master'!$F:$F,MATCH($F826&amp;"||"&amp;$G826,'Task Master'!$K:$K,0)),"")</f>
        <v/>
      </c>
      <c r="J826" t="str">
        <f>IFERROR(INDEX('Task Master'!$H:$H,MATCH($F826&amp;"||"&amp;$G826,'Task Master'!$K:$K,0)),"")</f>
        <v/>
      </c>
      <c r="N826" s="18" t="str">
        <f t="shared" si="97"/>
        <v/>
      </c>
      <c r="R826" s="18">
        <f t="shared" si="98"/>
        <v>0</v>
      </c>
      <c r="V826" s="18">
        <f t="shared" si="99"/>
        <v>0</v>
      </c>
      <c r="Z826" s="18">
        <f t="shared" si="100"/>
        <v>0</v>
      </c>
      <c r="AA826" s="18"/>
      <c r="AB826" s="18">
        <f t="shared" si="101"/>
        <v>0</v>
      </c>
      <c r="AC826" s="18" t="str">
        <f t="shared" si="102"/>
        <v/>
      </c>
      <c r="AD826" s="18" t="str">
        <f t="shared" si="103"/>
        <v/>
      </c>
      <c r="AF826" t="str">
        <f>IFERROR(INDEX('Task Master'!$D:$D,MATCH($F826,'Task Master'!$C:$C,0)),"")</f>
        <v/>
      </c>
    </row>
    <row r="827" spans="1:32" x14ac:dyDescent="0.25">
      <c r="A827" t="str">
        <f t="shared" si="96"/>
        <v/>
      </c>
      <c r="B827" s="16"/>
      <c r="D827" t="str">
        <f>IF($C827="","",IFERROR(INDEX('Asset Register'!$B:$B,MATCH($C827,'Asset Register'!$A:$A,0)),""))</f>
        <v/>
      </c>
      <c r="H827" t="str">
        <f>IFERROR(INDEX('Task Master'!$E:$E,MATCH($F827&amp;"||"&amp;$G827,'Task Master'!$K:$K,0)),"")</f>
        <v/>
      </c>
      <c r="I827" t="str">
        <f>IFERROR(INDEX('Task Master'!$F:$F,MATCH($F827&amp;"||"&amp;$G827,'Task Master'!$K:$K,0)),"")</f>
        <v/>
      </c>
      <c r="J827" t="str">
        <f>IFERROR(INDEX('Task Master'!$H:$H,MATCH($F827&amp;"||"&amp;$G827,'Task Master'!$K:$K,0)),"")</f>
        <v/>
      </c>
      <c r="N827" s="18" t="str">
        <f t="shared" si="97"/>
        <v/>
      </c>
      <c r="R827" s="18">
        <f t="shared" si="98"/>
        <v>0</v>
      </c>
      <c r="V827" s="18">
        <f t="shared" si="99"/>
        <v>0</v>
      </c>
      <c r="Z827" s="18">
        <f t="shared" si="100"/>
        <v>0</v>
      </c>
      <c r="AA827" s="18"/>
      <c r="AB827" s="18">
        <f t="shared" si="101"/>
        <v>0</v>
      </c>
      <c r="AC827" s="18" t="str">
        <f t="shared" si="102"/>
        <v/>
      </c>
      <c r="AD827" s="18" t="str">
        <f t="shared" si="103"/>
        <v/>
      </c>
      <c r="AF827" t="str">
        <f>IFERROR(INDEX('Task Master'!$D:$D,MATCH($F827,'Task Master'!$C:$C,0)),"")</f>
        <v/>
      </c>
    </row>
    <row r="828" spans="1:32" x14ac:dyDescent="0.25">
      <c r="A828" t="str">
        <f t="shared" si="96"/>
        <v/>
      </c>
      <c r="B828" s="16"/>
      <c r="D828" t="str">
        <f>IF($C828="","",IFERROR(INDEX('Asset Register'!$B:$B,MATCH($C828,'Asset Register'!$A:$A,0)),""))</f>
        <v/>
      </c>
      <c r="H828" t="str">
        <f>IFERROR(INDEX('Task Master'!$E:$E,MATCH($F828&amp;"||"&amp;$G828,'Task Master'!$K:$K,0)),"")</f>
        <v/>
      </c>
      <c r="I828" t="str">
        <f>IFERROR(INDEX('Task Master'!$F:$F,MATCH($F828&amp;"||"&amp;$G828,'Task Master'!$K:$K,0)),"")</f>
        <v/>
      </c>
      <c r="J828" t="str">
        <f>IFERROR(INDEX('Task Master'!$H:$H,MATCH($F828&amp;"||"&amp;$G828,'Task Master'!$K:$K,0)),"")</f>
        <v/>
      </c>
      <c r="N828" s="18" t="str">
        <f t="shared" si="97"/>
        <v/>
      </c>
      <c r="R828" s="18">
        <f t="shared" si="98"/>
        <v>0</v>
      </c>
      <c r="V828" s="18">
        <f t="shared" si="99"/>
        <v>0</v>
      </c>
      <c r="Z828" s="18">
        <f t="shared" si="100"/>
        <v>0</v>
      </c>
      <c r="AA828" s="18"/>
      <c r="AB828" s="18">
        <f t="shared" si="101"/>
        <v>0</v>
      </c>
      <c r="AC828" s="18" t="str">
        <f t="shared" si="102"/>
        <v/>
      </c>
      <c r="AD828" s="18" t="str">
        <f t="shared" si="103"/>
        <v/>
      </c>
      <c r="AF828" t="str">
        <f>IFERROR(INDEX('Task Master'!$D:$D,MATCH($F828,'Task Master'!$C:$C,0)),"")</f>
        <v/>
      </c>
    </row>
    <row r="829" spans="1:32" x14ac:dyDescent="0.25">
      <c r="A829" t="str">
        <f t="shared" si="96"/>
        <v/>
      </c>
      <c r="B829" s="16"/>
      <c r="D829" t="str">
        <f>IF($C829="","",IFERROR(INDEX('Asset Register'!$B:$B,MATCH($C829,'Asset Register'!$A:$A,0)),""))</f>
        <v/>
      </c>
      <c r="H829" t="str">
        <f>IFERROR(INDEX('Task Master'!$E:$E,MATCH($F829&amp;"||"&amp;$G829,'Task Master'!$K:$K,0)),"")</f>
        <v/>
      </c>
      <c r="I829" t="str">
        <f>IFERROR(INDEX('Task Master'!$F:$F,MATCH($F829&amp;"||"&amp;$G829,'Task Master'!$K:$K,0)),"")</f>
        <v/>
      </c>
      <c r="J829" t="str">
        <f>IFERROR(INDEX('Task Master'!$H:$H,MATCH($F829&amp;"||"&amp;$G829,'Task Master'!$K:$K,0)),"")</f>
        <v/>
      </c>
      <c r="N829" s="18" t="str">
        <f t="shared" si="97"/>
        <v/>
      </c>
      <c r="R829" s="18">
        <f t="shared" si="98"/>
        <v>0</v>
      </c>
      <c r="V829" s="18">
        <f t="shared" si="99"/>
        <v>0</v>
      </c>
      <c r="Z829" s="18">
        <f t="shared" si="100"/>
        <v>0</v>
      </c>
      <c r="AA829" s="18"/>
      <c r="AB829" s="18">
        <f t="shared" si="101"/>
        <v>0</v>
      </c>
      <c r="AC829" s="18" t="str">
        <f t="shared" si="102"/>
        <v/>
      </c>
      <c r="AD829" s="18" t="str">
        <f t="shared" si="103"/>
        <v/>
      </c>
      <c r="AF829" t="str">
        <f>IFERROR(INDEX('Task Master'!$D:$D,MATCH($F829,'Task Master'!$C:$C,0)),"")</f>
        <v/>
      </c>
    </row>
    <row r="830" spans="1:32" x14ac:dyDescent="0.25">
      <c r="A830" t="str">
        <f t="shared" si="96"/>
        <v/>
      </c>
      <c r="B830" s="16"/>
      <c r="D830" t="str">
        <f>IF($C830="","",IFERROR(INDEX('Asset Register'!$B:$B,MATCH($C830,'Asset Register'!$A:$A,0)),""))</f>
        <v/>
      </c>
      <c r="H830" t="str">
        <f>IFERROR(INDEX('Task Master'!$E:$E,MATCH($F830&amp;"||"&amp;$G830,'Task Master'!$K:$K,0)),"")</f>
        <v/>
      </c>
      <c r="I830" t="str">
        <f>IFERROR(INDEX('Task Master'!$F:$F,MATCH($F830&amp;"||"&amp;$G830,'Task Master'!$K:$K,0)),"")</f>
        <v/>
      </c>
      <c r="J830" t="str">
        <f>IFERROR(INDEX('Task Master'!$H:$H,MATCH($F830&amp;"||"&amp;$G830,'Task Master'!$K:$K,0)),"")</f>
        <v/>
      </c>
      <c r="N830" s="18" t="str">
        <f t="shared" si="97"/>
        <v/>
      </c>
      <c r="R830" s="18">
        <f t="shared" si="98"/>
        <v>0</v>
      </c>
      <c r="V830" s="18">
        <f t="shared" si="99"/>
        <v>0</v>
      </c>
      <c r="Z830" s="18">
        <f t="shared" si="100"/>
        <v>0</v>
      </c>
      <c r="AA830" s="18"/>
      <c r="AB830" s="18">
        <f t="shared" si="101"/>
        <v>0</v>
      </c>
      <c r="AC830" s="18" t="str">
        <f t="shared" si="102"/>
        <v/>
      </c>
      <c r="AD830" s="18" t="str">
        <f t="shared" si="103"/>
        <v/>
      </c>
      <c r="AF830" t="str">
        <f>IFERROR(INDEX('Task Master'!$D:$D,MATCH($F830,'Task Master'!$C:$C,0)),"")</f>
        <v/>
      </c>
    </row>
    <row r="831" spans="1:32" x14ac:dyDescent="0.25">
      <c r="A831" t="str">
        <f t="shared" si="96"/>
        <v/>
      </c>
      <c r="B831" s="16"/>
      <c r="D831" t="str">
        <f>IF($C831="","",IFERROR(INDEX('Asset Register'!$B:$B,MATCH($C831,'Asset Register'!$A:$A,0)),""))</f>
        <v/>
      </c>
      <c r="H831" t="str">
        <f>IFERROR(INDEX('Task Master'!$E:$E,MATCH($F831&amp;"||"&amp;$G831,'Task Master'!$K:$K,0)),"")</f>
        <v/>
      </c>
      <c r="I831" t="str">
        <f>IFERROR(INDEX('Task Master'!$F:$F,MATCH($F831&amp;"||"&amp;$G831,'Task Master'!$K:$K,0)),"")</f>
        <v/>
      </c>
      <c r="J831" t="str">
        <f>IFERROR(INDEX('Task Master'!$H:$H,MATCH($F831&amp;"||"&amp;$G831,'Task Master'!$K:$K,0)),"")</f>
        <v/>
      </c>
      <c r="N831" s="18" t="str">
        <f t="shared" si="97"/>
        <v/>
      </c>
      <c r="R831" s="18">
        <f t="shared" si="98"/>
        <v>0</v>
      </c>
      <c r="V831" s="18">
        <f t="shared" si="99"/>
        <v>0</v>
      </c>
      <c r="Z831" s="18">
        <f t="shared" si="100"/>
        <v>0</v>
      </c>
      <c r="AA831" s="18"/>
      <c r="AB831" s="18">
        <f t="shared" si="101"/>
        <v>0</v>
      </c>
      <c r="AC831" s="18" t="str">
        <f t="shared" si="102"/>
        <v/>
      </c>
      <c r="AD831" s="18" t="str">
        <f t="shared" si="103"/>
        <v/>
      </c>
      <c r="AF831" t="str">
        <f>IFERROR(INDEX('Task Master'!$D:$D,MATCH($F831,'Task Master'!$C:$C,0)),"")</f>
        <v/>
      </c>
    </row>
    <row r="832" spans="1:32" x14ac:dyDescent="0.25">
      <c r="A832" t="str">
        <f t="shared" si="96"/>
        <v/>
      </c>
      <c r="B832" s="16"/>
      <c r="D832" t="str">
        <f>IF($C832="","",IFERROR(INDEX('Asset Register'!$B:$B,MATCH($C832,'Asset Register'!$A:$A,0)),""))</f>
        <v/>
      </c>
      <c r="H832" t="str">
        <f>IFERROR(INDEX('Task Master'!$E:$E,MATCH($F832&amp;"||"&amp;$G832,'Task Master'!$K:$K,0)),"")</f>
        <v/>
      </c>
      <c r="I832" t="str">
        <f>IFERROR(INDEX('Task Master'!$F:$F,MATCH($F832&amp;"||"&amp;$G832,'Task Master'!$K:$K,0)),"")</f>
        <v/>
      </c>
      <c r="J832" t="str">
        <f>IFERROR(INDEX('Task Master'!$H:$H,MATCH($F832&amp;"||"&amp;$G832,'Task Master'!$K:$K,0)),"")</f>
        <v/>
      </c>
      <c r="N832" s="18" t="str">
        <f t="shared" si="97"/>
        <v/>
      </c>
      <c r="R832" s="18">
        <f t="shared" si="98"/>
        <v>0</v>
      </c>
      <c r="V832" s="18">
        <f t="shared" si="99"/>
        <v>0</v>
      </c>
      <c r="Z832" s="18">
        <f t="shared" si="100"/>
        <v>0</v>
      </c>
      <c r="AA832" s="18"/>
      <c r="AB832" s="18">
        <f t="shared" si="101"/>
        <v>0</v>
      </c>
      <c r="AC832" s="18" t="str">
        <f t="shared" si="102"/>
        <v/>
      </c>
      <c r="AD832" s="18" t="str">
        <f t="shared" si="103"/>
        <v/>
      </c>
      <c r="AF832" t="str">
        <f>IFERROR(INDEX('Task Master'!$D:$D,MATCH($F832,'Task Master'!$C:$C,0)),"")</f>
        <v/>
      </c>
    </row>
    <row r="833" spans="1:32" x14ac:dyDescent="0.25">
      <c r="A833" t="str">
        <f t="shared" si="96"/>
        <v/>
      </c>
      <c r="B833" s="16"/>
      <c r="D833" t="str">
        <f>IF($C833="","",IFERROR(INDEX('Asset Register'!$B:$B,MATCH($C833,'Asset Register'!$A:$A,0)),""))</f>
        <v/>
      </c>
      <c r="H833" t="str">
        <f>IFERROR(INDEX('Task Master'!$E:$E,MATCH($F833&amp;"||"&amp;$G833,'Task Master'!$K:$K,0)),"")</f>
        <v/>
      </c>
      <c r="I833" t="str">
        <f>IFERROR(INDEX('Task Master'!$F:$F,MATCH($F833&amp;"||"&amp;$G833,'Task Master'!$K:$K,0)),"")</f>
        <v/>
      </c>
      <c r="J833" t="str">
        <f>IFERROR(INDEX('Task Master'!$H:$H,MATCH($F833&amp;"||"&amp;$G833,'Task Master'!$K:$K,0)),"")</f>
        <v/>
      </c>
      <c r="N833" s="18" t="str">
        <f t="shared" si="97"/>
        <v/>
      </c>
      <c r="R833" s="18">
        <f t="shared" si="98"/>
        <v>0</v>
      </c>
      <c r="V833" s="18">
        <f t="shared" si="99"/>
        <v>0</v>
      </c>
      <c r="Z833" s="18">
        <f t="shared" si="100"/>
        <v>0</v>
      </c>
      <c r="AA833" s="18"/>
      <c r="AB833" s="18">
        <f t="shared" si="101"/>
        <v>0</v>
      </c>
      <c r="AC833" s="18" t="str">
        <f t="shared" si="102"/>
        <v/>
      </c>
      <c r="AD833" s="18" t="str">
        <f t="shared" si="103"/>
        <v/>
      </c>
      <c r="AF833" t="str">
        <f>IFERROR(INDEX('Task Master'!$D:$D,MATCH($F833,'Task Master'!$C:$C,0)),"")</f>
        <v/>
      </c>
    </row>
    <row r="834" spans="1:32" x14ac:dyDescent="0.25">
      <c r="A834" t="str">
        <f t="shared" ref="A834:A897" si="104">IF(B834="","",ROW()-1)</f>
        <v/>
      </c>
      <c r="B834" s="16"/>
      <c r="D834" t="str">
        <f>IF($C834="","",IFERROR(INDEX('Asset Register'!$B:$B,MATCH($C834,'Asset Register'!$A:$A,0)),""))</f>
        <v/>
      </c>
      <c r="H834" t="str">
        <f>IFERROR(INDEX('Task Master'!$E:$E,MATCH($F834&amp;"||"&amp;$G834,'Task Master'!$K:$K,0)),"")</f>
        <v/>
      </c>
      <c r="I834" t="str">
        <f>IFERROR(INDEX('Task Master'!$F:$F,MATCH($F834&amp;"||"&amp;$G834,'Task Master'!$K:$K,0)),"")</f>
        <v/>
      </c>
      <c r="J834" t="str">
        <f>IFERROR(INDEX('Task Master'!$H:$H,MATCH($F834&amp;"||"&amp;$G834,'Task Master'!$K:$K,0)),"")</f>
        <v/>
      </c>
      <c r="N834" s="18" t="str">
        <f t="shared" ref="N834:N897" si="105">IF(OR($K834="",$L834="",$M834=""),"",$K834*$L834*$M834)</f>
        <v/>
      </c>
      <c r="R834" s="18">
        <f t="shared" ref="R834:R897" si="106">IF(OR($P834="",$Q834=""),0,$P834*$Q834)</f>
        <v>0</v>
      </c>
      <c r="V834" s="18">
        <f t="shared" ref="V834:V897" si="107">IF(OR($T834="",$U834=""),0,$T834*$U834)</f>
        <v>0</v>
      </c>
      <c r="Z834" s="18">
        <f t="shared" ref="Z834:Z897" si="108">IF(OR($X834="",$Y834=""),0,$X834*$Y834)</f>
        <v>0</v>
      </c>
      <c r="AA834" s="18"/>
      <c r="AB834" s="18">
        <f t="shared" ref="AB834:AB897" si="109">$R834+$V834+$Z834</f>
        <v>0</v>
      </c>
      <c r="AC834" s="18" t="str">
        <f t="shared" ref="AC834:AC897" si="110">IF($B834="","",$AB834+$AA834+$N834)</f>
        <v/>
      </c>
      <c r="AD834" s="18" t="str">
        <f t="shared" ref="AD834:AD897" si="111">IF(OR($K834="",$K834=0,$AC834=""),"",$AC834/$K834)</f>
        <v/>
      </c>
      <c r="AF834" t="str">
        <f>IFERROR(INDEX('Task Master'!$D:$D,MATCH($F834,'Task Master'!$C:$C,0)),"")</f>
        <v/>
      </c>
    </row>
    <row r="835" spans="1:32" x14ac:dyDescent="0.25">
      <c r="A835" t="str">
        <f t="shared" si="104"/>
        <v/>
      </c>
      <c r="B835" s="16"/>
      <c r="D835" t="str">
        <f>IF($C835="","",IFERROR(INDEX('Asset Register'!$B:$B,MATCH($C835,'Asset Register'!$A:$A,0)),""))</f>
        <v/>
      </c>
      <c r="H835" t="str">
        <f>IFERROR(INDEX('Task Master'!$E:$E,MATCH($F835&amp;"||"&amp;$G835,'Task Master'!$K:$K,0)),"")</f>
        <v/>
      </c>
      <c r="I835" t="str">
        <f>IFERROR(INDEX('Task Master'!$F:$F,MATCH($F835&amp;"||"&amp;$G835,'Task Master'!$K:$K,0)),"")</f>
        <v/>
      </c>
      <c r="J835" t="str">
        <f>IFERROR(INDEX('Task Master'!$H:$H,MATCH($F835&amp;"||"&amp;$G835,'Task Master'!$K:$K,0)),"")</f>
        <v/>
      </c>
      <c r="N835" s="18" t="str">
        <f t="shared" si="105"/>
        <v/>
      </c>
      <c r="R835" s="18">
        <f t="shared" si="106"/>
        <v>0</v>
      </c>
      <c r="V835" s="18">
        <f t="shared" si="107"/>
        <v>0</v>
      </c>
      <c r="Z835" s="18">
        <f t="shared" si="108"/>
        <v>0</v>
      </c>
      <c r="AA835" s="18"/>
      <c r="AB835" s="18">
        <f t="shared" si="109"/>
        <v>0</v>
      </c>
      <c r="AC835" s="18" t="str">
        <f t="shared" si="110"/>
        <v/>
      </c>
      <c r="AD835" s="18" t="str">
        <f t="shared" si="111"/>
        <v/>
      </c>
      <c r="AF835" t="str">
        <f>IFERROR(INDEX('Task Master'!$D:$D,MATCH($F835,'Task Master'!$C:$C,0)),"")</f>
        <v/>
      </c>
    </row>
    <row r="836" spans="1:32" x14ac:dyDescent="0.25">
      <c r="A836" t="str">
        <f t="shared" si="104"/>
        <v/>
      </c>
      <c r="B836" s="16"/>
      <c r="D836" t="str">
        <f>IF($C836="","",IFERROR(INDEX('Asset Register'!$B:$B,MATCH($C836,'Asset Register'!$A:$A,0)),""))</f>
        <v/>
      </c>
      <c r="H836" t="str">
        <f>IFERROR(INDEX('Task Master'!$E:$E,MATCH($F836&amp;"||"&amp;$G836,'Task Master'!$K:$K,0)),"")</f>
        <v/>
      </c>
      <c r="I836" t="str">
        <f>IFERROR(INDEX('Task Master'!$F:$F,MATCH($F836&amp;"||"&amp;$G836,'Task Master'!$K:$K,0)),"")</f>
        <v/>
      </c>
      <c r="J836" t="str">
        <f>IFERROR(INDEX('Task Master'!$H:$H,MATCH($F836&amp;"||"&amp;$G836,'Task Master'!$K:$K,0)),"")</f>
        <v/>
      </c>
      <c r="N836" s="18" t="str">
        <f t="shared" si="105"/>
        <v/>
      </c>
      <c r="R836" s="18">
        <f t="shared" si="106"/>
        <v>0</v>
      </c>
      <c r="V836" s="18">
        <f t="shared" si="107"/>
        <v>0</v>
      </c>
      <c r="Z836" s="18">
        <f t="shared" si="108"/>
        <v>0</v>
      </c>
      <c r="AA836" s="18"/>
      <c r="AB836" s="18">
        <f t="shared" si="109"/>
        <v>0</v>
      </c>
      <c r="AC836" s="18" t="str">
        <f t="shared" si="110"/>
        <v/>
      </c>
      <c r="AD836" s="18" t="str">
        <f t="shared" si="111"/>
        <v/>
      </c>
      <c r="AF836" t="str">
        <f>IFERROR(INDEX('Task Master'!$D:$D,MATCH($F836,'Task Master'!$C:$C,0)),"")</f>
        <v/>
      </c>
    </row>
    <row r="837" spans="1:32" x14ac:dyDescent="0.25">
      <c r="A837" t="str">
        <f t="shared" si="104"/>
        <v/>
      </c>
      <c r="B837" s="16"/>
      <c r="D837" t="str">
        <f>IF($C837="","",IFERROR(INDEX('Asset Register'!$B:$B,MATCH($C837,'Asset Register'!$A:$A,0)),""))</f>
        <v/>
      </c>
      <c r="H837" t="str">
        <f>IFERROR(INDEX('Task Master'!$E:$E,MATCH($F837&amp;"||"&amp;$G837,'Task Master'!$K:$K,0)),"")</f>
        <v/>
      </c>
      <c r="I837" t="str">
        <f>IFERROR(INDEX('Task Master'!$F:$F,MATCH($F837&amp;"||"&amp;$G837,'Task Master'!$K:$K,0)),"")</f>
        <v/>
      </c>
      <c r="J837" t="str">
        <f>IFERROR(INDEX('Task Master'!$H:$H,MATCH($F837&amp;"||"&amp;$G837,'Task Master'!$K:$K,0)),"")</f>
        <v/>
      </c>
      <c r="N837" s="18" t="str">
        <f t="shared" si="105"/>
        <v/>
      </c>
      <c r="R837" s="18">
        <f t="shared" si="106"/>
        <v>0</v>
      </c>
      <c r="V837" s="18">
        <f t="shared" si="107"/>
        <v>0</v>
      </c>
      <c r="Z837" s="18">
        <f t="shared" si="108"/>
        <v>0</v>
      </c>
      <c r="AA837" s="18"/>
      <c r="AB837" s="18">
        <f t="shared" si="109"/>
        <v>0</v>
      </c>
      <c r="AC837" s="18" t="str">
        <f t="shared" si="110"/>
        <v/>
      </c>
      <c r="AD837" s="18" t="str">
        <f t="shared" si="111"/>
        <v/>
      </c>
      <c r="AF837" t="str">
        <f>IFERROR(INDEX('Task Master'!$D:$D,MATCH($F837,'Task Master'!$C:$C,0)),"")</f>
        <v/>
      </c>
    </row>
    <row r="838" spans="1:32" x14ac:dyDescent="0.25">
      <c r="A838" t="str">
        <f t="shared" si="104"/>
        <v/>
      </c>
      <c r="B838" s="16"/>
      <c r="D838" t="str">
        <f>IF($C838="","",IFERROR(INDEX('Asset Register'!$B:$B,MATCH($C838,'Asset Register'!$A:$A,0)),""))</f>
        <v/>
      </c>
      <c r="H838" t="str">
        <f>IFERROR(INDEX('Task Master'!$E:$E,MATCH($F838&amp;"||"&amp;$G838,'Task Master'!$K:$K,0)),"")</f>
        <v/>
      </c>
      <c r="I838" t="str">
        <f>IFERROR(INDEX('Task Master'!$F:$F,MATCH($F838&amp;"||"&amp;$G838,'Task Master'!$K:$K,0)),"")</f>
        <v/>
      </c>
      <c r="J838" t="str">
        <f>IFERROR(INDEX('Task Master'!$H:$H,MATCH($F838&amp;"||"&amp;$G838,'Task Master'!$K:$K,0)),"")</f>
        <v/>
      </c>
      <c r="N838" s="18" t="str">
        <f t="shared" si="105"/>
        <v/>
      </c>
      <c r="R838" s="18">
        <f t="shared" si="106"/>
        <v>0</v>
      </c>
      <c r="V838" s="18">
        <f t="shared" si="107"/>
        <v>0</v>
      </c>
      <c r="Z838" s="18">
        <f t="shared" si="108"/>
        <v>0</v>
      </c>
      <c r="AA838" s="18"/>
      <c r="AB838" s="18">
        <f t="shared" si="109"/>
        <v>0</v>
      </c>
      <c r="AC838" s="18" t="str">
        <f t="shared" si="110"/>
        <v/>
      </c>
      <c r="AD838" s="18" t="str">
        <f t="shared" si="111"/>
        <v/>
      </c>
      <c r="AF838" t="str">
        <f>IFERROR(INDEX('Task Master'!$D:$D,MATCH($F838,'Task Master'!$C:$C,0)),"")</f>
        <v/>
      </c>
    </row>
    <row r="839" spans="1:32" x14ac:dyDescent="0.25">
      <c r="A839" t="str">
        <f t="shared" si="104"/>
        <v/>
      </c>
      <c r="B839" s="16"/>
      <c r="D839" t="str">
        <f>IF($C839="","",IFERROR(INDEX('Asset Register'!$B:$B,MATCH($C839,'Asset Register'!$A:$A,0)),""))</f>
        <v/>
      </c>
      <c r="H839" t="str">
        <f>IFERROR(INDEX('Task Master'!$E:$E,MATCH($F839&amp;"||"&amp;$G839,'Task Master'!$K:$K,0)),"")</f>
        <v/>
      </c>
      <c r="I839" t="str">
        <f>IFERROR(INDEX('Task Master'!$F:$F,MATCH($F839&amp;"||"&amp;$G839,'Task Master'!$K:$K,0)),"")</f>
        <v/>
      </c>
      <c r="J839" t="str">
        <f>IFERROR(INDEX('Task Master'!$H:$H,MATCH($F839&amp;"||"&amp;$G839,'Task Master'!$K:$K,0)),"")</f>
        <v/>
      </c>
      <c r="N839" s="18" t="str">
        <f t="shared" si="105"/>
        <v/>
      </c>
      <c r="R839" s="18">
        <f t="shared" si="106"/>
        <v>0</v>
      </c>
      <c r="V839" s="18">
        <f t="shared" si="107"/>
        <v>0</v>
      </c>
      <c r="Z839" s="18">
        <f t="shared" si="108"/>
        <v>0</v>
      </c>
      <c r="AA839" s="18"/>
      <c r="AB839" s="18">
        <f t="shared" si="109"/>
        <v>0</v>
      </c>
      <c r="AC839" s="18" t="str">
        <f t="shared" si="110"/>
        <v/>
      </c>
      <c r="AD839" s="18" t="str">
        <f t="shared" si="111"/>
        <v/>
      </c>
      <c r="AF839" t="str">
        <f>IFERROR(INDEX('Task Master'!$D:$D,MATCH($F839,'Task Master'!$C:$C,0)),"")</f>
        <v/>
      </c>
    </row>
    <row r="840" spans="1:32" x14ac:dyDescent="0.25">
      <c r="A840" t="str">
        <f t="shared" si="104"/>
        <v/>
      </c>
      <c r="B840" s="16"/>
      <c r="D840" t="str">
        <f>IF($C840="","",IFERROR(INDEX('Asset Register'!$B:$B,MATCH($C840,'Asset Register'!$A:$A,0)),""))</f>
        <v/>
      </c>
      <c r="H840" t="str">
        <f>IFERROR(INDEX('Task Master'!$E:$E,MATCH($F840&amp;"||"&amp;$G840,'Task Master'!$K:$K,0)),"")</f>
        <v/>
      </c>
      <c r="I840" t="str">
        <f>IFERROR(INDEX('Task Master'!$F:$F,MATCH($F840&amp;"||"&amp;$G840,'Task Master'!$K:$K,0)),"")</f>
        <v/>
      </c>
      <c r="J840" t="str">
        <f>IFERROR(INDEX('Task Master'!$H:$H,MATCH($F840&amp;"||"&amp;$G840,'Task Master'!$K:$K,0)),"")</f>
        <v/>
      </c>
      <c r="N840" s="18" t="str">
        <f t="shared" si="105"/>
        <v/>
      </c>
      <c r="R840" s="18">
        <f t="shared" si="106"/>
        <v>0</v>
      </c>
      <c r="V840" s="18">
        <f t="shared" si="107"/>
        <v>0</v>
      </c>
      <c r="Z840" s="18">
        <f t="shared" si="108"/>
        <v>0</v>
      </c>
      <c r="AA840" s="18"/>
      <c r="AB840" s="18">
        <f t="shared" si="109"/>
        <v>0</v>
      </c>
      <c r="AC840" s="18" t="str">
        <f t="shared" si="110"/>
        <v/>
      </c>
      <c r="AD840" s="18" t="str">
        <f t="shared" si="111"/>
        <v/>
      </c>
      <c r="AF840" t="str">
        <f>IFERROR(INDEX('Task Master'!$D:$D,MATCH($F840,'Task Master'!$C:$C,0)),"")</f>
        <v/>
      </c>
    </row>
    <row r="841" spans="1:32" x14ac:dyDescent="0.25">
      <c r="A841" t="str">
        <f t="shared" si="104"/>
        <v/>
      </c>
      <c r="B841" s="16"/>
      <c r="D841" t="str">
        <f>IF($C841="","",IFERROR(INDEX('Asset Register'!$B:$B,MATCH($C841,'Asset Register'!$A:$A,0)),""))</f>
        <v/>
      </c>
      <c r="H841" t="str">
        <f>IFERROR(INDEX('Task Master'!$E:$E,MATCH($F841&amp;"||"&amp;$G841,'Task Master'!$K:$K,0)),"")</f>
        <v/>
      </c>
      <c r="I841" t="str">
        <f>IFERROR(INDEX('Task Master'!$F:$F,MATCH($F841&amp;"||"&amp;$G841,'Task Master'!$K:$K,0)),"")</f>
        <v/>
      </c>
      <c r="J841" t="str">
        <f>IFERROR(INDEX('Task Master'!$H:$H,MATCH($F841&amp;"||"&amp;$G841,'Task Master'!$K:$K,0)),"")</f>
        <v/>
      </c>
      <c r="N841" s="18" t="str">
        <f t="shared" si="105"/>
        <v/>
      </c>
      <c r="R841" s="18">
        <f t="shared" si="106"/>
        <v>0</v>
      </c>
      <c r="V841" s="18">
        <f t="shared" si="107"/>
        <v>0</v>
      </c>
      <c r="Z841" s="18">
        <f t="shared" si="108"/>
        <v>0</v>
      </c>
      <c r="AA841" s="18"/>
      <c r="AB841" s="18">
        <f t="shared" si="109"/>
        <v>0</v>
      </c>
      <c r="AC841" s="18" t="str">
        <f t="shared" si="110"/>
        <v/>
      </c>
      <c r="AD841" s="18" t="str">
        <f t="shared" si="111"/>
        <v/>
      </c>
      <c r="AF841" t="str">
        <f>IFERROR(INDEX('Task Master'!$D:$D,MATCH($F841,'Task Master'!$C:$C,0)),"")</f>
        <v/>
      </c>
    </row>
    <row r="842" spans="1:32" x14ac:dyDescent="0.25">
      <c r="A842" t="str">
        <f t="shared" si="104"/>
        <v/>
      </c>
      <c r="B842" s="16"/>
      <c r="D842" t="str">
        <f>IF($C842="","",IFERROR(INDEX('Asset Register'!$B:$B,MATCH($C842,'Asset Register'!$A:$A,0)),""))</f>
        <v/>
      </c>
      <c r="H842" t="str">
        <f>IFERROR(INDEX('Task Master'!$E:$E,MATCH($F842&amp;"||"&amp;$G842,'Task Master'!$K:$K,0)),"")</f>
        <v/>
      </c>
      <c r="I842" t="str">
        <f>IFERROR(INDEX('Task Master'!$F:$F,MATCH($F842&amp;"||"&amp;$G842,'Task Master'!$K:$K,0)),"")</f>
        <v/>
      </c>
      <c r="J842" t="str">
        <f>IFERROR(INDEX('Task Master'!$H:$H,MATCH($F842&amp;"||"&amp;$G842,'Task Master'!$K:$K,0)),"")</f>
        <v/>
      </c>
      <c r="N842" s="18" t="str">
        <f t="shared" si="105"/>
        <v/>
      </c>
      <c r="R842" s="18">
        <f t="shared" si="106"/>
        <v>0</v>
      </c>
      <c r="V842" s="18">
        <f t="shared" si="107"/>
        <v>0</v>
      </c>
      <c r="Z842" s="18">
        <f t="shared" si="108"/>
        <v>0</v>
      </c>
      <c r="AA842" s="18"/>
      <c r="AB842" s="18">
        <f t="shared" si="109"/>
        <v>0</v>
      </c>
      <c r="AC842" s="18" t="str">
        <f t="shared" si="110"/>
        <v/>
      </c>
      <c r="AD842" s="18" t="str">
        <f t="shared" si="111"/>
        <v/>
      </c>
      <c r="AF842" t="str">
        <f>IFERROR(INDEX('Task Master'!$D:$D,MATCH($F842,'Task Master'!$C:$C,0)),"")</f>
        <v/>
      </c>
    </row>
    <row r="843" spans="1:32" x14ac:dyDescent="0.25">
      <c r="A843" t="str">
        <f t="shared" si="104"/>
        <v/>
      </c>
      <c r="B843" s="16"/>
      <c r="D843" t="str">
        <f>IF($C843="","",IFERROR(INDEX('Asset Register'!$B:$B,MATCH($C843,'Asset Register'!$A:$A,0)),""))</f>
        <v/>
      </c>
      <c r="H843" t="str">
        <f>IFERROR(INDEX('Task Master'!$E:$E,MATCH($F843&amp;"||"&amp;$G843,'Task Master'!$K:$K,0)),"")</f>
        <v/>
      </c>
      <c r="I843" t="str">
        <f>IFERROR(INDEX('Task Master'!$F:$F,MATCH($F843&amp;"||"&amp;$G843,'Task Master'!$K:$K,0)),"")</f>
        <v/>
      </c>
      <c r="J843" t="str">
        <f>IFERROR(INDEX('Task Master'!$H:$H,MATCH($F843&amp;"||"&amp;$G843,'Task Master'!$K:$K,0)),"")</f>
        <v/>
      </c>
      <c r="N843" s="18" t="str">
        <f t="shared" si="105"/>
        <v/>
      </c>
      <c r="R843" s="18">
        <f t="shared" si="106"/>
        <v>0</v>
      </c>
      <c r="V843" s="18">
        <f t="shared" si="107"/>
        <v>0</v>
      </c>
      <c r="Z843" s="18">
        <f t="shared" si="108"/>
        <v>0</v>
      </c>
      <c r="AA843" s="18"/>
      <c r="AB843" s="18">
        <f t="shared" si="109"/>
        <v>0</v>
      </c>
      <c r="AC843" s="18" t="str">
        <f t="shared" si="110"/>
        <v/>
      </c>
      <c r="AD843" s="18" t="str">
        <f t="shared" si="111"/>
        <v/>
      </c>
      <c r="AF843" t="str">
        <f>IFERROR(INDEX('Task Master'!$D:$D,MATCH($F843,'Task Master'!$C:$C,0)),"")</f>
        <v/>
      </c>
    </row>
    <row r="844" spans="1:32" x14ac:dyDescent="0.25">
      <c r="A844" t="str">
        <f t="shared" si="104"/>
        <v/>
      </c>
      <c r="B844" s="16"/>
      <c r="D844" t="str">
        <f>IF($C844="","",IFERROR(INDEX('Asset Register'!$B:$B,MATCH($C844,'Asset Register'!$A:$A,0)),""))</f>
        <v/>
      </c>
      <c r="H844" t="str">
        <f>IFERROR(INDEX('Task Master'!$E:$E,MATCH($F844&amp;"||"&amp;$G844,'Task Master'!$K:$K,0)),"")</f>
        <v/>
      </c>
      <c r="I844" t="str">
        <f>IFERROR(INDEX('Task Master'!$F:$F,MATCH($F844&amp;"||"&amp;$G844,'Task Master'!$K:$K,0)),"")</f>
        <v/>
      </c>
      <c r="J844" t="str">
        <f>IFERROR(INDEX('Task Master'!$H:$H,MATCH($F844&amp;"||"&amp;$G844,'Task Master'!$K:$K,0)),"")</f>
        <v/>
      </c>
      <c r="N844" s="18" t="str">
        <f t="shared" si="105"/>
        <v/>
      </c>
      <c r="R844" s="18">
        <f t="shared" si="106"/>
        <v>0</v>
      </c>
      <c r="V844" s="18">
        <f t="shared" si="107"/>
        <v>0</v>
      </c>
      <c r="Z844" s="18">
        <f t="shared" si="108"/>
        <v>0</v>
      </c>
      <c r="AA844" s="18"/>
      <c r="AB844" s="18">
        <f t="shared" si="109"/>
        <v>0</v>
      </c>
      <c r="AC844" s="18" t="str">
        <f t="shared" si="110"/>
        <v/>
      </c>
      <c r="AD844" s="18" t="str">
        <f t="shared" si="111"/>
        <v/>
      </c>
      <c r="AF844" t="str">
        <f>IFERROR(INDEX('Task Master'!$D:$D,MATCH($F844,'Task Master'!$C:$C,0)),"")</f>
        <v/>
      </c>
    </row>
    <row r="845" spans="1:32" x14ac:dyDescent="0.25">
      <c r="A845" t="str">
        <f t="shared" si="104"/>
        <v/>
      </c>
      <c r="B845" s="16"/>
      <c r="D845" t="str">
        <f>IF($C845="","",IFERROR(INDEX('Asset Register'!$B:$B,MATCH($C845,'Asset Register'!$A:$A,0)),""))</f>
        <v/>
      </c>
      <c r="H845" t="str">
        <f>IFERROR(INDEX('Task Master'!$E:$E,MATCH($F845&amp;"||"&amp;$G845,'Task Master'!$K:$K,0)),"")</f>
        <v/>
      </c>
      <c r="I845" t="str">
        <f>IFERROR(INDEX('Task Master'!$F:$F,MATCH($F845&amp;"||"&amp;$G845,'Task Master'!$K:$K,0)),"")</f>
        <v/>
      </c>
      <c r="J845" t="str">
        <f>IFERROR(INDEX('Task Master'!$H:$H,MATCH($F845&amp;"||"&amp;$G845,'Task Master'!$K:$K,0)),"")</f>
        <v/>
      </c>
      <c r="N845" s="18" t="str">
        <f t="shared" si="105"/>
        <v/>
      </c>
      <c r="R845" s="18">
        <f t="shared" si="106"/>
        <v>0</v>
      </c>
      <c r="V845" s="18">
        <f t="shared" si="107"/>
        <v>0</v>
      </c>
      <c r="Z845" s="18">
        <f t="shared" si="108"/>
        <v>0</v>
      </c>
      <c r="AA845" s="18"/>
      <c r="AB845" s="18">
        <f t="shared" si="109"/>
        <v>0</v>
      </c>
      <c r="AC845" s="18" t="str">
        <f t="shared" si="110"/>
        <v/>
      </c>
      <c r="AD845" s="18" t="str">
        <f t="shared" si="111"/>
        <v/>
      </c>
      <c r="AF845" t="str">
        <f>IFERROR(INDEX('Task Master'!$D:$D,MATCH($F845,'Task Master'!$C:$C,0)),"")</f>
        <v/>
      </c>
    </row>
    <row r="846" spans="1:32" x14ac:dyDescent="0.25">
      <c r="A846" t="str">
        <f t="shared" si="104"/>
        <v/>
      </c>
      <c r="B846" s="16"/>
      <c r="D846" t="str">
        <f>IF($C846="","",IFERROR(INDEX('Asset Register'!$B:$B,MATCH($C846,'Asset Register'!$A:$A,0)),""))</f>
        <v/>
      </c>
      <c r="H846" t="str">
        <f>IFERROR(INDEX('Task Master'!$E:$E,MATCH($F846&amp;"||"&amp;$G846,'Task Master'!$K:$K,0)),"")</f>
        <v/>
      </c>
      <c r="I846" t="str">
        <f>IFERROR(INDEX('Task Master'!$F:$F,MATCH($F846&amp;"||"&amp;$G846,'Task Master'!$K:$K,0)),"")</f>
        <v/>
      </c>
      <c r="J846" t="str">
        <f>IFERROR(INDEX('Task Master'!$H:$H,MATCH($F846&amp;"||"&amp;$G846,'Task Master'!$K:$K,0)),"")</f>
        <v/>
      </c>
      <c r="N846" s="18" t="str">
        <f t="shared" si="105"/>
        <v/>
      </c>
      <c r="R846" s="18">
        <f t="shared" si="106"/>
        <v>0</v>
      </c>
      <c r="V846" s="18">
        <f t="shared" si="107"/>
        <v>0</v>
      </c>
      <c r="Z846" s="18">
        <f t="shared" si="108"/>
        <v>0</v>
      </c>
      <c r="AA846" s="18"/>
      <c r="AB846" s="18">
        <f t="shared" si="109"/>
        <v>0</v>
      </c>
      <c r="AC846" s="18" t="str">
        <f t="shared" si="110"/>
        <v/>
      </c>
      <c r="AD846" s="18" t="str">
        <f t="shared" si="111"/>
        <v/>
      </c>
      <c r="AF846" t="str">
        <f>IFERROR(INDEX('Task Master'!$D:$D,MATCH($F846,'Task Master'!$C:$C,0)),"")</f>
        <v/>
      </c>
    </row>
    <row r="847" spans="1:32" x14ac:dyDescent="0.25">
      <c r="A847" t="str">
        <f t="shared" si="104"/>
        <v/>
      </c>
      <c r="B847" s="16"/>
      <c r="D847" t="str">
        <f>IF($C847="","",IFERROR(INDEX('Asset Register'!$B:$B,MATCH($C847,'Asset Register'!$A:$A,0)),""))</f>
        <v/>
      </c>
      <c r="H847" t="str">
        <f>IFERROR(INDEX('Task Master'!$E:$E,MATCH($F847&amp;"||"&amp;$G847,'Task Master'!$K:$K,0)),"")</f>
        <v/>
      </c>
      <c r="I847" t="str">
        <f>IFERROR(INDEX('Task Master'!$F:$F,MATCH($F847&amp;"||"&amp;$G847,'Task Master'!$K:$K,0)),"")</f>
        <v/>
      </c>
      <c r="J847" t="str">
        <f>IFERROR(INDEX('Task Master'!$H:$H,MATCH($F847&amp;"||"&amp;$G847,'Task Master'!$K:$K,0)),"")</f>
        <v/>
      </c>
      <c r="N847" s="18" t="str">
        <f t="shared" si="105"/>
        <v/>
      </c>
      <c r="R847" s="18">
        <f t="shared" si="106"/>
        <v>0</v>
      </c>
      <c r="V847" s="18">
        <f t="shared" si="107"/>
        <v>0</v>
      </c>
      <c r="Z847" s="18">
        <f t="shared" si="108"/>
        <v>0</v>
      </c>
      <c r="AA847" s="18"/>
      <c r="AB847" s="18">
        <f t="shared" si="109"/>
        <v>0</v>
      </c>
      <c r="AC847" s="18" t="str">
        <f t="shared" si="110"/>
        <v/>
      </c>
      <c r="AD847" s="18" t="str">
        <f t="shared" si="111"/>
        <v/>
      </c>
      <c r="AF847" t="str">
        <f>IFERROR(INDEX('Task Master'!$D:$D,MATCH($F847,'Task Master'!$C:$C,0)),"")</f>
        <v/>
      </c>
    </row>
    <row r="848" spans="1:32" x14ac:dyDescent="0.25">
      <c r="A848" t="str">
        <f t="shared" si="104"/>
        <v/>
      </c>
      <c r="B848" s="16"/>
      <c r="D848" t="str">
        <f>IF($C848="","",IFERROR(INDEX('Asset Register'!$B:$B,MATCH($C848,'Asset Register'!$A:$A,0)),""))</f>
        <v/>
      </c>
      <c r="H848" t="str">
        <f>IFERROR(INDEX('Task Master'!$E:$E,MATCH($F848&amp;"||"&amp;$G848,'Task Master'!$K:$K,0)),"")</f>
        <v/>
      </c>
      <c r="I848" t="str">
        <f>IFERROR(INDEX('Task Master'!$F:$F,MATCH($F848&amp;"||"&amp;$G848,'Task Master'!$K:$K,0)),"")</f>
        <v/>
      </c>
      <c r="J848" t="str">
        <f>IFERROR(INDEX('Task Master'!$H:$H,MATCH($F848&amp;"||"&amp;$G848,'Task Master'!$K:$K,0)),"")</f>
        <v/>
      </c>
      <c r="N848" s="18" t="str">
        <f t="shared" si="105"/>
        <v/>
      </c>
      <c r="R848" s="18">
        <f t="shared" si="106"/>
        <v>0</v>
      </c>
      <c r="V848" s="18">
        <f t="shared" si="107"/>
        <v>0</v>
      </c>
      <c r="Z848" s="18">
        <f t="shared" si="108"/>
        <v>0</v>
      </c>
      <c r="AA848" s="18"/>
      <c r="AB848" s="18">
        <f t="shared" si="109"/>
        <v>0</v>
      </c>
      <c r="AC848" s="18" t="str">
        <f t="shared" si="110"/>
        <v/>
      </c>
      <c r="AD848" s="18" t="str">
        <f t="shared" si="111"/>
        <v/>
      </c>
      <c r="AF848" t="str">
        <f>IFERROR(INDEX('Task Master'!$D:$D,MATCH($F848,'Task Master'!$C:$C,0)),"")</f>
        <v/>
      </c>
    </row>
    <row r="849" spans="1:32" x14ac:dyDescent="0.25">
      <c r="A849" t="str">
        <f t="shared" si="104"/>
        <v/>
      </c>
      <c r="B849" s="16"/>
      <c r="D849" t="str">
        <f>IF($C849="","",IFERROR(INDEX('Asset Register'!$B:$B,MATCH($C849,'Asset Register'!$A:$A,0)),""))</f>
        <v/>
      </c>
      <c r="H849" t="str">
        <f>IFERROR(INDEX('Task Master'!$E:$E,MATCH($F849&amp;"||"&amp;$G849,'Task Master'!$K:$K,0)),"")</f>
        <v/>
      </c>
      <c r="I849" t="str">
        <f>IFERROR(INDEX('Task Master'!$F:$F,MATCH($F849&amp;"||"&amp;$G849,'Task Master'!$K:$K,0)),"")</f>
        <v/>
      </c>
      <c r="J849" t="str">
        <f>IFERROR(INDEX('Task Master'!$H:$H,MATCH($F849&amp;"||"&amp;$G849,'Task Master'!$K:$K,0)),"")</f>
        <v/>
      </c>
      <c r="N849" s="18" t="str">
        <f t="shared" si="105"/>
        <v/>
      </c>
      <c r="R849" s="18">
        <f t="shared" si="106"/>
        <v>0</v>
      </c>
      <c r="V849" s="18">
        <f t="shared" si="107"/>
        <v>0</v>
      </c>
      <c r="Z849" s="18">
        <f t="shared" si="108"/>
        <v>0</v>
      </c>
      <c r="AA849" s="18"/>
      <c r="AB849" s="18">
        <f t="shared" si="109"/>
        <v>0</v>
      </c>
      <c r="AC849" s="18" t="str">
        <f t="shared" si="110"/>
        <v/>
      </c>
      <c r="AD849" s="18" t="str">
        <f t="shared" si="111"/>
        <v/>
      </c>
      <c r="AF849" t="str">
        <f>IFERROR(INDEX('Task Master'!$D:$D,MATCH($F849,'Task Master'!$C:$C,0)),"")</f>
        <v/>
      </c>
    </row>
    <row r="850" spans="1:32" x14ac:dyDescent="0.25">
      <c r="A850" t="str">
        <f t="shared" si="104"/>
        <v/>
      </c>
      <c r="B850" s="16"/>
      <c r="D850" t="str">
        <f>IF($C850="","",IFERROR(INDEX('Asset Register'!$B:$B,MATCH($C850,'Asset Register'!$A:$A,0)),""))</f>
        <v/>
      </c>
      <c r="H850" t="str">
        <f>IFERROR(INDEX('Task Master'!$E:$E,MATCH($F850&amp;"||"&amp;$G850,'Task Master'!$K:$K,0)),"")</f>
        <v/>
      </c>
      <c r="I850" t="str">
        <f>IFERROR(INDEX('Task Master'!$F:$F,MATCH($F850&amp;"||"&amp;$G850,'Task Master'!$K:$K,0)),"")</f>
        <v/>
      </c>
      <c r="J850" t="str">
        <f>IFERROR(INDEX('Task Master'!$H:$H,MATCH($F850&amp;"||"&amp;$G850,'Task Master'!$K:$K,0)),"")</f>
        <v/>
      </c>
      <c r="N850" s="18" t="str">
        <f t="shared" si="105"/>
        <v/>
      </c>
      <c r="R850" s="18">
        <f t="shared" si="106"/>
        <v>0</v>
      </c>
      <c r="V850" s="18">
        <f t="shared" si="107"/>
        <v>0</v>
      </c>
      <c r="Z850" s="18">
        <f t="shared" si="108"/>
        <v>0</v>
      </c>
      <c r="AA850" s="18"/>
      <c r="AB850" s="18">
        <f t="shared" si="109"/>
        <v>0</v>
      </c>
      <c r="AC850" s="18" t="str">
        <f t="shared" si="110"/>
        <v/>
      </c>
      <c r="AD850" s="18" t="str">
        <f t="shared" si="111"/>
        <v/>
      </c>
      <c r="AF850" t="str">
        <f>IFERROR(INDEX('Task Master'!$D:$D,MATCH($F850,'Task Master'!$C:$C,0)),"")</f>
        <v/>
      </c>
    </row>
    <row r="851" spans="1:32" x14ac:dyDescent="0.25">
      <c r="A851" t="str">
        <f t="shared" si="104"/>
        <v/>
      </c>
      <c r="B851" s="16"/>
      <c r="D851" t="str">
        <f>IF($C851="","",IFERROR(INDEX('Asset Register'!$B:$B,MATCH($C851,'Asset Register'!$A:$A,0)),""))</f>
        <v/>
      </c>
      <c r="H851" t="str">
        <f>IFERROR(INDEX('Task Master'!$E:$E,MATCH($F851&amp;"||"&amp;$G851,'Task Master'!$K:$K,0)),"")</f>
        <v/>
      </c>
      <c r="I851" t="str">
        <f>IFERROR(INDEX('Task Master'!$F:$F,MATCH($F851&amp;"||"&amp;$G851,'Task Master'!$K:$K,0)),"")</f>
        <v/>
      </c>
      <c r="J851" t="str">
        <f>IFERROR(INDEX('Task Master'!$H:$H,MATCH($F851&amp;"||"&amp;$G851,'Task Master'!$K:$K,0)),"")</f>
        <v/>
      </c>
      <c r="N851" s="18" t="str">
        <f t="shared" si="105"/>
        <v/>
      </c>
      <c r="R851" s="18">
        <f t="shared" si="106"/>
        <v>0</v>
      </c>
      <c r="V851" s="18">
        <f t="shared" si="107"/>
        <v>0</v>
      </c>
      <c r="Z851" s="18">
        <f t="shared" si="108"/>
        <v>0</v>
      </c>
      <c r="AA851" s="18"/>
      <c r="AB851" s="18">
        <f t="shared" si="109"/>
        <v>0</v>
      </c>
      <c r="AC851" s="18" t="str">
        <f t="shared" si="110"/>
        <v/>
      </c>
      <c r="AD851" s="18" t="str">
        <f t="shared" si="111"/>
        <v/>
      </c>
      <c r="AF851" t="str">
        <f>IFERROR(INDEX('Task Master'!$D:$D,MATCH($F851,'Task Master'!$C:$C,0)),"")</f>
        <v/>
      </c>
    </row>
    <row r="852" spans="1:32" x14ac:dyDescent="0.25">
      <c r="A852" t="str">
        <f t="shared" si="104"/>
        <v/>
      </c>
      <c r="B852" s="16"/>
      <c r="D852" t="str">
        <f>IF($C852="","",IFERROR(INDEX('Asset Register'!$B:$B,MATCH($C852,'Asset Register'!$A:$A,0)),""))</f>
        <v/>
      </c>
      <c r="H852" t="str">
        <f>IFERROR(INDEX('Task Master'!$E:$E,MATCH($F852&amp;"||"&amp;$G852,'Task Master'!$K:$K,0)),"")</f>
        <v/>
      </c>
      <c r="I852" t="str">
        <f>IFERROR(INDEX('Task Master'!$F:$F,MATCH($F852&amp;"||"&amp;$G852,'Task Master'!$K:$K,0)),"")</f>
        <v/>
      </c>
      <c r="J852" t="str">
        <f>IFERROR(INDEX('Task Master'!$H:$H,MATCH($F852&amp;"||"&amp;$G852,'Task Master'!$K:$K,0)),"")</f>
        <v/>
      </c>
      <c r="N852" s="18" t="str">
        <f t="shared" si="105"/>
        <v/>
      </c>
      <c r="R852" s="18">
        <f t="shared" si="106"/>
        <v>0</v>
      </c>
      <c r="V852" s="18">
        <f t="shared" si="107"/>
        <v>0</v>
      </c>
      <c r="Z852" s="18">
        <f t="shared" si="108"/>
        <v>0</v>
      </c>
      <c r="AA852" s="18"/>
      <c r="AB852" s="18">
        <f t="shared" si="109"/>
        <v>0</v>
      </c>
      <c r="AC852" s="18" t="str">
        <f t="shared" si="110"/>
        <v/>
      </c>
      <c r="AD852" s="18" t="str">
        <f t="shared" si="111"/>
        <v/>
      </c>
      <c r="AF852" t="str">
        <f>IFERROR(INDEX('Task Master'!$D:$D,MATCH($F852,'Task Master'!$C:$C,0)),"")</f>
        <v/>
      </c>
    </row>
    <row r="853" spans="1:32" x14ac:dyDescent="0.25">
      <c r="A853" t="str">
        <f t="shared" si="104"/>
        <v/>
      </c>
      <c r="B853" s="16"/>
      <c r="D853" t="str">
        <f>IF($C853="","",IFERROR(INDEX('Asset Register'!$B:$B,MATCH($C853,'Asset Register'!$A:$A,0)),""))</f>
        <v/>
      </c>
      <c r="H853" t="str">
        <f>IFERROR(INDEX('Task Master'!$E:$E,MATCH($F853&amp;"||"&amp;$G853,'Task Master'!$K:$K,0)),"")</f>
        <v/>
      </c>
      <c r="I853" t="str">
        <f>IFERROR(INDEX('Task Master'!$F:$F,MATCH($F853&amp;"||"&amp;$G853,'Task Master'!$K:$K,0)),"")</f>
        <v/>
      </c>
      <c r="J853" t="str">
        <f>IFERROR(INDEX('Task Master'!$H:$H,MATCH($F853&amp;"||"&amp;$G853,'Task Master'!$K:$K,0)),"")</f>
        <v/>
      </c>
      <c r="N853" s="18" t="str">
        <f t="shared" si="105"/>
        <v/>
      </c>
      <c r="R853" s="18">
        <f t="shared" si="106"/>
        <v>0</v>
      </c>
      <c r="V853" s="18">
        <f t="shared" si="107"/>
        <v>0</v>
      </c>
      <c r="Z853" s="18">
        <f t="shared" si="108"/>
        <v>0</v>
      </c>
      <c r="AA853" s="18"/>
      <c r="AB853" s="18">
        <f t="shared" si="109"/>
        <v>0</v>
      </c>
      <c r="AC853" s="18" t="str">
        <f t="shared" si="110"/>
        <v/>
      </c>
      <c r="AD853" s="18" t="str">
        <f t="shared" si="111"/>
        <v/>
      </c>
      <c r="AF853" t="str">
        <f>IFERROR(INDEX('Task Master'!$D:$D,MATCH($F853,'Task Master'!$C:$C,0)),"")</f>
        <v/>
      </c>
    </row>
    <row r="854" spans="1:32" x14ac:dyDescent="0.25">
      <c r="A854" t="str">
        <f t="shared" si="104"/>
        <v/>
      </c>
      <c r="B854" s="16"/>
      <c r="D854" t="str">
        <f>IF($C854="","",IFERROR(INDEX('Asset Register'!$B:$B,MATCH($C854,'Asset Register'!$A:$A,0)),""))</f>
        <v/>
      </c>
      <c r="H854" t="str">
        <f>IFERROR(INDEX('Task Master'!$E:$E,MATCH($F854&amp;"||"&amp;$G854,'Task Master'!$K:$K,0)),"")</f>
        <v/>
      </c>
      <c r="I854" t="str">
        <f>IFERROR(INDEX('Task Master'!$F:$F,MATCH($F854&amp;"||"&amp;$G854,'Task Master'!$K:$K,0)),"")</f>
        <v/>
      </c>
      <c r="J854" t="str">
        <f>IFERROR(INDEX('Task Master'!$H:$H,MATCH($F854&amp;"||"&amp;$G854,'Task Master'!$K:$K,0)),"")</f>
        <v/>
      </c>
      <c r="N854" s="18" t="str">
        <f t="shared" si="105"/>
        <v/>
      </c>
      <c r="R854" s="18">
        <f t="shared" si="106"/>
        <v>0</v>
      </c>
      <c r="V854" s="18">
        <f t="shared" si="107"/>
        <v>0</v>
      </c>
      <c r="Z854" s="18">
        <f t="shared" si="108"/>
        <v>0</v>
      </c>
      <c r="AA854" s="18"/>
      <c r="AB854" s="18">
        <f t="shared" si="109"/>
        <v>0</v>
      </c>
      <c r="AC854" s="18" t="str">
        <f t="shared" si="110"/>
        <v/>
      </c>
      <c r="AD854" s="18" t="str">
        <f t="shared" si="111"/>
        <v/>
      </c>
      <c r="AF854" t="str">
        <f>IFERROR(INDEX('Task Master'!$D:$D,MATCH($F854,'Task Master'!$C:$C,0)),"")</f>
        <v/>
      </c>
    </row>
    <row r="855" spans="1:32" x14ac:dyDescent="0.25">
      <c r="A855" t="str">
        <f t="shared" si="104"/>
        <v/>
      </c>
      <c r="B855" s="16"/>
      <c r="D855" t="str">
        <f>IF($C855="","",IFERROR(INDEX('Asset Register'!$B:$B,MATCH($C855,'Asset Register'!$A:$A,0)),""))</f>
        <v/>
      </c>
      <c r="H855" t="str">
        <f>IFERROR(INDEX('Task Master'!$E:$E,MATCH($F855&amp;"||"&amp;$G855,'Task Master'!$K:$K,0)),"")</f>
        <v/>
      </c>
      <c r="I855" t="str">
        <f>IFERROR(INDEX('Task Master'!$F:$F,MATCH($F855&amp;"||"&amp;$G855,'Task Master'!$K:$K,0)),"")</f>
        <v/>
      </c>
      <c r="J855" t="str">
        <f>IFERROR(INDEX('Task Master'!$H:$H,MATCH($F855&amp;"||"&amp;$G855,'Task Master'!$K:$K,0)),"")</f>
        <v/>
      </c>
      <c r="N855" s="18" t="str">
        <f t="shared" si="105"/>
        <v/>
      </c>
      <c r="R855" s="18">
        <f t="shared" si="106"/>
        <v>0</v>
      </c>
      <c r="V855" s="18">
        <f t="shared" si="107"/>
        <v>0</v>
      </c>
      <c r="Z855" s="18">
        <f t="shared" si="108"/>
        <v>0</v>
      </c>
      <c r="AA855" s="18"/>
      <c r="AB855" s="18">
        <f t="shared" si="109"/>
        <v>0</v>
      </c>
      <c r="AC855" s="18" t="str">
        <f t="shared" si="110"/>
        <v/>
      </c>
      <c r="AD855" s="18" t="str">
        <f t="shared" si="111"/>
        <v/>
      </c>
      <c r="AF855" t="str">
        <f>IFERROR(INDEX('Task Master'!$D:$D,MATCH($F855,'Task Master'!$C:$C,0)),"")</f>
        <v/>
      </c>
    </row>
    <row r="856" spans="1:32" x14ac:dyDescent="0.25">
      <c r="A856" t="str">
        <f t="shared" si="104"/>
        <v/>
      </c>
      <c r="B856" s="16"/>
      <c r="D856" t="str">
        <f>IF($C856="","",IFERROR(INDEX('Asset Register'!$B:$B,MATCH($C856,'Asset Register'!$A:$A,0)),""))</f>
        <v/>
      </c>
      <c r="H856" t="str">
        <f>IFERROR(INDEX('Task Master'!$E:$E,MATCH($F856&amp;"||"&amp;$G856,'Task Master'!$K:$K,0)),"")</f>
        <v/>
      </c>
      <c r="I856" t="str">
        <f>IFERROR(INDEX('Task Master'!$F:$F,MATCH($F856&amp;"||"&amp;$G856,'Task Master'!$K:$K,0)),"")</f>
        <v/>
      </c>
      <c r="J856" t="str">
        <f>IFERROR(INDEX('Task Master'!$H:$H,MATCH($F856&amp;"||"&amp;$G856,'Task Master'!$K:$K,0)),"")</f>
        <v/>
      </c>
      <c r="N856" s="18" t="str">
        <f t="shared" si="105"/>
        <v/>
      </c>
      <c r="R856" s="18">
        <f t="shared" si="106"/>
        <v>0</v>
      </c>
      <c r="V856" s="18">
        <f t="shared" si="107"/>
        <v>0</v>
      </c>
      <c r="Z856" s="18">
        <f t="shared" si="108"/>
        <v>0</v>
      </c>
      <c r="AA856" s="18"/>
      <c r="AB856" s="18">
        <f t="shared" si="109"/>
        <v>0</v>
      </c>
      <c r="AC856" s="18" t="str">
        <f t="shared" si="110"/>
        <v/>
      </c>
      <c r="AD856" s="18" t="str">
        <f t="shared" si="111"/>
        <v/>
      </c>
      <c r="AF856" t="str">
        <f>IFERROR(INDEX('Task Master'!$D:$D,MATCH($F856,'Task Master'!$C:$C,0)),"")</f>
        <v/>
      </c>
    </row>
    <row r="857" spans="1:32" x14ac:dyDescent="0.25">
      <c r="A857" t="str">
        <f t="shared" si="104"/>
        <v/>
      </c>
      <c r="B857" s="16"/>
      <c r="D857" t="str">
        <f>IF($C857="","",IFERROR(INDEX('Asset Register'!$B:$B,MATCH($C857,'Asset Register'!$A:$A,0)),""))</f>
        <v/>
      </c>
      <c r="H857" t="str">
        <f>IFERROR(INDEX('Task Master'!$E:$E,MATCH($F857&amp;"||"&amp;$G857,'Task Master'!$K:$K,0)),"")</f>
        <v/>
      </c>
      <c r="I857" t="str">
        <f>IFERROR(INDEX('Task Master'!$F:$F,MATCH($F857&amp;"||"&amp;$G857,'Task Master'!$K:$K,0)),"")</f>
        <v/>
      </c>
      <c r="J857" t="str">
        <f>IFERROR(INDEX('Task Master'!$H:$H,MATCH($F857&amp;"||"&amp;$G857,'Task Master'!$K:$K,0)),"")</f>
        <v/>
      </c>
      <c r="N857" s="18" t="str">
        <f t="shared" si="105"/>
        <v/>
      </c>
      <c r="R857" s="18">
        <f t="shared" si="106"/>
        <v>0</v>
      </c>
      <c r="V857" s="18">
        <f t="shared" si="107"/>
        <v>0</v>
      </c>
      <c r="Z857" s="18">
        <f t="shared" si="108"/>
        <v>0</v>
      </c>
      <c r="AA857" s="18"/>
      <c r="AB857" s="18">
        <f t="shared" si="109"/>
        <v>0</v>
      </c>
      <c r="AC857" s="18" t="str">
        <f t="shared" si="110"/>
        <v/>
      </c>
      <c r="AD857" s="18" t="str">
        <f t="shared" si="111"/>
        <v/>
      </c>
      <c r="AF857" t="str">
        <f>IFERROR(INDEX('Task Master'!$D:$D,MATCH($F857,'Task Master'!$C:$C,0)),"")</f>
        <v/>
      </c>
    </row>
    <row r="858" spans="1:32" x14ac:dyDescent="0.25">
      <c r="A858" t="str">
        <f t="shared" si="104"/>
        <v/>
      </c>
      <c r="B858" s="16"/>
      <c r="D858" t="str">
        <f>IF($C858="","",IFERROR(INDEX('Asset Register'!$B:$B,MATCH($C858,'Asset Register'!$A:$A,0)),""))</f>
        <v/>
      </c>
      <c r="H858" t="str">
        <f>IFERROR(INDEX('Task Master'!$E:$E,MATCH($F858&amp;"||"&amp;$G858,'Task Master'!$K:$K,0)),"")</f>
        <v/>
      </c>
      <c r="I858" t="str">
        <f>IFERROR(INDEX('Task Master'!$F:$F,MATCH($F858&amp;"||"&amp;$G858,'Task Master'!$K:$K,0)),"")</f>
        <v/>
      </c>
      <c r="J858" t="str">
        <f>IFERROR(INDEX('Task Master'!$H:$H,MATCH($F858&amp;"||"&amp;$G858,'Task Master'!$K:$K,0)),"")</f>
        <v/>
      </c>
      <c r="N858" s="18" t="str">
        <f t="shared" si="105"/>
        <v/>
      </c>
      <c r="R858" s="18">
        <f t="shared" si="106"/>
        <v>0</v>
      </c>
      <c r="V858" s="18">
        <f t="shared" si="107"/>
        <v>0</v>
      </c>
      <c r="Z858" s="18">
        <f t="shared" si="108"/>
        <v>0</v>
      </c>
      <c r="AA858" s="18"/>
      <c r="AB858" s="18">
        <f t="shared" si="109"/>
        <v>0</v>
      </c>
      <c r="AC858" s="18" t="str">
        <f t="shared" si="110"/>
        <v/>
      </c>
      <c r="AD858" s="18" t="str">
        <f t="shared" si="111"/>
        <v/>
      </c>
      <c r="AF858" t="str">
        <f>IFERROR(INDEX('Task Master'!$D:$D,MATCH($F858,'Task Master'!$C:$C,0)),"")</f>
        <v/>
      </c>
    </row>
    <row r="859" spans="1:32" x14ac:dyDescent="0.25">
      <c r="A859" t="str">
        <f t="shared" si="104"/>
        <v/>
      </c>
      <c r="B859" s="16"/>
      <c r="D859" t="str">
        <f>IF($C859="","",IFERROR(INDEX('Asset Register'!$B:$B,MATCH($C859,'Asset Register'!$A:$A,0)),""))</f>
        <v/>
      </c>
      <c r="H859" t="str">
        <f>IFERROR(INDEX('Task Master'!$E:$E,MATCH($F859&amp;"||"&amp;$G859,'Task Master'!$K:$K,0)),"")</f>
        <v/>
      </c>
      <c r="I859" t="str">
        <f>IFERROR(INDEX('Task Master'!$F:$F,MATCH($F859&amp;"||"&amp;$G859,'Task Master'!$K:$K,0)),"")</f>
        <v/>
      </c>
      <c r="J859" t="str">
        <f>IFERROR(INDEX('Task Master'!$H:$H,MATCH($F859&amp;"||"&amp;$G859,'Task Master'!$K:$K,0)),"")</f>
        <v/>
      </c>
      <c r="N859" s="18" t="str">
        <f t="shared" si="105"/>
        <v/>
      </c>
      <c r="R859" s="18">
        <f t="shared" si="106"/>
        <v>0</v>
      </c>
      <c r="V859" s="18">
        <f t="shared" si="107"/>
        <v>0</v>
      </c>
      <c r="Z859" s="18">
        <f t="shared" si="108"/>
        <v>0</v>
      </c>
      <c r="AA859" s="18"/>
      <c r="AB859" s="18">
        <f t="shared" si="109"/>
        <v>0</v>
      </c>
      <c r="AC859" s="18" t="str">
        <f t="shared" si="110"/>
        <v/>
      </c>
      <c r="AD859" s="18" t="str">
        <f t="shared" si="111"/>
        <v/>
      </c>
      <c r="AF859" t="str">
        <f>IFERROR(INDEX('Task Master'!$D:$D,MATCH($F859,'Task Master'!$C:$C,0)),"")</f>
        <v/>
      </c>
    </row>
    <row r="860" spans="1:32" x14ac:dyDescent="0.25">
      <c r="A860" t="str">
        <f t="shared" si="104"/>
        <v/>
      </c>
      <c r="B860" s="16"/>
      <c r="D860" t="str">
        <f>IF($C860="","",IFERROR(INDEX('Asset Register'!$B:$B,MATCH($C860,'Asset Register'!$A:$A,0)),""))</f>
        <v/>
      </c>
      <c r="H860" t="str">
        <f>IFERROR(INDEX('Task Master'!$E:$E,MATCH($F860&amp;"||"&amp;$G860,'Task Master'!$K:$K,0)),"")</f>
        <v/>
      </c>
      <c r="I860" t="str">
        <f>IFERROR(INDEX('Task Master'!$F:$F,MATCH($F860&amp;"||"&amp;$G860,'Task Master'!$K:$K,0)),"")</f>
        <v/>
      </c>
      <c r="J860" t="str">
        <f>IFERROR(INDEX('Task Master'!$H:$H,MATCH($F860&amp;"||"&amp;$G860,'Task Master'!$K:$K,0)),"")</f>
        <v/>
      </c>
      <c r="N860" s="18" t="str">
        <f t="shared" si="105"/>
        <v/>
      </c>
      <c r="R860" s="18">
        <f t="shared" si="106"/>
        <v>0</v>
      </c>
      <c r="V860" s="18">
        <f t="shared" si="107"/>
        <v>0</v>
      </c>
      <c r="Z860" s="18">
        <f t="shared" si="108"/>
        <v>0</v>
      </c>
      <c r="AA860" s="18"/>
      <c r="AB860" s="18">
        <f t="shared" si="109"/>
        <v>0</v>
      </c>
      <c r="AC860" s="18" t="str">
        <f t="shared" si="110"/>
        <v/>
      </c>
      <c r="AD860" s="18" t="str">
        <f t="shared" si="111"/>
        <v/>
      </c>
      <c r="AF860" t="str">
        <f>IFERROR(INDEX('Task Master'!$D:$D,MATCH($F860,'Task Master'!$C:$C,0)),"")</f>
        <v/>
      </c>
    </row>
    <row r="861" spans="1:32" x14ac:dyDescent="0.25">
      <c r="A861" t="str">
        <f t="shared" si="104"/>
        <v/>
      </c>
      <c r="B861" s="16"/>
      <c r="D861" t="str">
        <f>IF($C861="","",IFERROR(INDEX('Asset Register'!$B:$B,MATCH($C861,'Asset Register'!$A:$A,0)),""))</f>
        <v/>
      </c>
      <c r="H861" t="str">
        <f>IFERROR(INDEX('Task Master'!$E:$E,MATCH($F861&amp;"||"&amp;$G861,'Task Master'!$K:$K,0)),"")</f>
        <v/>
      </c>
      <c r="I861" t="str">
        <f>IFERROR(INDEX('Task Master'!$F:$F,MATCH($F861&amp;"||"&amp;$G861,'Task Master'!$K:$K,0)),"")</f>
        <v/>
      </c>
      <c r="J861" t="str">
        <f>IFERROR(INDEX('Task Master'!$H:$H,MATCH($F861&amp;"||"&amp;$G861,'Task Master'!$K:$K,0)),"")</f>
        <v/>
      </c>
      <c r="N861" s="18" t="str">
        <f t="shared" si="105"/>
        <v/>
      </c>
      <c r="R861" s="18">
        <f t="shared" si="106"/>
        <v>0</v>
      </c>
      <c r="V861" s="18">
        <f t="shared" si="107"/>
        <v>0</v>
      </c>
      <c r="Z861" s="18">
        <f t="shared" si="108"/>
        <v>0</v>
      </c>
      <c r="AA861" s="18"/>
      <c r="AB861" s="18">
        <f t="shared" si="109"/>
        <v>0</v>
      </c>
      <c r="AC861" s="18" t="str">
        <f t="shared" si="110"/>
        <v/>
      </c>
      <c r="AD861" s="18" t="str">
        <f t="shared" si="111"/>
        <v/>
      </c>
      <c r="AF861" t="str">
        <f>IFERROR(INDEX('Task Master'!$D:$D,MATCH($F861,'Task Master'!$C:$C,0)),"")</f>
        <v/>
      </c>
    </row>
    <row r="862" spans="1:32" x14ac:dyDescent="0.25">
      <c r="A862" t="str">
        <f t="shared" si="104"/>
        <v/>
      </c>
      <c r="B862" s="16"/>
      <c r="D862" t="str">
        <f>IF($C862="","",IFERROR(INDEX('Asset Register'!$B:$B,MATCH($C862,'Asset Register'!$A:$A,0)),""))</f>
        <v/>
      </c>
      <c r="H862" t="str">
        <f>IFERROR(INDEX('Task Master'!$E:$E,MATCH($F862&amp;"||"&amp;$G862,'Task Master'!$K:$K,0)),"")</f>
        <v/>
      </c>
      <c r="I862" t="str">
        <f>IFERROR(INDEX('Task Master'!$F:$F,MATCH($F862&amp;"||"&amp;$G862,'Task Master'!$K:$K,0)),"")</f>
        <v/>
      </c>
      <c r="J862" t="str">
        <f>IFERROR(INDEX('Task Master'!$H:$H,MATCH($F862&amp;"||"&amp;$G862,'Task Master'!$K:$K,0)),"")</f>
        <v/>
      </c>
      <c r="N862" s="18" t="str">
        <f t="shared" si="105"/>
        <v/>
      </c>
      <c r="R862" s="18">
        <f t="shared" si="106"/>
        <v>0</v>
      </c>
      <c r="V862" s="18">
        <f t="shared" si="107"/>
        <v>0</v>
      </c>
      <c r="Z862" s="18">
        <f t="shared" si="108"/>
        <v>0</v>
      </c>
      <c r="AA862" s="18"/>
      <c r="AB862" s="18">
        <f t="shared" si="109"/>
        <v>0</v>
      </c>
      <c r="AC862" s="18" t="str">
        <f t="shared" si="110"/>
        <v/>
      </c>
      <c r="AD862" s="18" t="str">
        <f t="shared" si="111"/>
        <v/>
      </c>
      <c r="AF862" t="str">
        <f>IFERROR(INDEX('Task Master'!$D:$D,MATCH($F862,'Task Master'!$C:$C,0)),"")</f>
        <v/>
      </c>
    </row>
    <row r="863" spans="1:32" x14ac:dyDescent="0.25">
      <c r="A863" t="str">
        <f t="shared" si="104"/>
        <v/>
      </c>
      <c r="B863" s="16"/>
      <c r="D863" t="str">
        <f>IF($C863="","",IFERROR(INDEX('Asset Register'!$B:$B,MATCH($C863,'Asset Register'!$A:$A,0)),""))</f>
        <v/>
      </c>
      <c r="H863" t="str">
        <f>IFERROR(INDEX('Task Master'!$E:$E,MATCH($F863&amp;"||"&amp;$G863,'Task Master'!$K:$K,0)),"")</f>
        <v/>
      </c>
      <c r="I863" t="str">
        <f>IFERROR(INDEX('Task Master'!$F:$F,MATCH($F863&amp;"||"&amp;$G863,'Task Master'!$K:$K,0)),"")</f>
        <v/>
      </c>
      <c r="J863" t="str">
        <f>IFERROR(INDEX('Task Master'!$H:$H,MATCH($F863&amp;"||"&amp;$G863,'Task Master'!$K:$K,0)),"")</f>
        <v/>
      </c>
      <c r="N863" s="18" t="str">
        <f t="shared" si="105"/>
        <v/>
      </c>
      <c r="R863" s="18">
        <f t="shared" si="106"/>
        <v>0</v>
      </c>
      <c r="V863" s="18">
        <f t="shared" si="107"/>
        <v>0</v>
      </c>
      <c r="Z863" s="18">
        <f t="shared" si="108"/>
        <v>0</v>
      </c>
      <c r="AA863" s="18"/>
      <c r="AB863" s="18">
        <f t="shared" si="109"/>
        <v>0</v>
      </c>
      <c r="AC863" s="18" t="str">
        <f t="shared" si="110"/>
        <v/>
      </c>
      <c r="AD863" s="18" t="str">
        <f t="shared" si="111"/>
        <v/>
      </c>
      <c r="AF863" t="str">
        <f>IFERROR(INDEX('Task Master'!$D:$D,MATCH($F863,'Task Master'!$C:$C,0)),"")</f>
        <v/>
      </c>
    </row>
    <row r="864" spans="1:32" x14ac:dyDescent="0.25">
      <c r="A864" t="str">
        <f t="shared" si="104"/>
        <v/>
      </c>
      <c r="B864" s="16"/>
      <c r="D864" t="str">
        <f>IF($C864="","",IFERROR(INDEX('Asset Register'!$B:$B,MATCH($C864,'Asset Register'!$A:$A,0)),""))</f>
        <v/>
      </c>
      <c r="H864" t="str">
        <f>IFERROR(INDEX('Task Master'!$E:$E,MATCH($F864&amp;"||"&amp;$G864,'Task Master'!$K:$K,0)),"")</f>
        <v/>
      </c>
      <c r="I864" t="str">
        <f>IFERROR(INDEX('Task Master'!$F:$F,MATCH($F864&amp;"||"&amp;$G864,'Task Master'!$K:$K,0)),"")</f>
        <v/>
      </c>
      <c r="J864" t="str">
        <f>IFERROR(INDEX('Task Master'!$H:$H,MATCH($F864&amp;"||"&amp;$G864,'Task Master'!$K:$K,0)),"")</f>
        <v/>
      </c>
      <c r="N864" s="18" t="str">
        <f t="shared" si="105"/>
        <v/>
      </c>
      <c r="R864" s="18">
        <f t="shared" si="106"/>
        <v>0</v>
      </c>
      <c r="V864" s="18">
        <f t="shared" si="107"/>
        <v>0</v>
      </c>
      <c r="Z864" s="18">
        <f t="shared" si="108"/>
        <v>0</v>
      </c>
      <c r="AA864" s="18"/>
      <c r="AB864" s="18">
        <f t="shared" si="109"/>
        <v>0</v>
      </c>
      <c r="AC864" s="18" t="str">
        <f t="shared" si="110"/>
        <v/>
      </c>
      <c r="AD864" s="18" t="str">
        <f t="shared" si="111"/>
        <v/>
      </c>
      <c r="AF864" t="str">
        <f>IFERROR(INDEX('Task Master'!$D:$D,MATCH($F864,'Task Master'!$C:$C,0)),"")</f>
        <v/>
      </c>
    </row>
    <row r="865" spans="1:32" x14ac:dyDescent="0.25">
      <c r="A865" t="str">
        <f t="shared" si="104"/>
        <v/>
      </c>
      <c r="B865" s="16"/>
      <c r="D865" t="str">
        <f>IF($C865="","",IFERROR(INDEX('Asset Register'!$B:$B,MATCH($C865,'Asset Register'!$A:$A,0)),""))</f>
        <v/>
      </c>
      <c r="H865" t="str">
        <f>IFERROR(INDEX('Task Master'!$E:$E,MATCH($F865&amp;"||"&amp;$G865,'Task Master'!$K:$K,0)),"")</f>
        <v/>
      </c>
      <c r="I865" t="str">
        <f>IFERROR(INDEX('Task Master'!$F:$F,MATCH($F865&amp;"||"&amp;$G865,'Task Master'!$K:$K,0)),"")</f>
        <v/>
      </c>
      <c r="J865" t="str">
        <f>IFERROR(INDEX('Task Master'!$H:$H,MATCH($F865&amp;"||"&amp;$G865,'Task Master'!$K:$K,0)),"")</f>
        <v/>
      </c>
      <c r="N865" s="18" t="str">
        <f t="shared" si="105"/>
        <v/>
      </c>
      <c r="R865" s="18">
        <f t="shared" si="106"/>
        <v>0</v>
      </c>
      <c r="V865" s="18">
        <f t="shared" si="107"/>
        <v>0</v>
      </c>
      <c r="Z865" s="18">
        <f t="shared" si="108"/>
        <v>0</v>
      </c>
      <c r="AA865" s="18"/>
      <c r="AB865" s="18">
        <f t="shared" si="109"/>
        <v>0</v>
      </c>
      <c r="AC865" s="18" t="str">
        <f t="shared" si="110"/>
        <v/>
      </c>
      <c r="AD865" s="18" t="str">
        <f t="shared" si="111"/>
        <v/>
      </c>
      <c r="AF865" t="str">
        <f>IFERROR(INDEX('Task Master'!$D:$D,MATCH($F865,'Task Master'!$C:$C,0)),"")</f>
        <v/>
      </c>
    </row>
    <row r="866" spans="1:32" x14ac:dyDescent="0.25">
      <c r="A866" t="str">
        <f t="shared" si="104"/>
        <v/>
      </c>
      <c r="B866" s="16"/>
      <c r="D866" t="str">
        <f>IF($C866="","",IFERROR(INDEX('Asset Register'!$B:$B,MATCH($C866,'Asset Register'!$A:$A,0)),""))</f>
        <v/>
      </c>
      <c r="H866" t="str">
        <f>IFERROR(INDEX('Task Master'!$E:$E,MATCH($F866&amp;"||"&amp;$G866,'Task Master'!$K:$K,0)),"")</f>
        <v/>
      </c>
      <c r="I866" t="str">
        <f>IFERROR(INDEX('Task Master'!$F:$F,MATCH($F866&amp;"||"&amp;$G866,'Task Master'!$K:$K,0)),"")</f>
        <v/>
      </c>
      <c r="J866" t="str">
        <f>IFERROR(INDEX('Task Master'!$H:$H,MATCH($F866&amp;"||"&amp;$G866,'Task Master'!$K:$K,0)),"")</f>
        <v/>
      </c>
      <c r="N866" s="18" t="str">
        <f t="shared" si="105"/>
        <v/>
      </c>
      <c r="R866" s="18">
        <f t="shared" si="106"/>
        <v>0</v>
      </c>
      <c r="V866" s="18">
        <f t="shared" si="107"/>
        <v>0</v>
      </c>
      <c r="Z866" s="18">
        <f t="shared" si="108"/>
        <v>0</v>
      </c>
      <c r="AA866" s="18"/>
      <c r="AB866" s="18">
        <f t="shared" si="109"/>
        <v>0</v>
      </c>
      <c r="AC866" s="18" t="str">
        <f t="shared" si="110"/>
        <v/>
      </c>
      <c r="AD866" s="18" t="str">
        <f t="shared" si="111"/>
        <v/>
      </c>
      <c r="AF866" t="str">
        <f>IFERROR(INDEX('Task Master'!$D:$D,MATCH($F866,'Task Master'!$C:$C,0)),"")</f>
        <v/>
      </c>
    </row>
    <row r="867" spans="1:32" x14ac:dyDescent="0.25">
      <c r="A867" t="str">
        <f t="shared" si="104"/>
        <v/>
      </c>
      <c r="B867" s="16"/>
      <c r="D867" t="str">
        <f>IF($C867="","",IFERROR(INDEX('Asset Register'!$B:$B,MATCH($C867,'Asset Register'!$A:$A,0)),""))</f>
        <v/>
      </c>
      <c r="H867" t="str">
        <f>IFERROR(INDEX('Task Master'!$E:$E,MATCH($F867&amp;"||"&amp;$G867,'Task Master'!$K:$K,0)),"")</f>
        <v/>
      </c>
      <c r="I867" t="str">
        <f>IFERROR(INDEX('Task Master'!$F:$F,MATCH($F867&amp;"||"&amp;$G867,'Task Master'!$K:$K,0)),"")</f>
        <v/>
      </c>
      <c r="J867" t="str">
        <f>IFERROR(INDEX('Task Master'!$H:$H,MATCH($F867&amp;"||"&amp;$G867,'Task Master'!$K:$K,0)),"")</f>
        <v/>
      </c>
      <c r="N867" s="18" t="str">
        <f t="shared" si="105"/>
        <v/>
      </c>
      <c r="R867" s="18">
        <f t="shared" si="106"/>
        <v>0</v>
      </c>
      <c r="V867" s="18">
        <f t="shared" si="107"/>
        <v>0</v>
      </c>
      <c r="Z867" s="18">
        <f t="shared" si="108"/>
        <v>0</v>
      </c>
      <c r="AA867" s="18"/>
      <c r="AB867" s="18">
        <f t="shared" si="109"/>
        <v>0</v>
      </c>
      <c r="AC867" s="18" t="str">
        <f t="shared" si="110"/>
        <v/>
      </c>
      <c r="AD867" s="18" t="str">
        <f t="shared" si="111"/>
        <v/>
      </c>
      <c r="AF867" t="str">
        <f>IFERROR(INDEX('Task Master'!$D:$D,MATCH($F867,'Task Master'!$C:$C,0)),"")</f>
        <v/>
      </c>
    </row>
    <row r="868" spans="1:32" x14ac:dyDescent="0.25">
      <c r="A868" t="str">
        <f t="shared" si="104"/>
        <v/>
      </c>
      <c r="B868" s="16"/>
      <c r="D868" t="str">
        <f>IF($C868="","",IFERROR(INDEX('Asset Register'!$B:$B,MATCH($C868,'Asset Register'!$A:$A,0)),""))</f>
        <v/>
      </c>
      <c r="H868" t="str">
        <f>IFERROR(INDEX('Task Master'!$E:$E,MATCH($F868&amp;"||"&amp;$G868,'Task Master'!$K:$K,0)),"")</f>
        <v/>
      </c>
      <c r="I868" t="str">
        <f>IFERROR(INDEX('Task Master'!$F:$F,MATCH($F868&amp;"||"&amp;$G868,'Task Master'!$K:$K,0)),"")</f>
        <v/>
      </c>
      <c r="J868" t="str">
        <f>IFERROR(INDEX('Task Master'!$H:$H,MATCH($F868&amp;"||"&amp;$G868,'Task Master'!$K:$K,0)),"")</f>
        <v/>
      </c>
      <c r="N868" s="18" t="str">
        <f t="shared" si="105"/>
        <v/>
      </c>
      <c r="R868" s="18">
        <f t="shared" si="106"/>
        <v>0</v>
      </c>
      <c r="V868" s="18">
        <f t="shared" si="107"/>
        <v>0</v>
      </c>
      <c r="Z868" s="18">
        <f t="shared" si="108"/>
        <v>0</v>
      </c>
      <c r="AA868" s="18"/>
      <c r="AB868" s="18">
        <f t="shared" si="109"/>
        <v>0</v>
      </c>
      <c r="AC868" s="18" t="str">
        <f t="shared" si="110"/>
        <v/>
      </c>
      <c r="AD868" s="18" t="str">
        <f t="shared" si="111"/>
        <v/>
      </c>
      <c r="AF868" t="str">
        <f>IFERROR(INDEX('Task Master'!$D:$D,MATCH($F868,'Task Master'!$C:$C,0)),"")</f>
        <v/>
      </c>
    </row>
    <row r="869" spans="1:32" x14ac:dyDescent="0.25">
      <c r="A869" t="str">
        <f t="shared" si="104"/>
        <v/>
      </c>
      <c r="B869" s="16"/>
      <c r="D869" t="str">
        <f>IF($C869="","",IFERROR(INDEX('Asset Register'!$B:$B,MATCH($C869,'Asset Register'!$A:$A,0)),""))</f>
        <v/>
      </c>
      <c r="H869" t="str">
        <f>IFERROR(INDEX('Task Master'!$E:$E,MATCH($F869&amp;"||"&amp;$G869,'Task Master'!$K:$K,0)),"")</f>
        <v/>
      </c>
      <c r="I869" t="str">
        <f>IFERROR(INDEX('Task Master'!$F:$F,MATCH($F869&amp;"||"&amp;$G869,'Task Master'!$K:$K,0)),"")</f>
        <v/>
      </c>
      <c r="J869" t="str">
        <f>IFERROR(INDEX('Task Master'!$H:$H,MATCH($F869&amp;"||"&amp;$G869,'Task Master'!$K:$K,0)),"")</f>
        <v/>
      </c>
      <c r="N869" s="18" t="str">
        <f t="shared" si="105"/>
        <v/>
      </c>
      <c r="R869" s="18">
        <f t="shared" si="106"/>
        <v>0</v>
      </c>
      <c r="V869" s="18">
        <f t="shared" si="107"/>
        <v>0</v>
      </c>
      <c r="Z869" s="18">
        <f t="shared" si="108"/>
        <v>0</v>
      </c>
      <c r="AA869" s="18"/>
      <c r="AB869" s="18">
        <f t="shared" si="109"/>
        <v>0</v>
      </c>
      <c r="AC869" s="18" t="str">
        <f t="shared" si="110"/>
        <v/>
      </c>
      <c r="AD869" s="18" t="str">
        <f t="shared" si="111"/>
        <v/>
      </c>
      <c r="AF869" t="str">
        <f>IFERROR(INDEX('Task Master'!$D:$D,MATCH($F869,'Task Master'!$C:$C,0)),"")</f>
        <v/>
      </c>
    </row>
    <row r="870" spans="1:32" x14ac:dyDescent="0.25">
      <c r="A870" t="str">
        <f t="shared" si="104"/>
        <v/>
      </c>
      <c r="B870" s="16"/>
      <c r="D870" t="str">
        <f>IF($C870="","",IFERROR(INDEX('Asset Register'!$B:$B,MATCH($C870,'Asset Register'!$A:$A,0)),""))</f>
        <v/>
      </c>
      <c r="H870" t="str">
        <f>IFERROR(INDEX('Task Master'!$E:$E,MATCH($F870&amp;"||"&amp;$G870,'Task Master'!$K:$K,0)),"")</f>
        <v/>
      </c>
      <c r="I870" t="str">
        <f>IFERROR(INDEX('Task Master'!$F:$F,MATCH($F870&amp;"||"&amp;$G870,'Task Master'!$K:$K,0)),"")</f>
        <v/>
      </c>
      <c r="J870" t="str">
        <f>IFERROR(INDEX('Task Master'!$H:$H,MATCH($F870&amp;"||"&amp;$G870,'Task Master'!$K:$K,0)),"")</f>
        <v/>
      </c>
      <c r="N870" s="18" t="str">
        <f t="shared" si="105"/>
        <v/>
      </c>
      <c r="R870" s="18">
        <f t="shared" si="106"/>
        <v>0</v>
      </c>
      <c r="V870" s="18">
        <f t="shared" si="107"/>
        <v>0</v>
      </c>
      <c r="Z870" s="18">
        <f t="shared" si="108"/>
        <v>0</v>
      </c>
      <c r="AA870" s="18"/>
      <c r="AB870" s="18">
        <f t="shared" si="109"/>
        <v>0</v>
      </c>
      <c r="AC870" s="18" t="str">
        <f t="shared" si="110"/>
        <v/>
      </c>
      <c r="AD870" s="18" t="str">
        <f t="shared" si="111"/>
        <v/>
      </c>
      <c r="AF870" t="str">
        <f>IFERROR(INDEX('Task Master'!$D:$D,MATCH($F870,'Task Master'!$C:$C,0)),"")</f>
        <v/>
      </c>
    </row>
    <row r="871" spans="1:32" x14ac:dyDescent="0.25">
      <c r="A871" t="str">
        <f t="shared" si="104"/>
        <v/>
      </c>
      <c r="B871" s="16"/>
      <c r="D871" t="str">
        <f>IF($C871="","",IFERROR(INDEX('Asset Register'!$B:$B,MATCH($C871,'Asset Register'!$A:$A,0)),""))</f>
        <v/>
      </c>
      <c r="H871" t="str">
        <f>IFERROR(INDEX('Task Master'!$E:$E,MATCH($F871&amp;"||"&amp;$G871,'Task Master'!$K:$K,0)),"")</f>
        <v/>
      </c>
      <c r="I871" t="str">
        <f>IFERROR(INDEX('Task Master'!$F:$F,MATCH($F871&amp;"||"&amp;$G871,'Task Master'!$K:$K,0)),"")</f>
        <v/>
      </c>
      <c r="J871" t="str">
        <f>IFERROR(INDEX('Task Master'!$H:$H,MATCH($F871&amp;"||"&amp;$G871,'Task Master'!$K:$K,0)),"")</f>
        <v/>
      </c>
      <c r="N871" s="18" t="str">
        <f t="shared" si="105"/>
        <v/>
      </c>
      <c r="R871" s="18">
        <f t="shared" si="106"/>
        <v>0</v>
      </c>
      <c r="V871" s="18">
        <f t="shared" si="107"/>
        <v>0</v>
      </c>
      <c r="Z871" s="18">
        <f t="shared" si="108"/>
        <v>0</v>
      </c>
      <c r="AA871" s="18"/>
      <c r="AB871" s="18">
        <f t="shared" si="109"/>
        <v>0</v>
      </c>
      <c r="AC871" s="18" t="str">
        <f t="shared" si="110"/>
        <v/>
      </c>
      <c r="AD871" s="18" t="str">
        <f t="shared" si="111"/>
        <v/>
      </c>
      <c r="AF871" t="str">
        <f>IFERROR(INDEX('Task Master'!$D:$D,MATCH($F871,'Task Master'!$C:$C,0)),"")</f>
        <v/>
      </c>
    </row>
    <row r="872" spans="1:32" x14ac:dyDescent="0.25">
      <c r="A872" t="str">
        <f t="shared" si="104"/>
        <v/>
      </c>
      <c r="B872" s="16"/>
      <c r="D872" t="str">
        <f>IF($C872="","",IFERROR(INDEX('Asset Register'!$B:$B,MATCH($C872,'Asset Register'!$A:$A,0)),""))</f>
        <v/>
      </c>
      <c r="H872" t="str">
        <f>IFERROR(INDEX('Task Master'!$E:$E,MATCH($F872&amp;"||"&amp;$G872,'Task Master'!$K:$K,0)),"")</f>
        <v/>
      </c>
      <c r="I872" t="str">
        <f>IFERROR(INDEX('Task Master'!$F:$F,MATCH($F872&amp;"||"&amp;$G872,'Task Master'!$K:$K,0)),"")</f>
        <v/>
      </c>
      <c r="J872" t="str">
        <f>IFERROR(INDEX('Task Master'!$H:$H,MATCH($F872&amp;"||"&amp;$G872,'Task Master'!$K:$K,0)),"")</f>
        <v/>
      </c>
      <c r="N872" s="18" t="str">
        <f t="shared" si="105"/>
        <v/>
      </c>
      <c r="R872" s="18">
        <f t="shared" si="106"/>
        <v>0</v>
      </c>
      <c r="V872" s="18">
        <f t="shared" si="107"/>
        <v>0</v>
      </c>
      <c r="Z872" s="18">
        <f t="shared" si="108"/>
        <v>0</v>
      </c>
      <c r="AA872" s="18"/>
      <c r="AB872" s="18">
        <f t="shared" si="109"/>
        <v>0</v>
      </c>
      <c r="AC872" s="18" t="str">
        <f t="shared" si="110"/>
        <v/>
      </c>
      <c r="AD872" s="18" t="str">
        <f t="shared" si="111"/>
        <v/>
      </c>
      <c r="AF872" t="str">
        <f>IFERROR(INDEX('Task Master'!$D:$D,MATCH($F872,'Task Master'!$C:$C,0)),"")</f>
        <v/>
      </c>
    </row>
    <row r="873" spans="1:32" x14ac:dyDescent="0.25">
      <c r="A873" t="str">
        <f t="shared" si="104"/>
        <v/>
      </c>
      <c r="B873" s="16"/>
      <c r="D873" t="str">
        <f>IF($C873="","",IFERROR(INDEX('Asset Register'!$B:$B,MATCH($C873,'Asset Register'!$A:$A,0)),""))</f>
        <v/>
      </c>
      <c r="H873" t="str">
        <f>IFERROR(INDEX('Task Master'!$E:$E,MATCH($F873&amp;"||"&amp;$G873,'Task Master'!$K:$K,0)),"")</f>
        <v/>
      </c>
      <c r="I873" t="str">
        <f>IFERROR(INDEX('Task Master'!$F:$F,MATCH($F873&amp;"||"&amp;$G873,'Task Master'!$K:$K,0)),"")</f>
        <v/>
      </c>
      <c r="J873" t="str">
        <f>IFERROR(INDEX('Task Master'!$H:$H,MATCH($F873&amp;"||"&amp;$G873,'Task Master'!$K:$K,0)),"")</f>
        <v/>
      </c>
      <c r="N873" s="18" t="str">
        <f t="shared" si="105"/>
        <v/>
      </c>
      <c r="R873" s="18">
        <f t="shared" si="106"/>
        <v>0</v>
      </c>
      <c r="V873" s="18">
        <f t="shared" si="107"/>
        <v>0</v>
      </c>
      <c r="Z873" s="18">
        <f t="shared" si="108"/>
        <v>0</v>
      </c>
      <c r="AA873" s="18"/>
      <c r="AB873" s="18">
        <f t="shared" si="109"/>
        <v>0</v>
      </c>
      <c r="AC873" s="18" t="str">
        <f t="shared" si="110"/>
        <v/>
      </c>
      <c r="AD873" s="18" t="str">
        <f t="shared" si="111"/>
        <v/>
      </c>
      <c r="AF873" t="str">
        <f>IFERROR(INDEX('Task Master'!$D:$D,MATCH($F873,'Task Master'!$C:$C,0)),"")</f>
        <v/>
      </c>
    </row>
    <row r="874" spans="1:32" x14ac:dyDescent="0.25">
      <c r="A874" t="str">
        <f t="shared" si="104"/>
        <v/>
      </c>
      <c r="B874" s="16"/>
      <c r="D874" t="str">
        <f>IF($C874="","",IFERROR(INDEX('Asset Register'!$B:$B,MATCH($C874,'Asset Register'!$A:$A,0)),""))</f>
        <v/>
      </c>
      <c r="H874" t="str">
        <f>IFERROR(INDEX('Task Master'!$E:$E,MATCH($F874&amp;"||"&amp;$G874,'Task Master'!$K:$K,0)),"")</f>
        <v/>
      </c>
      <c r="I874" t="str">
        <f>IFERROR(INDEX('Task Master'!$F:$F,MATCH($F874&amp;"||"&amp;$G874,'Task Master'!$K:$K,0)),"")</f>
        <v/>
      </c>
      <c r="J874" t="str">
        <f>IFERROR(INDEX('Task Master'!$H:$H,MATCH($F874&amp;"||"&amp;$G874,'Task Master'!$K:$K,0)),"")</f>
        <v/>
      </c>
      <c r="N874" s="18" t="str">
        <f t="shared" si="105"/>
        <v/>
      </c>
      <c r="R874" s="18">
        <f t="shared" si="106"/>
        <v>0</v>
      </c>
      <c r="V874" s="18">
        <f t="shared" si="107"/>
        <v>0</v>
      </c>
      <c r="Z874" s="18">
        <f t="shared" si="108"/>
        <v>0</v>
      </c>
      <c r="AA874" s="18"/>
      <c r="AB874" s="18">
        <f t="shared" si="109"/>
        <v>0</v>
      </c>
      <c r="AC874" s="18" t="str">
        <f t="shared" si="110"/>
        <v/>
      </c>
      <c r="AD874" s="18" t="str">
        <f t="shared" si="111"/>
        <v/>
      </c>
      <c r="AF874" t="str">
        <f>IFERROR(INDEX('Task Master'!$D:$D,MATCH($F874,'Task Master'!$C:$C,0)),"")</f>
        <v/>
      </c>
    </row>
    <row r="875" spans="1:32" x14ac:dyDescent="0.25">
      <c r="A875" t="str">
        <f t="shared" si="104"/>
        <v/>
      </c>
      <c r="B875" s="16"/>
      <c r="D875" t="str">
        <f>IF($C875="","",IFERROR(INDEX('Asset Register'!$B:$B,MATCH($C875,'Asset Register'!$A:$A,0)),""))</f>
        <v/>
      </c>
      <c r="H875" t="str">
        <f>IFERROR(INDEX('Task Master'!$E:$E,MATCH($F875&amp;"||"&amp;$G875,'Task Master'!$K:$K,0)),"")</f>
        <v/>
      </c>
      <c r="I875" t="str">
        <f>IFERROR(INDEX('Task Master'!$F:$F,MATCH($F875&amp;"||"&amp;$G875,'Task Master'!$K:$K,0)),"")</f>
        <v/>
      </c>
      <c r="J875" t="str">
        <f>IFERROR(INDEX('Task Master'!$H:$H,MATCH($F875&amp;"||"&amp;$G875,'Task Master'!$K:$K,0)),"")</f>
        <v/>
      </c>
      <c r="N875" s="18" t="str">
        <f t="shared" si="105"/>
        <v/>
      </c>
      <c r="R875" s="18">
        <f t="shared" si="106"/>
        <v>0</v>
      </c>
      <c r="V875" s="18">
        <f t="shared" si="107"/>
        <v>0</v>
      </c>
      <c r="Z875" s="18">
        <f t="shared" si="108"/>
        <v>0</v>
      </c>
      <c r="AA875" s="18"/>
      <c r="AB875" s="18">
        <f t="shared" si="109"/>
        <v>0</v>
      </c>
      <c r="AC875" s="18" t="str">
        <f t="shared" si="110"/>
        <v/>
      </c>
      <c r="AD875" s="18" t="str">
        <f t="shared" si="111"/>
        <v/>
      </c>
      <c r="AF875" t="str">
        <f>IFERROR(INDEX('Task Master'!$D:$D,MATCH($F875,'Task Master'!$C:$C,0)),"")</f>
        <v/>
      </c>
    </row>
    <row r="876" spans="1:32" x14ac:dyDescent="0.25">
      <c r="A876" t="str">
        <f t="shared" si="104"/>
        <v/>
      </c>
      <c r="B876" s="16"/>
      <c r="D876" t="str">
        <f>IF($C876="","",IFERROR(INDEX('Asset Register'!$B:$B,MATCH($C876,'Asset Register'!$A:$A,0)),""))</f>
        <v/>
      </c>
      <c r="H876" t="str">
        <f>IFERROR(INDEX('Task Master'!$E:$E,MATCH($F876&amp;"||"&amp;$G876,'Task Master'!$K:$K,0)),"")</f>
        <v/>
      </c>
      <c r="I876" t="str">
        <f>IFERROR(INDEX('Task Master'!$F:$F,MATCH($F876&amp;"||"&amp;$G876,'Task Master'!$K:$K,0)),"")</f>
        <v/>
      </c>
      <c r="J876" t="str">
        <f>IFERROR(INDEX('Task Master'!$H:$H,MATCH($F876&amp;"||"&amp;$G876,'Task Master'!$K:$K,0)),"")</f>
        <v/>
      </c>
      <c r="N876" s="18" t="str">
        <f t="shared" si="105"/>
        <v/>
      </c>
      <c r="R876" s="18">
        <f t="shared" si="106"/>
        <v>0</v>
      </c>
      <c r="V876" s="18">
        <f t="shared" si="107"/>
        <v>0</v>
      </c>
      <c r="Z876" s="18">
        <f t="shared" si="108"/>
        <v>0</v>
      </c>
      <c r="AA876" s="18"/>
      <c r="AB876" s="18">
        <f t="shared" si="109"/>
        <v>0</v>
      </c>
      <c r="AC876" s="18" t="str">
        <f t="shared" si="110"/>
        <v/>
      </c>
      <c r="AD876" s="18" t="str">
        <f t="shared" si="111"/>
        <v/>
      </c>
      <c r="AF876" t="str">
        <f>IFERROR(INDEX('Task Master'!$D:$D,MATCH($F876,'Task Master'!$C:$C,0)),"")</f>
        <v/>
      </c>
    </row>
    <row r="877" spans="1:32" x14ac:dyDescent="0.25">
      <c r="A877" t="str">
        <f t="shared" si="104"/>
        <v/>
      </c>
      <c r="B877" s="16"/>
      <c r="D877" t="str">
        <f>IF($C877="","",IFERROR(INDEX('Asset Register'!$B:$B,MATCH($C877,'Asset Register'!$A:$A,0)),""))</f>
        <v/>
      </c>
      <c r="H877" t="str">
        <f>IFERROR(INDEX('Task Master'!$E:$E,MATCH($F877&amp;"||"&amp;$G877,'Task Master'!$K:$K,0)),"")</f>
        <v/>
      </c>
      <c r="I877" t="str">
        <f>IFERROR(INDEX('Task Master'!$F:$F,MATCH($F877&amp;"||"&amp;$G877,'Task Master'!$K:$K,0)),"")</f>
        <v/>
      </c>
      <c r="J877" t="str">
        <f>IFERROR(INDEX('Task Master'!$H:$H,MATCH($F877&amp;"||"&amp;$G877,'Task Master'!$K:$K,0)),"")</f>
        <v/>
      </c>
      <c r="N877" s="18" t="str">
        <f t="shared" si="105"/>
        <v/>
      </c>
      <c r="R877" s="18">
        <f t="shared" si="106"/>
        <v>0</v>
      </c>
      <c r="V877" s="18">
        <f t="shared" si="107"/>
        <v>0</v>
      </c>
      <c r="Z877" s="18">
        <f t="shared" si="108"/>
        <v>0</v>
      </c>
      <c r="AA877" s="18"/>
      <c r="AB877" s="18">
        <f t="shared" si="109"/>
        <v>0</v>
      </c>
      <c r="AC877" s="18" t="str">
        <f t="shared" si="110"/>
        <v/>
      </c>
      <c r="AD877" s="18" t="str">
        <f t="shared" si="111"/>
        <v/>
      </c>
      <c r="AF877" t="str">
        <f>IFERROR(INDEX('Task Master'!$D:$D,MATCH($F877,'Task Master'!$C:$C,0)),"")</f>
        <v/>
      </c>
    </row>
    <row r="878" spans="1:32" x14ac:dyDescent="0.25">
      <c r="A878" t="str">
        <f t="shared" si="104"/>
        <v/>
      </c>
      <c r="B878" s="16"/>
      <c r="D878" t="str">
        <f>IF($C878="","",IFERROR(INDEX('Asset Register'!$B:$B,MATCH($C878,'Asset Register'!$A:$A,0)),""))</f>
        <v/>
      </c>
      <c r="H878" t="str">
        <f>IFERROR(INDEX('Task Master'!$E:$E,MATCH($F878&amp;"||"&amp;$G878,'Task Master'!$K:$K,0)),"")</f>
        <v/>
      </c>
      <c r="I878" t="str">
        <f>IFERROR(INDEX('Task Master'!$F:$F,MATCH($F878&amp;"||"&amp;$G878,'Task Master'!$K:$K,0)),"")</f>
        <v/>
      </c>
      <c r="J878" t="str">
        <f>IFERROR(INDEX('Task Master'!$H:$H,MATCH($F878&amp;"||"&amp;$G878,'Task Master'!$K:$K,0)),"")</f>
        <v/>
      </c>
      <c r="N878" s="18" t="str">
        <f t="shared" si="105"/>
        <v/>
      </c>
      <c r="R878" s="18">
        <f t="shared" si="106"/>
        <v>0</v>
      </c>
      <c r="V878" s="18">
        <f t="shared" si="107"/>
        <v>0</v>
      </c>
      <c r="Z878" s="18">
        <f t="shared" si="108"/>
        <v>0</v>
      </c>
      <c r="AA878" s="18"/>
      <c r="AB878" s="18">
        <f t="shared" si="109"/>
        <v>0</v>
      </c>
      <c r="AC878" s="18" t="str">
        <f t="shared" si="110"/>
        <v/>
      </c>
      <c r="AD878" s="18" t="str">
        <f t="shared" si="111"/>
        <v/>
      </c>
      <c r="AF878" t="str">
        <f>IFERROR(INDEX('Task Master'!$D:$D,MATCH($F878,'Task Master'!$C:$C,0)),"")</f>
        <v/>
      </c>
    </row>
    <row r="879" spans="1:32" x14ac:dyDescent="0.25">
      <c r="A879" t="str">
        <f t="shared" si="104"/>
        <v/>
      </c>
      <c r="B879" s="16"/>
      <c r="D879" t="str">
        <f>IF($C879="","",IFERROR(INDEX('Asset Register'!$B:$B,MATCH($C879,'Asset Register'!$A:$A,0)),""))</f>
        <v/>
      </c>
      <c r="H879" t="str">
        <f>IFERROR(INDEX('Task Master'!$E:$E,MATCH($F879&amp;"||"&amp;$G879,'Task Master'!$K:$K,0)),"")</f>
        <v/>
      </c>
      <c r="I879" t="str">
        <f>IFERROR(INDEX('Task Master'!$F:$F,MATCH($F879&amp;"||"&amp;$G879,'Task Master'!$K:$K,0)),"")</f>
        <v/>
      </c>
      <c r="J879" t="str">
        <f>IFERROR(INDEX('Task Master'!$H:$H,MATCH($F879&amp;"||"&amp;$G879,'Task Master'!$K:$K,0)),"")</f>
        <v/>
      </c>
      <c r="N879" s="18" t="str">
        <f t="shared" si="105"/>
        <v/>
      </c>
      <c r="R879" s="18">
        <f t="shared" si="106"/>
        <v>0</v>
      </c>
      <c r="V879" s="18">
        <f t="shared" si="107"/>
        <v>0</v>
      </c>
      <c r="Z879" s="18">
        <f t="shared" si="108"/>
        <v>0</v>
      </c>
      <c r="AA879" s="18"/>
      <c r="AB879" s="18">
        <f t="shared" si="109"/>
        <v>0</v>
      </c>
      <c r="AC879" s="18" t="str">
        <f t="shared" si="110"/>
        <v/>
      </c>
      <c r="AD879" s="18" t="str">
        <f t="shared" si="111"/>
        <v/>
      </c>
      <c r="AF879" t="str">
        <f>IFERROR(INDEX('Task Master'!$D:$D,MATCH($F879,'Task Master'!$C:$C,0)),"")</f>
        <v/>
      </c>
    </row>
    <row r="880" spans="1:32" x14ac:dyDescent="0.25">
      <c r="A880" t="str">
        <f t="shared" si="104"/>
        <v/>
      </c>
      <c r="B880" s="16"/>
      <c r="D880" t="str">
        <f>IF($C880="","",IFERROR(INDEX('Asset Register'!$B:$B,MATCH($C880,'Asset Register'!$A:$A,0)),""))</f>
        <v/>
      </c>
      <c r="H880" t="str">
        <f>IFERROR(INDEX('Task Master'!$E:$E,MATCH($F880&amp;"||"&amp;$G880,'Task Master'!$K:$K,0)),"")</f>
        <v/>
      </c>
      <c r="I880" t="str">
        <f>IFERROR(INDEX('Task Master'!$F:$F,MATCH($F880&amp;"||"&amp;$G880,'Task Master'!$K:$K,0)),"")</f>
        <v/>
      </c>
      <c r="J880" t="str">
        <f>IFERROR(INDEX('Task Master'!$H:$H,MATCH($F880&amp;"||"&amp;$G880,'Task Master'!$K:$K,0)),"")</f>
        <v/>
      </c>
      <c r="N880" s="18" t="str">
        <f t="shared" si="105"/>
        <v/>
      </c>
      <c r="R880" s="18">
        <f t="shared" si="106"/>
        <v>0</v>
      </c>
      <c r="V880" s="18">
        <f t="shared" si="107"/>
        <v>0</v>
      </c>
      <c r="Z880" s="18">
        <f t="shared" si="108"/>
        <v>0</v>
      </c>
      <c r="AA880" s="18"/>
      <c r="AB880" s="18">
        <f t="shared" si="109"/>
        <v>0</v>
      </c>
      <c r="AC880" s="18" t="str">
        <f t="shared" si="110"/>
        <v/>
      </c>
      <c r="AD880" s="18" t="str">
        <f t="shared" si="111"/>
        <v/>
      </c>
      <c r="AF880" t="str">
        <f>IFERROR(INDEX('Task Master'!$D:$D,MATCH($F880,'Task Master'!$C:$C,0)),"")</f>
        <v/>
      </c>
    </row>
    <row r="881" spans="1:32" x14ac:dyDescent="0.25">
      <c r="A881" t="str">
        <f t="shared" si="104"/>
        <v/>
      </c>
      <c r="B881" s="16"/>
      <c r="D881" t="str">
        <f>IF($C881="","",IFERROR(INDEX('Asset Register'!$B:$B,MATCH($C881,'Asset Register'!$A:$A,0)),""))</f>
        <v/>
      </c>
      <c r="H881" t="str">
        <f>IFERROR(INDEX('Task Master'!$E:$E,MATCH($F881&amp;"||"&amp;$G881,'Task Master'!$K:$K,0)),"")</f>
        <v/>
      </c>
      <c r="I881" t="str">
        <f>IFERROR(INDEX('Task Master'!$F:$F,MATCH($F881&amp;"||"&amp;$G881,'Task Master'!$K:$K,0)),"")</f>
        <v/>
      </c>
      <c r="J881" t="str">
        <f>IFERROR(INDEX('Task Master'!$H:$H,MATCH($F881&amp;"||"&amp;$G881,'Task Master'!$K:$K,0)),"")</f>
        <v/>
      </c>
      <c r="N881" s="18" t="str">
        <f t="shared" si="105"/>
        <v/>
      </c>
      <c r="R881" s="18">
        <f t="shared" si="106"/>
        <v>0</v>
      </c>
      <c r="V881" s="18">
        <f t="shared" si="107"/>
        <v>0</v>
      </c>
      <c r="Z881" s="18">
        <f t="shared" si="108"/>
        <v>0</v>
      </c>
      <c r="AA881" s="18"/>
      <c r="AB881" s="18">
        <f t="shared" si="109"/>
        <v>0</v>
      </c>
      <c r="AC881" s="18" t="str">
        <f t="shared" si="110"/>
        <v/>
      </c>
      <c r="AD881" s="18" t="str">
        <f t="shared" si="111"/>
        <v/>
      </c>
      <c r="AF881" t="str">
        <f>IFERROR(INDEX('Task Master'!$D:$D,MATCH($F881,'Task Master'!$C:$C,0)),"")</f>
        <v/>
      </c>
    </row>
    <row r="882" spans="1:32" x14ac:dyDescent="0.25">
      <c r="A882" t="str">
        <f t="shared" si="104"/>
        <v/>
      </c>
      <c r="B882" s="16"/>
      <c r="D882" t="str">
        <f>IF($C882="","",IFERROR(INDEX('Asset Register'!$B:$B,MATCH($C882,'Asset Register'!$A:$A,0)),""))</f>
        <v/>
      </c>
      <c r="H882" t="str">
        <f>IFERROR(INDEX('Task Master'!$E:$E,MATCH($F882&amp;"||"&amp;$G882,'Task Master'!$K:$K,0)),"")</f>
        <v/>
      </c>
      <c r="I882" t="str">
        <f>IFERROR(INDEX('Task Master'!$F:$F,MATCH($F882&amp;"||"&amp;$G882,'Task Master'!$K:$K,0)),"")</f>
        <v/>
      </c>
      <c r="J882" t="str">
        <f>IFERROR(INDEX('Task Master'!$H:$H,MATCH($F882&amp;"||"&amp;$G882,'Task Master'!$K:$K,0)),"")</f>
        <v/>
      </c>
      <c r="N882" s="18" t="str">
        <f t="shared" si="105"/>
        <v/>
      </c>
      <c r="R882" s="18">
        <f t="shared" si="106"/>
        <v>0</v>
      </c>
      <c r="V882" s="18">
        <f t="shared" si="107"/>
        <v>0</v>
      </c>
      <c r="Z882" s="18">
        <f t="shared" si="108"/>
        <v>0</v>
      </c>
      <c r="AA882" s="18"/>
      <c r="AB882" s="18">
        <f t="shared" si="109"/>
        <v>0</v>
      </c>
      <c r="AC882" s="18" t="str">
        <f t="shared" si="110"/>
        <v/>
      </c>
      <c r="AD882" s="18" t="str">
        <f t="shared" si="111"/>
        <v/>
      </c>
      <c r="AF882" t="str">
        <f>IFERROR(INDEX('Task Master'!$D:$D,MATCH($F882,'Task Master'!$C:$C,0)),"")</f>
        <v/>
      </c>
    </row>
    <row r="883" spans="1:32" x14ac:dyDescent="0.25">
      <c r="A883" t="str">
        <f t="shared" si="104"/>
        <v/>
      </c>
      <c r="B883" s="16"/>
      <c r="D883" t="str">
        <f>IF($C883="","",IFERROR(INDEX('Asset Register'!$B:$B,MATCH($C883,'Asset Register'!$A:$A,0)),""))</f>
        <v/>
      </c>
      <c r="H883" t="str">
        <f>IFERROR(INDEX('Task Master'!$E:$E,MATCH($F883&amp;"||"&amp;$G883,'Task Master'!$K:$K,0)),"")</f>
        <v/>
      </c>
      <c r="I883" t="str">
        <f>IFERROR(INDEX('Task Master'!$F:$F,MATCH($F883&amp;"||"&amp;$G883,'Task Master'!$K:$K,0)),"")</f>
        <v/>
      </c>
      <c r="J883" t="str">
        <f>IFERROR(INDEX('Task Master'!$H:$H,MATCH($F883&amp;"||"&amp;$G883,'Task Master'!$K:$K,0)),"")</f>
        <v/>
      </c>
      <c r="N883" s="18" t="str">
        <f t="shared" si="105"/>
        <v/>
      </c>
      <c r="R883" s="18">
        <f t="shared" si="106"/>
        <v>0</v>
      </c>
      <c r="V883" s="18">
        <f t="shared" si="107"/>
        <v>0</v>
      </c>
      <c r="Z883" s="18">
        <f t="shared" si="108"/>
        <v>0</v>
      </c>
      <c r="AA883" s="18"/>
      <c r="AB883" s="18">
        <f t="shared" si="109"/>
        <v>0</v>
      </c>
      <c r="AC883" s="18" t="str">
        <f t="shared" si="110"/>
        <v/>
      </c>
      <c r="AD883" s="18" t="str">
        <f t="shared" si="111"/>
        <v/>
      </c>
      <c r="AF883" t="str">
        <f>IFERROR(INDEX('Task Master'!$D:$D,MATCH($F883,'Task Master'!$C:$C,0)),"")</f>
        <v/>
      </c>
    </row>
    <row r="884" spans="1:32" x14ac:dyDescent="0.25">
      <c r="A884" t="str">
        <f t="shared" si="104"/>
        <v/>
      </c>
      <c r="B884" s="16"/>
      <c r="D884" t="str">
        <f>IF($C884="","",IFERROR(INDEX('Asset Register'!$B:$B,MATCH($C884,'Asset Register'!$A:$A,0)),""))</f>
        <v/>
      </c>
      <c r="H884" t="str">
        <f>IFERROR(INDEX('Task Master'!$E:$E,MATCH($F884&amp;"||"&amp;$G884,'Task Master'!$K:$K,0)),"")</f>
        <v/>
      </c>
      <c r="I884" t="str">
        <f>IFERROR(INDEX('Task Master'!$F:$F,MATCH($F884&amp;"||"&amp;$G884,'Task Master'!$K:$K,0)),"")</f>
        <v/>
      </c>
      <c r="J884" t="str">
        <f>IFERROR(INDEX('Task Master'!$H:$H,MATCH($F884&amp;"||"&amp;$G884,'Task Master'!$K:$K,0)),"")</f>
        <v/>
      </c>
      <c r="N884" s="18" t="str">
        <f t="shared" si="105"/>
        <v/>
      </c>
      <c r="R884" s="18">
        <f t="shared" si="106"/>
        <v>0</v>
      </c>
      <c r="V884" s="18">
        <f t="shared" si="107"/>
        <v>0</v>
      </c>
      <c r="Z884" s="18">
        <f t="shared" si="108"/>
        <v>0</v>
      </c>
      <c r="AA884" s="18"/>
      <c r="AB884" s="18">
        <f t="shared" si="109"/>
        <v>0</v>
      </c>
      <c r="AC884" s="18" t="str">
        <f t="shared" si="110"/>
        <v/>
      </c>
      <c r="AD884" s="18" t="str">
        <f t="shared" si="111"/>
        <v/>
      </c>
      <c r="AF884" t="str">
        <f>IFERROR(INDEX('Task Master'!$D:$D,MATCH($F884,'Task Master'!$C:$C,0)),"")</f>
        <v/>
      </c>
    </row>
    <row r="885" spans="1:32" x14ac:dyDescent="0.25">
      <c r="A885" t="str">
        <f t="shared" si="104"/>
        <v/>
      </c>
      <c r="B885" s="16"/>
      <c r="D885" t="str">
        <f>IF($C885="","",IFERROR(INDEX('Asset Register'!$B:$B,MATCH($C885,'Asset Register'!$A:$A,0)),""))</f>
        <v/>
      </c>
      <c r="H885" t="str">
        <f>IFERROR(INDEX('Task Master'!$E:$E,MATCH($F885&amp;"||"&amp;$G885,'Task Master'!$K:$K,0)),"")</f>
        <v/>
      </c>
      <c r="I885" t="str">
        <f>IFERROR(INDEX('Task Master'!$F:$F,MATCH($F885&amp;"||"&amp;$G885,'Task Master'!$K:$K,0)),"")</f>
        <v/>
      </c>
      <c r="J885" t="str">
        <f>IFERROR(INDEX('Task Master'!$H:$H,MATCH($F885&amp;"||"&amp;$G885,'Task Master'!$K:$K,0)),"")</f>
        <v/>
      </c>
      <c r="N885" s="18" t="str">
        <f t="shared" si="105"/>
        <v/>
      </c>
      <c r="R885" s="18">
        <f t="shared" si="106"/>
        <v>0</v>
      </c>
      <c r="V885" s="18">
        <f t="shared" si="107"/>
        <v>0</v>
      </c>
      <c r="Z885" s="18">
        <f t="shared" si="108"/>
        <v>0</v>
      </c>
      <c r="AA885" s="18"/>
      <c r="AB885" s="18">
        <f t="shared" si="109"/>
        <v>0</v>
      </c>
      <c r="AC885" s="18" t="str">
        <f t="shared" si="110"/>
        <v/>
      </c>
      <c r="AD885" s="18" t="str">
        <f t="shared" si="111"/>
        <v/>
      </c>
      <c r="AF885" t="str">
        <f>IFERROR(INDEX('Task Master'!$D:$D,MATCH($F885,'Task Master'!$C:$C,0)),"")</f>
        <v/>
      </c>
    </row>
    <row r="886" spans="1:32" x14ac:dyDescent="0.25">
      <c r="A886" t="str">
        <f t="shared" si="104"/>
        <v/>
      </c>
      <c r="B886" s="16"/>
      <c r="D886" t="str">
        <f>IF($C886="","",IFERROR(INDEX('Asset Register'!$B:$B,MATCH($C886,'Asset Register'!$A:$A,0)),""))</f>
        <v/>
      </c>
      <c r="H886" t="str">
        <f>IFERROR(INDEX('Task Master'!$E:$E,MATCH($F886&amp;"||"&amp;$G886,'Task Master'!$K:$K,0)),"")</f>
        <v/>
      </c>
      <c r="I886" t="str">
        <f>IFERROR(INDEX('Task Master'!$F:$F,MATCH($F886&amp;"||"&amp;$G886,'Task Master'!$K:$K,0)),"")</f>
        <v/>
      </c>
      <c r="J886" t="str">
        <f>IFERROR(INDEX('Task Master'!$H:$H,MATCH($F886&amp;"||"&amp;$G886,'Task Master'!$K:$K,0)),"")</f>
        <v/>
      </c>
      <c r="N886" s="18" t="str">
        <f t="shared" si="105"/>
        <v/>
      </c>
      <c r="R886" s="18">
        <f t="shared" si="106"/>
        <v>0</v>
      </c>
      <c r="V886" s="18">
        <f t="shared" si="107"/>
        <v>0</v>
      </c>
      <c r="Z886" s="18">
        <f t="shared" si="108"/>
        <v>0</v>
      </c>
      <c r="AA886" s="18"/>
      <c r="AB886" s="18">
        <f t="shared" si="109"/>
        <v>0</v>
      </c>
      <c r="AC886" s="18" t="str">
        <f t="shared" si="110"/>
        <v/>
      </c>
      <c r="AD886" s="18" t="str">
        <f t="shared" si="111"/>
        <v/>
      </c>
      <c r="AF886" t="str">
        <f>IFERROR(INDEX('Task Master'!$D:$D,MATCH($F886,'Task Master'!$C:$C,0)),"")</f>
        <v/>
      </c>
    </row>
    <row r="887" spans="1:32" x14ac:dyDescent="0.25">
      <c r="A887" t="str">
        <f t="shared" si="104"/>
        <v/>
      </c>
      <c r="B887" s="16"/>
      <c r="D887" t="str">
        <f>IF($C887="","",IFERROR(INDEX('Asset Register'!$B:$B,MATCH($C887,'Asset Register'!$A:$A,0)),""))</f>
        <v/>
      </c>
      <c r="H887" t="str">
        <f>IFERROR(INDEX('Task Master'!$E:$E,MATCH($F887&amp;"||"&amp;$G887,'Task Master'!$K:$K,0)),"")</f>
        <v/>
      </c>
      <c r="I887" t="str">
        <f>IFERROR(INDEX('Task Master'!$F:$F,MATCH($F887&amp;"||"&amp;$G887,'Task Master'!$K:$K,0)),"")</f>
        <v/>
      </c>
      <c r="J887" t="str">
        <f>IFERROR(INDEX('Task Master'!$H:$H,MATCH($F887&amp;"||"&amp;$G887,'Task Master'!$K:$K,0)),"")</f>
        <v/>
      </c>
      <c r="N887" s="18" t="str">
        <f t="shared" si="105"/>
        <v/>
      </c>
      <c r="R887" s="18">
        <f t="shared" si="106"/>
        <v>0</v>
      </c>
      <c r="V887" s="18">
        <f t="shared" si="107"/>
        <v>0</v>
      </c>
      <c r="Z887" s="18">
        <f t="shared" si="108"/>
        <v>0</v>
      </c>
      <c r="AA887" s="18"/>
      <c r="AB887" s="18">
        <f t="shared" si="109"/>
        <v>0</v>
      </c>
      <c r="AC887" s="18" t="str">
        <f t="shared" si="110"/>
        <v/>
      </c>
      <c r="AD887" s="18" t="str">
        <f t="shared" si="111"/>
        <v/>
      </c>
      <c r="AF887" t="str">
        <f>IFERROR(INDEX('Task Master'!$D:$D,MATCH($F887,'Task Master'!$C:$C,0)),"")</f>
        <v/>
      </c>
    </row>
    <row r="888" spans="1:32" x14ac:dyDescent="0.25">
      <c r="A888" t="str">
        <f t="shared" si="104"/>
        <v/>
      </c>
      <c r="B888" s="16"/>
      <c r="D888" t="str">
        <f>IF($C888="","",IFERROR(INDEX('Asset Register'!$B:$B,MATCH($C888,'Asset Register'!$A:$A,0)),""))</f>
        <v/>
      </c>
      <c r="H888" t="str">
        <f>IFERROR(INDEX('Task Master'!$E:$E,MATCH($F888&amp;"||"&amp;$G888,'Task Master'!$K:$K,0)),"")</f>
        <v/>
      </c>
      <c r="I888" t="str">
        <f>IFERROR(INDEX('Task Master'!$F:$F,MATCH($F888&amp;"||"&amp;$G888,'Task Master'!$K:$K,0)),"")</f>
        <v/>
      </c>
      <c r="J888" t="str">
        <f>IFERROR(INDEX('Task Master'!$H:$H,MATCH($F888&amp;"||"&amp;$G888,'Task Master'!$K:$K,0)),"")</f>
        <v/>
      </c>
      <c r="N888" s="18" t="str">
        <f t="shared" si="105"/>
        <v/>
      </c>
      <c r="R888" s="18">
        <f t="shared" si="106"/>
        <v>0</v>
      </c>
      <c r="V888" s="18">
        <f t="shared" si="107"/>
        <v>0</v>
      </c>
      <c r="Z888" s="18">
        <f t="shared" si="108"/>
        <v>0</v>
      </c>
      <c r="AA888" s="18"/>
      <c r="AB888" s="18">
        <f t="shared" si="109"/>
        <v>0</v>
      </c>
      <c r="AC888" s="18" t="str">
        <f t="shared" si="110"/>
        <v/>
      </c>
      <c r="AD888" s="18" t="str">
        <f t="shared" si="111"/>
        <v/>
      </c>
      <c r="AF888" t="str">
        <f>IFERROR(INDEX('Task Master'!$D:$D,MATCH($F888,'Task Master'!$C:$C,0)),"")</f>
        <v/>
      </c>
    </row>
    <row r="889" spans="1:32" x14ac:dyDescent="0.25">
      <c r="A889" t="str">
        <f t="shared" si="104"/>
        <v/>
      </c>
      <c r="B889" s="16"/>
      <c r="D889" t="str">
        <f>IF($C889="","",IFERROR(INDEX('Asset Register'!$B:$B,MATCH($C889,'Asset Register'!$A:$A,0)),""))</f>
        <v/>
      </c>
      <c r="H889" t="str">
        <f>IFERROR(INDEX('Task Master'!$E:$E,MATCH($F889&amp;"||"&amp;$G889,'Task Master'!$K:$K,0)),"")</f>
        <v/>
      </c>
      <c r="I889" t="str">
        <f>IFERROR(INDEX('Task Master'!$F:$F,MATCH($F889&amp;"||"&amp;$G889,'Task Master'!$K:$K,0)),"")</f>
        <v/>
      </c>
      <c r="J889" t="str">
        <f>IFERROR(INDEX('Task Master'!$H:$H,MATCH($F889&amp;"||"&amp;$G889,'Task Master'!$K:$K,0)),"")</f>
        <v/>
      </c>
      <c r="N889" s="18" t="str">
        <f t="shared" si="105"/>
        <v/>
      </c>
      <c r="R889" s="18">
        <f t="shared" si="106"/>
        <v>0</v>
      </c>
      <c r="V889" s="18">
        <f t="shared" si="107"/>
        <v>0</v>
      </c>
      <c r="Z889" s="18">
        <f t="shared" si="108"/>
        <v>0</v>
      </c>
      <c r="AA889" s="18"/>
      <c r="AB889" s="18">
        <f t="shared" si="109"/>
        <v>0</v>
      </c>
      <c r="AC889" s="18" t="str">
        <f t="shared" si="110"/>
        <v/>
      </c>
      <c r="AD889" s="18" t="str">
        <f t="shared" si="111"/>
        <v/>
      </c>
      <c r="AF889" t="str">
        <f>IFERROR(INDEX('Task Master'!$D:$D,MATCH($F889,'Task Master'!$C:$C,0)),"")</f>
        <v/>
      </c>
    </row>
    <row r="890" spans="1:32" x14ac:dyDescent="0.25">
      <c r="A890" t="str">
        <f t="shared" si="104"/>
        <v/>
      </c>
      <c r="B890" s="16"/>
      <c r="D890" t="str">
        <f>IF($C890="","",IFERROR(INDEX('Asset Register'!$B:$B,MATCH($C890,'Asset Register'!$A:$A,0)),""))</f>
        <v/>
      </c>
      <c r="H890" t="str">
        <f>IFERROR(INDEX('Task Master'!$E:$E,MATCH($F890&amp;"||"&amp;$G890,'Task Master'!$K:$K,0)),"")</f>
        <v/>
      </c>
      <c r="I890" t="str">
        <f>IFERROR(INDEX('Task Master'!$F:$F,MATCH($F890&amp;"||"&amp;$G890,'Task Master'!$K:$K,0)),"")</f>
        <v/>
      </c>
      <c r="J890" t="str">
        <f>IFERROR(INDEX('Task Master'!$H:$H,MATCH($F890&amp;"||"&amp;$G890,'Task Master'!$K:$K,0)),"")</f>
        <v/>
      </c>
      <c r="N890" s="18" t="str">
        <f t="shared" si="105"/>
        <v/>
      </c>
      <c r="R890" s="18">
        <f t="shared" si="106"/>
        <v>0</v>
      </c>
      <c r="V890" s="18">
        <f t="shared" si="107"/>
        <v>0</v>
      </c>
      <c r="Z890" s="18">
        <f t="shared" si="108"/>
        <v>0</v>
      </c>
      <c r="AA890" s="18"/>
      <c r="AB890" s="18">
        <f t="shared" si="109"/>
        <v>0</v>
      </c>
      <c r="AC890" s="18" t="str">
        <f t="shared" si="110"/>
        <v/>
      </c>
      <c r="AD890" s="18" t="str">
        <f t="shared" si="111"/>
        <v/>
      </c>
      <c r="AF890" t="str">
        <f>IFERROR(INDEX('Task Master'!$D:$D,MATCH($F890,'Task Master'!$C:$C,0)),"")</f>
        <v/>
      </c>
    </row>
    <row r="891" spans="1:32" x14ac:dyDescent="0.25">
      <c r="A891" t="str">
        <f t="shared" si="104"/>
        <v/>
      </c>
      <c r="B891" s="16"/>
      <c r="D891" t="str">
        <f>IF($C891="","",IFERROR(INDEX('Asset Register'!$B:$B,MATCH($C891,'Asset Register'!$A:$A,0)),""))</f>
        <v/>
      </c>
      <c r="H891" t="str">
        <f>IFERROR(INDEX('Task Master'!$E:$E,MATCH($F891&amp;"||"&amp;$G891,'Task Master'!$K:$K,0)),"")</f>
        <v/>
      </c>
      <c r="I891" t="str">
        <f>IFERROR(INDEX('Task Master'!$F:$F,MATCH($F891&amp;"||"&amp;$G891,'Task Master'!$K:$K,0)),"")</f>
        <v/>
      </c>
      <c r="J891" t="str">
        <f>IFERROR(INDEX('Task Master'!$H:$H,MATCH($F891&amp;"||"&amp;$G891,'Task Master'!$K:$K,0)),"")</f>
        <v/>
      </c>
      <c r="N891" s="18" t="str">
        <f t="shared" si="105"/>
        <v/>
      </c>
      <c r="R891" s="18">
        <f t="shared" si="106"/>
        <v>0</v>
      </c>
      <c r="V891" s="18">
        <f t="shared" si="107"/>
        <v>0</v>
      </c>
      <c r="Z891" s="18">
        <f t="shared" si="108"/>
        <v>0</v>
      </c>
      <c r="AA891" s="18"/>
      <c r="AB891" s="18">
        <f t="shared" si="109"/>
        <v>0</v>
      </c>
      <c r="AC891" s="18" t="str">
        <f t="shared" si="110"/>
        <v/>
      </c>
      <c r="AD891" s="18" t="str">
        <f t="shared" si="111"/>
        <v/>
      </c>
      <c r="AF891" t="str">
        <f>IFERROR(INDEX('Task Master'!$D:$D,MATCH($F891,'Task Master'!$C:$C,0)),"")</f>
        <v/>
      </c>
    </row>
    <row r="892" spans="1:32" x14ac:dyDescent="0.25">
      <c r="A892" t="str">
        <f t="shared" si="104"/>
        <v/>
      </c>
      <c r="B892" s="16"/>
      <c r="D892" t="str">
        <f>IF($C892="","",IFERROR(INDEX('Asset Register'!$B:$B,MATCH($C892,'Asset Register'!$A:$A,0)),""))</f>
        <v/>
      </c>
      <c r="H892" t="str">
        <f>IFERROR(INDEX('Task Master'!$E:$E,MATCH($F892&amp;"||"&amp;$G892,'Task Master'!$K:$K,0)),"")</f>
        <v/>
      </c>
      <c r="I892" t="str">
        <f>IFERROR(INDEX('Task Master'!$F:$F,MATCH($F892&amp;"||"&amp;$G892,'Task Master'!$K:$K,0)),"")</f>
        <v/>
      </c>
      <c r="J892" t="str">
        <f>IFERROR(INDEX('Task Master'!$H:$H,MATCH($F892&amp;"||"&amp;$G892,'Task Master'!$K:$K,0)),"")</f>
        <v/>
      </c>
      <c r="N892" s="18" t="str">
        <f t="shared" si="105"/>
        <v/>
      </c>
      <c r="R892" s="18">
        <f t="shared" si="106"/>
        <v>0</v>
      </c>
      <c r="V892" s="18">
        <f t="shared" si="107"/>
        <v>0</v>
      </c>
      <c r="Z892" s="18">
        <f t="shared" si="108"/>
        <v>0</v>
      </c>
      <c r="AA892" s="18"/>
      <c r="AB892" s="18">
        <f t="shared" si="109"/>
        <v>0</v>
      </c>
      <c r="AC892" s="18" t="str">
        <f t="shared" si="110"/>
        <v/>
      </c>
      <c r="AD892" s="18" t="str">
        <f t="shared" si="111"/>
        <v/>
      </c>
      <c r="AF892" t="str">
        <f>IFERROR(INDEX('Task Master'!$D:$D,MATCH($F892,'Task Master'!$C:$C,0)),"")</f>
        <v/>
      </c>
    </row>
    <row r="893" spans="1:32" x14ac:dyDescent="0.25">
      <c r="A893" t="str">
        <f t="shared" si="104"/>
        <v/>
      </c>
      <c r="B893" s="16"/>
      <c r="D893" t="str">
        <f>IF($C893="","",IFERROR(INDEX('Asset Register'!$B:$B,MATCH($C893,'Asset Register'!$A:$A,0)),""))</f>
        <v/>
      </c>
      <c r="H893" t="str">
        <f>IFERROR(INDEX('Task Master'!$E:$E,MATCH($F893&amp;"||"&amp;$G893,'Task Master'!$K:$K,0)),"")</f>
        <v/>
      </c>
      <c r="I893" t="str">
        <f>IFERROR(INDEX('Task Master'!$F:$F,MATCH($F893&amp;"||"&amp;$G893,'Task Master'!$K:$K,0)),"")</f>
        <v/>
      </c>
      <c r="J893" t="str">
        <f>IFERROR(INDEX('Task Master'!$H:$H,MATCH($F893&amp;"||"&amp;$G893,'Task Master'!$K:$K,0)),"")</f>
        <v/>
      </c>
      <c r="N893" s="18" t="str">
        <f t="shared" si="105"/>
        <v/>
      </c>
      <c r="R893" s="18">
        <f t="shared" si="106"/>
        <v>0</v>
      </c>
      <c r="V893" s="18">
        <f t="shared" si="107"/>
        <v>0</v>
      </c>
      <c r="Z893" s="18">
        <f t="shared" si="108"/>
        <v>0</v>
      </c>
      <c r="AA893" s="18"/>
      <c r="AB893" s="18">
        <f t="shared" si="109"/>
        <v>0</v>
      </c>
      <c r="AC893" s="18" t="str">
        <f t="shared" si="110"/>
        <v/>
      </c>
      <c r="AD893" s="18" t="str">
        <f t="shared" si="111"/>
        <v/>
      </c>
      <c r="AF893" t="str">
        <f>IFERROR(INDEX('Task Master'!$D:$D,MATCH($F893,'Task Master'!$C:$C,0)),"")</f>
        <v/>
      </c>
    </row>
    <row r="894" spans="1:32" x14ac:dyDescent="0.25">
      <c r="A894" t="str">
        <f t="shared" si="104"/>
        <v/>
      </c>
      <c r="B894" s="16"/>
      <c r="D894" t="str">
        <f>IF($C894="","",IFERROR(INDEX('Asset Register'!$B:$B,MATCH($C894,'Asset Register'!$A:$A,0)),""))</f>
        <v/>
      </c>
      <c r="H894" t="str">
        <f>IFERROR(INDEX('Task Master'!$E:$E,MATCH($F894&amp;"||"&amp;$G894,'Task Master'!$K:$K,0)),"")</f>
        <v/>
      </c>
      <c r="I894" t="str">
        <f>IFERROR(INDEX('Task Master'!$F:$F,MATCH($F894&amp;"||"&amp;$G894,'Task Master'!$K:$K,0)),"")</f>
        <v/>
      </c>
      <c r="J894" t="str">
        <f>IFERROR(INDEX('Task Master'!$H:$H,MATCH($F894&amp;"||"&amp;$G894,'Task Master'!$K:$K,0)),"")</f>
        <v/>
      </c>
      <c r="N894" s="18" t="str">
        <f t="shared" si="105"/>
        <v/>
      </c>
      <c r="R894" s="18">
        <f t="shared" si="106"/>
        <v>0</v>
      </c>
      <c r="V894" s="18">
        <f t="shared" si="107"/>
        <v>0</v>
      </c>
      <c r="Z894" s="18">
        <f t="shared" si="108"/>
        <v>0</v>
      </c>
      <c r="AA894" s="18"/>
      <c r="AB894" s="18">
        <f t="shared" si="109"/>
        <v>0</v>
      </c>
      <c r="AC894" s="18" t="str">
        <f t="shared" si="110"/>
        <v/>
      </c>
      <c r="AD894" s="18" t="str">
        <f t="shared" si="111"/>
        <v/>
      </c>
      <c r="AF894" t="str">
        <f>IFERROR(INDEX('Task Master'!$D:$D,MATCH($F894,'Task Master'!$C:$C,0)),"")</f>
        <v/>
      </c>
    </row>
    <row r="895" spans="1:32" x14ac:dyDescent="0.25">
      <c r="A895" t="str">
        <f t="shared" si="104"/>
        <v/>
      </c>
      <c r="B895" s="16"/>
      <c r="D895" t="str">
        <f>IF($C895="","",IFERROR(INDEX('Asset Register'!$B:$B,MATCH($C895,'Asset Register'!$A:$A,0)),""))</f>
        <v/>
      </c>
      <c r="H895" t="str">
        <f>IFERROR(INDEX('Task Master'!$E:$E,MATCH($F895&amp;"||"&amp;$G895,'Task Master'!$K:$K,0)),"")</f>
        <v/>
      </c>
      <c r="I895" t="str">
        <f>IFERROR(INDEX('Task Master'!$F:$F,MATCH($F895&amp;"||"&amp;$G895,'Task Master'!$K:$K,0)),"")</f>
        <v/>
      </c>
      <c r="J895" t="str">
        <f>IFERROR(INDEX('Task Master'!$H:$H,MATCH($F895&amp;"||"&amp;$G895,'Task Master'!$K:$K,0)),"")</f>
        <v/>
      </c>
      <c r="N895" s="18" t="str">
        <f t="shared" si="105"/>
        <v/>
      </c>
      <c r="R895" s="18">
        <f t="shared" si="106"/>
        <v>0</v>
      </c>
      <c r="V895" s="18">
        <f t="shared" si="107"/>
        <v>0</v>
      </c>
      <c r="Z895" s="18">
        <f t="shared" si="108"/>
        <v>0</v>
      </c>
      <c r="AA895" s="18"/>
      <c r="AB895" s="18">
        <f t="shared" si="109"/>
        <v>0</v>
      </c>
      <c r="AC895" s="18" t="str">
        <f t="shared" si="110"/>
        <v/>
      </c>
      <c r="AD895" s="18" t="str">
        <f t="shared" si="111"/>
        <v/>
      </c>
      <c r="AF895" t="str">
        <f>IFERROR(INDEX('Task Master'!$D:$D,MATCH($F895,'Task Master'!$C:$C,0)),"")</f>
        <v/>
      </c>
    </row>
    <row r="896" spans="1:32" x14ac:dyDescent="0.25">
      <c r="A896" t="str">
        <f t="shared" si="104"/>
        <v/>
      </c>
      <c r="B896" s="16"/>
      <c r="D896" t="str">
        <f>IF($C896="","",IFERROR(INDEX('Asset Register'!$B:$B,MATCH($C896,'Asset Register'!$A:$A,0)),""))</f>
        <v/>
      </c>
      <c r="H896" t="str">
        <f>IFERROR(INDEX('Task Master'!$E:$E,MATCH($F896&amp;"||"&amp;$G896,'Task Master'!$K:$K,0)),"")</f>
        <v/>
      </c>
      <c r="I896" t="str">
        <f>IFERROR(INDEX('Task Master'!$F:$F,MATCH($F896&amp;"||"&amp;$G896,'Task Master'!$K:$K,0)),"")</f>
        <v/>
      </c>
      <c r="J896" t="str">
        <f>IFERROR(INDEX('Task Master'!$H:$H,MATCH($F896&amp;"||"&amp;$G896,'Task Master'!$K:$K,0)),"")</f>
        <v/>
      </c>
      <c r="N896" s="18" t="str">
        <f t="shared" si="105"/>
        <v/>
      </c>
      <c r="R896" s="18">
        <f t="shared" si="106"/>
        <v>0</v>
      </c>
      <c r="V896" s="18">
        <f t="shared" si="107"/>
        <v>0</v>
      </c>
      <c r="Z896" s="18">
        <f t="shared" si="108"/>
        <v>0</v>
      </c>
      <c r="AA896" s="18"/>
      <c r="AB896" s="18">
        <f t="shared" si="109"/>
        <v>0</v>
      </c>
      <c r="AC896" s="18" t="str">
        <f t="shared" si="110"/>
        <v/>
      </c>
      <c r="AD896" s="18" t="str">
        <f t="shared" si="111"/>
        <v/>
      </c>
      <c r="AF896" t="str">
        <f>IFERROR(INDEX('Task Master'!$D:$D,MATCH($F896,'Task Master'!$C:$C,0)),"")</f>
        <v/>
      </c>
    </row>
    <row r="897" spans="1:32" x14ac:dyDescent="0.25">
      <c r="A897" t="str">
        <f t="shared" si="104"/>
        <v/>
      </c>
      <c r="B897" s="16"/>
      <c r="D897" t="str">
        <f>IF($C897="","",IFERROR(INDEX('Asset Register'!$B:$B,MATCH($C897,'Asset Register'!$A:$A,0)),""))</f>
        <v/>
      </c>
      <c r="H897" t="str">
        <f>IFERROR(INDEX('Task Master'!$E:$E,MATCH($F897&amp;"||"&amp;$G897,'Task Master'!$K:$K,0)),"")</f>
        <v/>
      </c>
      <c r="I897" t="str">
        <f>IFERROR(INDEX('Task Master'!$F:$F,MATCH($F897&amp;"||"&amp;$G897,'Task Master'!$K:$K,0)),"")</f>
        <v/>
      </c>
      <c r="J897" t="str">
        <f>IFERROR(INDEX('Task Master'!$H:$H,MATCH($F897&amp;"||"&amp;$G897,'Task Master'!$K:$K,0)),"")</f>
        <v/>
      </c>
      <c r="N897" s="18" t="str">
        <f t="shared" si="105"/>
        <v/>
      </c>
      <c r="R897" s="18">
        <f t="shared" si="106"/>
        <v>0</v>
      </c>
      <c r="V897" s="18">
        <f t="shared" si="107"/>
        <v>0</v>
      </c>
      <c r="Z897" s="18">
        <f t="shared" si="108"/>
        <v>0</v>
      </c>
      <c r="AA897" s="18"/>
      <c r="AB897" s="18">
        <f t="shared" si="109"/>
        <v>0</v>
      </c>
      <c r="AC897" s="18" t="str">
        <f t="shared" si="110"/>
        <v/>
      </c>
      <c r="AD897" s="18" t="str">
        <f t="shared" si="111"/>
        <v/>
      </c>
      <c r="AF897" t="str">
        <f>IFERROR(INDEX('Task Master'!$D:$D,MATCH($F897,'Task Master'!$C:$C,0)),"")</f>
        <v/>
      </c>
    </row>
    <row r="898" spans="1:32" x14ac:dyDescent="0.25">
      <c r="A898" t="str">
        <f t="shared" ref="A898:A961" si="112">IF(B898="","",ROW()-1)</f>
        <v/>
      </c>
      <c r="B898" s="16"/>
      <c r="D898" t="str">
        <f>IF($C898="","",IFERROR(INDEX('Asset Register'!$B:$B,MATCH($C898,'Asset Register'!$A:$A,0)),""))</f>
        <v/>
      </c>
      <c r="H898" t="str">
        <f>IFERROR(INDEX('Task Master'!$E:$E,MATCH($F898&amp;"||"&amp;$G898,'Task Master'!$K:$K,0)),"")</f>
        <v/>
      </c>
      <c r="I898" t="str">
        <f>IFERROR(INDEX('Task Master'!$F:$F,MATCH($F898&amp;"||"&amp;$G898,'Task Master'!$K:$K,0)),"")</f>
        <v/>
      </c>
      <c r="J898" t="str">
        <f>IFERROR(INDEX('Task Master'!$H:$H,MATCH($F898&amp;"||"&amp;$G898,'Task Master'!$K:$K,0)),"")</f>
        <v/>
      </c>
      <c r="N898" s="18" t="str">
        <f t="shared" ref="N898:N961" si="113">IF(OR($K898="",$L898="",$M898=""),"",$K898*$L898*$M898)</f>
        <v/>
      </c>
      <c r="R898" s="18">
        <f t="shared" ref="R898:R961" si="114">IF(OR($P898="",$Q898=""),0,$P898*$Q898)</f>
        <v>0</v>
      </c>
      <c r="V898" s="18">
        <f t="shared" ref="V898:V961" si="115">IF(OR($T898="",$U898=""),0,$T898*$U898)</f>
        <v>0</v>
      </c>
      <c r="Z898" s="18">
        <f t="shared" ref="Z898:Z961" si="116">IF(OR($X898="",$Y898=""),0,$X898*$Y898)</f>
        <v>0</v>
      </c>
      <c r="AA898" s="18"/>
      <c r="AB898" s="18">
        <f t="shared" ref="AB898:AB961" si="117">$R898+$V898+$Z898</f>
        <v>0</v>
      </c>
      <c r="AC898" s="18" t="str">
        <f t="shared" ref="AC898:AC961" si="118">IF($B898="","",$AB898+$AA898+$N898)</f>
        <v/>
      </c>
      <c r="AD898" s="18" t="str">
        <f t="shared" ref="AD898:AD961" si="119">IF(OR($K898="",$K898=0,$AC898=""),"",$AC898/$K898)</f>
        <v/>
      </c>
      <c r="AF898" t="str">
        <f>IFERROR(INDEX('Task Master'!$D:$D,MATCH($F898,'Task Master'!$C:$C,0)),"")</f>
        <v/>
      </c>
    </row>
    <row r="899" spans="1:32" x14ac:dyDescent="0.25">
      <c r="A899" t="str">
        <f t="shared" si="112"/>
        <v/>
      </c>
      <c r="B899" s="16"/>
      <c r="D899" t="str">
        <f>IF($C899="","",IFERROR(INDEX('Asset Register'!$B:$B,MATCH($C899,'Asset Register'!$A:$A,0)),""))</f>
        <v/>
      </c>
      <c r="H899" t="str">
        <f>IFERROR(INDEX('Task Master'!$E:$E,MATCH($F899&amp;"||"&amp;$G899,'Task Master'!$K:$K,0)),"")</f>
        <v/>
      </c>
      <c r="I899" t="str">
        <f>IFERROR(INDEX('Task Master'!$F:$F,MATCH($F899&amp;"||"&amp;$G899,'Task Master'!$K:$K,0)),"")</f>
        <v/>
      </c>
      <c r="J899" t="str">
        <f>IFERROR(INDEX('Task Master'!$H:$H,MATCH($F899&amp;"||"&amp;$G899,'Task Master'!$K:$K,0)),"")</f>
        <v/>
      </c>
      <c r="N899" s="18" t="str">
        <f t="shared" si="113"/>
        <v/>
      </c>
      <c r="R899" s="18">
        <f t="shared" si="114"/>
        <v>0</v>
      </c>
      <c r="V899" s="18">
        <f t="shared" si="115"/>
        <v>0</v>
      </c>
      <c r="Z899" s="18">
        <f t="shared" si="116"/>
        <v>0</v>
      </c>
      <c r="AA899" s="18"/>
      <c r="AB899" s="18">
        <f t="shared" si="117"/>
        <v>0</v>
      </c>
      <c r="AC899" s="18" t="str">
        <f t="shared" si="118"/>
        <v/>
      </c>
      <c r="AD899" s="18" t="str">
        <f t="shared" si="119"/>
        <v/>
      </c>
      <c r="AF899" t="str">
        <f>IFERROR(INDEX('Task Master'!$D:$D,MATCH($F899,'Task Master'!$C:$C,0)),"")</f>
        <v/>
      </c>
    </row>
    <row r="900" spans="1:32" x14ac:dyDescent="0.25">
      <c r="A900" t="str">
        <f t="shared" si="112"/>
        <v/>
      </c>
      <c r="B900" s="16"/>
      <c r="D900" t="str">
        <f>IF($C900="","",IFERROR(INDEX('Asset Register'!$B:$B,MATCH($C900,'Asset Register'!$A:$A,0)),""))</f>
        <v/>
      </c>
      <c r="H900" t="str">
        <f>IFERROR(INDEX('Task Master'!$E:$E,MATCH($F900&amp;"||"&amp;$G900,'Task Master'!$K:$K,0)),"")</f>
        <v/>
      </c>
      <c r="I900" t="str">
        <f>IFERROR(INDEX('Task Master'!$F:$F,MATCH($F900&amp;"||"&amp;$G900,'Task Master'!$K:$K,0)),"")</f>
        <v/>
      </c>
      <c r="J900" t="str">
        <f>IFERROR(INDEX('Task Master'!$H:$H,MATCH($F900&amp;"||"&amp;$G900,'Task Master'!$K:$K,0)),"")</f>
        <v/>
      </c>
      <c r="N900" s="18" t="str">
        <f t="shared" si="113"/>
        <v/>
      </c>
      <c r="R900" s="18">
        <f t="shared" si="114"/>
        <v>0</v>
      </c>
      <c r="V900" s="18">
        <f t="shared" si="115"/>
        <v>0</v>
      </c>
      <c r="Z900" s="18">
        <f t="shared" si="116"/>
        <v>0</v>
      </c>
      <c r="AA900" s="18"/>
      <c r="AB900" s="18">
        <f t="shared" si="117"/>
        <v>0</v>
      </c>
      <c r="AC900" s="18" t="str">
        <f t="shared" si="118"/>
        <v/>
      </c>
      <c r="AD900" s="18" t="str">
        <f t="shared" si="119"/>
        <v/>
      </c>
      <c r="AF900" t="str">
        <f>IFERROR(INDEX('Task Master'!$D:$D,MATCH($F900,'Task Master'!$C:$C,0)),"")</f>
        <v/>
      </c>
    </row>
    <row r="901" spans="1:32" x14ac:dyDescent="0.25">
      <c r="A901" t="str">
        <f t="shared" si="112"/>
        <v/>
      </c>
      <c r="B901" s="16"/>
      <c r="D901" t="str">
        <f>IF($C901="","",IFERROR(INDEX('Asset Register'!$B:$B,MATCH($C901,'Asset Register'!$A:$A,0)),""))</f>
        <v/>
      </c>
      <c r="H901" t="str">
        <f>IFERROR(INDEX('Task Master'!$E:$E,MATCH($F901&amp;"||"&amp;$G901,'Task Master'!$K:$K,0)),"")</f>
        <v/>
      </c>
      <c r="I901" t="str">
        <f>IFERROR(INDEX('Task Master'!$F:$F,MATCH($F901&amp;"||"&amp;$G901,'Task Master'!$K:$K,0)),"")</f>
        <v/>
      </c>
      <c r="J901" t="str">
        <f>IFERROR(INDEX('Task Master'!$H:$H,MATCH($F901&amp;"||"&amp;$G901,'Task Master'!$K:$K,0)),"")</f>
        <v/>
      </c>
      <c r="N901" s="18" t="str">
        <f t="shared" si="113"/>
        <v/>
      </c>
      <c r="R901" s="18">
        <f t="shared" si="114"/>
        <v>0</v>
      </c>
      <c r="V901" s="18">
        <f t="shared" si="115"/>
        <v>0</v>
      </c>
      <c r="Z901" s="18">
        <f t="shared" si="116"/>
        <v>0</v>
      </c>
      <c r="AA901" s="18"/>
      <c r="AB901" s="18">
        <f t="shared" si="117"/>
        <v>0</v>
      </c>
      <c r="AC901" s="18" t="str">
        <f t="shared" si="118"/>
        <v/>
      </c>
      <c r="AD901" s="18" t="str">
        <f t="shared" si="119"/>
        <v/>
      </c>
      <c r="AF901" t="str">
        <f>IFERROR(INDEX('Task Master'!$D:$D,MATCH($F901,'Task Master'!$C:$C,0)),"")</f>
        <v/>
      </c>
    </row>
    <row r="902" spans="1:32" x14ac:dyDescent="0.25">
      <c r="A902" t="str">
        <f t="shared" si="112"/>
        <v/>
      </c>
      <c r="B902" s="16"/>
      <c r="D902" t="str">
        <f>IF($C902="","",IFERROR(INDEX('Asset Register'!$B:$B,MATCH($C902,'Asset Register'!$A:$A,0)),""))</f>
        <v/>
      </c>
      <c r="H902" t="str">
        <f>IFERROR(INDEX('Task Master'!$E:$E,MATCH($F902&amp;"||"&amp;$G902,'Task Master'!$K:$K,0)),"")</f>
        <v/>
      </c>
      <c r="I902" t="str">
        <f>IFERROR(INDEX('Task Master'!$F:$F,MATCH($F902&amp;"||"&amp;$G902,'Task Master'!$K:$K,0)),"")</f>
        <v/>
      </c>
      <c r="J902" t="str">
        <f>IFERROR(INDEX('Task Master'!$H:$H,MATCH($F902&amp;"||"&amp;$G902,'Task Master'!$K:$K,0)),"")</f>
        <v/>
      </c>
      <c r="N902" s="18" t="str">
        <f t="shared" si="113"/>
        <v/>
      </c>
      <c r="R902" s="18">
        <f t="shared" si="114"/>
        <v>0</v>
      </c>
      <c r="V902" s="18">
        <f t="shared" si="115"/>
        <v>0</v>
      </c>
      <c r="Z902" s="18">
        <f t="shared" si="116"/>
        <v>0</v>
      </c>
      <c r="AA902" s="18"/>
      <c r="AB902" s="18">
        <f t="shared" si="117"/>
        <v>0</v>
      </c>
      <c r="AC902" s="18" t="str">
        <f t="shared" si="118"/>
        <v/>
      </c>
      <c r="AD902" s="18" t="str">
        <f t="shared" si="119"/>
        <v/>
      </c>
      <c r="AF902" t="str">
        <f>IFERROR(INDEX('Task Master'!$D:$D,MATCH($F902,'Task Master'!$C:$C,0)),"")</f>
        <v/>
      </c>
    </row>
    <row r="903" spans="1:32" x14ac:dyDescent="0.25">
      <c r="A903" t="str">
        <f t="shared" si="112"/>
        <v/>
      </c>
      <c r="B903" s="16"/>
      <c r="D903" t="str">
        <f>IF($C903="","",IFERROR(INDEX('Asset Register'!$B:$B,MATCH($C903,'Asset Register'!$A:$A,0)),""))</f>
        <v/>
      </c>
      <c r="H903" t="str">
        <f>IFERROR(INDEX('Task Master'!$E:$E,MATCH($F903&amp;"||"&amp;$G903,'Task Master'!$K:$K,0)),"")</f>
        <v/>
      </c>
      <c r="I903" t="str">
        <f>IFERROR(INDEX('Task Master'!$F:$F,MATCH($F903&amp;"||"&amp;$G903,'Task Master'!$K:$K,0)),"")</f>
        <v/>
      </c>
      <c r="J903" t="str">
        <f>IFERROR(INDEX('Task Master'!$H:$H,MATCH($F903&amp;"||"&amp;$G903,'Task Master'!$K:$K,0)),"")</f>
        <v/>
      </c>
      <c r="N903" s="18" t="str">
        <f t="shared" si="113"/>
        <v/>
      </c>
      <c r="R903" s="18">
        <f t="shared" si="114"/>
        <v>0</v>
      </c>
      <c r="V903" s="18">
        <f t="shared" si="115"/>
        <v>0</v>
      </c>
      <c r="Z903" s="18">
        <f t="shared" si="116"/>
        <v>0</v>
      </c>
      <c r="AA903" s="18"/>
      <c r="AB903" s="18">
        <f t="shared" si="117"/>
        <v>0</v>
      </c>
      <c r="AC903" s="18" t="str">
        <f t="shared" si="118"/>
        <v/>
      </c>
      <c r="AD903" s="18" t="str">
        <f t="shared" si="119"/>
        <v/>
      </c>
      <c r="AF903" t="str">
        <f>IFERROR(INDEX('Task Master'!$D:$D,MATCH($F903,'Task Master'!$C:$C,0)),"")</f>
        <v/>
      </c>
    </row>
    <row r="904" spans="1:32" x14ac:dyDescent="0.25">
      <c r="A904" t="str">
        <f t="shared" si="112"/>
        <v/>
      </c>
      <c r="B904" s="16"/>
      <c r="D904" t="str">
        <f>IF($C904="","",IFERROR(INDEX('Asset Register'!$B:$B,MATCH($C904,'Asset Register'!$A:$A,0)),""))</f>
        <v/>
      </c>
      <c r="H904" t="str">
        <f>IFERROR(INDEX('Task Master'!$E:$E,MATCH($F904&amp;"||"&amp;$G904,'Task Master'!$K:$K,0)),"")</f>
        <v/>
      </c>
      <c r="I904" t="str">
        <f>IFERROR(INDEX('Task Master'!$F:$F,MATCH($F904&amp;"||"&amp;$G904,'Task Master'!$K:$K,0)),"")</f>
        <v/>
      </c>
      <c r="J904" t="str">
        <f>IFERROR(INDEX('Task Master'!$H:$H,MATCH($F904&amp;"||"&amp;$G904,'Task Master'!$K:$K,0)),"")</f>
        <v/>
      </c>
      <c r="N904" s="18" t="str">
        <f t="shared" si="113"/>
        <v/>
      </c>
      <c r="R904" s="18">
        <f t="shared" si="114"/>
        <v>0</v>
      </c>
      <c r="V904" s="18">
        <f t="shared" si="115"/>
        <v>0</v>
      </c>
      <c r="Z904" s="18">
        <f t="shared" si="116"/>
        <v>0</v>
      </c>
      <c r="AA904" s="18"/>
      <c r="AB904" s="18">
        <f t="shared" si="117"/>
        <v>0</v>
      </c>
      <c r="AC904" s="18" t="str">
        <f t="shared" si="118"/>
        <v/>
      </c>
      <c r="AD904" s="18" t="str">
        <f t="shared" si="119"/>
        <v/>
      </c>
      <c r="AF904" t="str">
        <f>IFERROR(INDEX('Task Master'!$D:$D,MATCH($F904,'Task Master'!$C:$C,0)),"")</f>
        <v/>
      </c>
    </row>
    <row r="905" spans="1:32" x14ac:dyDescent="0.25">
      <c r="A905" t="str">
        <f t="shared" si="112"/>
        <v/>
      </c>
      <c r="B905" s="16"/>
      <c r="D905" t="str">
        <f>IF($C905="","",IFERROR(INDEX('Asset Register'!$B:$B,MATCH($C905,'Asset Register'!$A:$A,0)),""))</f>
        <v/>
      </c>
      <c r="H905" t="str">
        <f>IFERROR(INDEX('Task Master'!$E:$E,MATCH($F905&amp;"||"&amp;$G905,'Task Master'!$K:$K,0)),"")</f>
        <v/>
      </c>
      <c r="I905" t="str">
        <f>IFERROR(INDEX('Task Master'!$F:$F,MATCH($F905&amp;"||"&amp;$G905,'Task Master'!$K:$K,0)),"")</f>
        <v/>
      </c>
      <c r="J905" t="str">
        <f>IFERROR(INDEX('Task Master'!$H:$H,MATCH($F905&amp;"||"&amp;$G905,'Task Master'!$K:$K,0)),"")</f>
        <v/>
      </c>
      <c r="N905" s="18" t="str">
        <f t="shared" si="113"/>
        <v/>
      </c>
      <c r="R905" s="18">
        <f t="shared" si="114"/>
        <v>0</v>
      </c>
      <c r="V905" s="18">
        <f t="shared" si="115"/>
        <v>0</v>
      </c>
      <c r="Z905" s="18">
        <f t="shared" si="116"/>
        <v>0</v>
      </c>
      <c r="AA905" s="18"/>
      <c r="AB905" s="18">
        <f t="shared" si="117"/>
        <v>0</v>
      </c>
      <c r="AC905" s="18" t="str">
        <f t="shared" si="118"/>
        <v/>
      </c>
      <c r="AD905" s="18" t="str">
        <f t="shared" si="119"/>
        <v/>
      </c>
      <c r="AF905" t="str">
        <f>IFERROR(INDEX('Task Master'!$D:$D,MATCH($F905,'Task Master'!$C:$C,0)),"")</f>
        <v/>
      </c>
    </row>
    <row r="906" spans="1:32" x14ac:dyDescent="0.25">
      <c r="A906" t="str">
        <f t="shared" si="112"/>
        <v/>
      </c>
      <c r="B906" s="16"/>
      <c r="D906" t="str">
        <f>IF($C906="","",IFERROR(INDEX('Asset Register'!$B:$B,MATCH($C906,'Asset Register'!$A:$A,0)),""))</f>
        <v/>
      </c>
      <c r="H906" t="str">
        <f>IFERROR(INDEX('Task Master'!$E:$E,MATCH($F906&amp;"||"&amp;$G906,'Task Master'!$K:$K,0)),"")</f>
        <v/>
      </c>
      <c r="I906" t="str">
        <f>IFERROR(INDEX('Task Master'!$F:$F,MATCH($F906&amp;"||"&amp;$G906,'Task Master'!$K:$K,0)),"")</f>
        <v/>
      </c>
      <c r="J906" t="str">
        <f>IFERROR(INDEX('Task Master'!$H:$H,MATCH($F906&amp;"||"&amp;$G906,'Task Master'!$K:$K,0)),"")</f>
        <v/>
      </c>
      <c r="N906" s="18" t="str">
        <f t="shared" si="113"/>
        <v/>
      </c>
      <c r="R906" s="18">
        <f t="shared" si="114"/>
        <v>0</v>
      </c>
      <c r="V906" s="18">
        <f t="shared" si="115"/>
        <v>0</v>
      </c>
      <c r="Z906" s="18">
        <f t="shared" si="116"/>
        <v>0</v>
      </c>
      <c r="AA906" s="18"/>
      <c r="AB906" s="18">
        <f t="shared" si="117"/>
        <v>0</v>
      </c>
      <c r="AC906" s="18" t="str">
        <f t="shared" si="118"/>
        <v/>
      </c>
      <c r="AD906" s="18" t="str">
        <f t="shared" si="119"/>
        <v/>
      </c>
      <c r="AF906" t="str">
        <f>IFERROR(INDEX('Task Master'!$D:$D,MATCH($F906,'Task Master'!$C:$C,0)),"")</f>
        <v/>
      </c>
    </row>
    <row r="907" spans="1:32" x14ac:dyDescent="0.25">
      <c r="A907" t="str">
        <f t="shared" si="112"/>
        <v/>
      </c>
      <c r="B907" s="16"/>
      <c r="D907" t="str">
        <f>IF($C907="","",IFERROR(INDEX('Asset Register'!$B:$B,MATCH($C907,'Asset Register'!$A:$A,0)),""))</f>
        <v/>
      </c>
      <c r="H907" t="str">
        <f>IFERROR(INDEX('Task Master'!$E:$E,MATCH($F907&amp;"||"&amp;$G907,'Task Master'!$K:$K,0)),"")</f>
        <v/>
      </c>
      <c r="I907" t="str">
        <f>IFERROR(INDEX('Task Master'!$F:$F,MATCH($F907&amp;"||"&amp;$G907,'Task Master'!$K:$K,0)),"")</f>
        <v/>
      </c>
      <c r="J907" t="str">
        <f>IFERROR(INDEX('Task Master'!$H:$H,MATCH($F907&amp;"||"&amp;$G907,'Task Master'!$K:$K,0)),"")</f>
        <v/>
      </c>
      <c r="N907" s="18" t="str">
        <f t="shared" si="113"/>
        <v/>
      </c>
      <c r="R907" s="18">
        <f t="shared" si="114"/>
        <v>0</v>
      </c>
      <c r="V907" s="18">
        <f t="shared" si="115"/>
        <v>0</v>
      </c>
      <c r="Z907" s="18">
        <f t="shared" si="116"/>
        <v>0</v>
      </c>
      <c r="AA907" s="18"/>
      <c r="AB907" s="18">
        <f t="shared" si="117"/>
        <v>0</v>
      </c>
      <c r="AC907" s="18" t="str">
        <f t="shared" si="118"/>
        <v/>
      </c>
      <c r="AD907" s="18" t="str">
        <f t="shared" si="119"/>
        <v/>
      </c>
      <c r="AF907" t="str">
        <f>IFERROR(INDEX('Task Master'!$D:$D,MATCH($F907,'Task Master'!$C:$C,0)),"")</f>
        <v/>
      </c>
    </row>
    <row r="908" spans="1:32" x14ac:dyDescent="0.25">
      <c r="A908" t="str">
        <f t="shared" si="112"/>
        <v/>
      </c>
      <c r="B908" s="16"/>
      <c r="D908" t="str">
        <f>IF($C908="","",IFERROR(INDEX('Asset Register'!$B:$B,MATCH($C908,'Asset Register'!$A:$A,0)),""))</f>
        <v/>
      </c>
      <c r="H908" t="str">
        <f>IFERROR(INDEX('Task Master'!$E:$E,MATCH($F908&amp;"||"&amp;$G908,'Task Master'!$K:$K,0)),"")</f>
        <v/>
      </c>
      <c r="I908" t="str">
        <f>IFERROR(INDEX('Task Master'!$F:$F,MATCH($F908&amp;"||"&amp;$G908,'Task Master'!$K:$K,0)),"")</f>
        <v/>
      </c>
      <c r="J908" t="str">
        <f>IFERROR(INDEX('Task Master'!$H:$H,MATCH($F908&amp;"||"&amp;$G908,'Task Master'!$K:$K,0)),"")</f>
        <v/>
      </c>
      <c r="N908" s="18" t="str">
        <f t="shared" si="113"/>
        <v/>
      </c>
      <c r="R908" s="18">
        <f t="shared" si="114"/>
        <v>0</v>
      </c>
      <c r="V908" s="18">
        <f t="shared" si="115"/>
        <v>0</v>
      </c>
      <c r="Z908" s="18">
        <f t="shared" si="116"/>
        <v>0</v>
      </c>
      <c r="AA908" s="18"/>
      <c r="AB908" s="18">
        <f t="shared" si="117"/>
        <v>0</v>
      </c>
      <c r="AC908" s="18" t="str">
        <f t="shared" si="118"/>
        <v/>
      </c>
      <c r="AD908" s="18" t="str">
        <f t="shared" si="119"/>
        <v/>
      </c>
      <c r="AF908" t="str">
        <f>IFERROR(INDEX('Task Master'!$D:$D,MATCH($F908,'Task Master'!$C:$C,0)),"")</f>
        <v/>
      </c>
    </row>
    <row r="909" spans="1:32" x14ac:dyDescent="0.25">
      <c r="A909" t="str">
        <f t="shared" si="112"/>
        <v/>
      </c>
      <c r="B909" s="16"/>
      <c r="D909" t="str">
        <f>IF($C909="","",IFERROR(INDEX('Asset Register'!$B:$B,MATCH($C909,'Asset Register'!$A:$A,0)),""))</f>
        <v/>
      </c>
      <c r="H909" t="str">
        <f>IFERROR(INDEX('Task Master'!$E:$E,MATCH($F909&amp;"||"&amp;$G909,'Task Master'!$K:$K,0)),"")</f>
        <v/>
      </c>
      <c r="I909" t="str">
        <f>IFERROR(INDEX('Task Master'!$F:$F,MATCH($F909&amp;"||"&amp;$G909,'Task Master'!$K:$K,0)),"")</f>
        <v/>
      </c>
      <c r="J909" t="str">
        <f>IFERROR(INDEX('Task Master'!$H:$H,MATCH($F909&amp;"||"&amp;$G909,'Task Master'!$K:$K,0)),"")</f>
        <v/>
      </c>
      <c r="N909" s="18" t="str">
        <f t="shared" si="113"/>
        <v/>
      </c>
      <c r="R909" s="18">
        <f t="shared" si="114"/>
        <v>0</v>
      </c>
      <c r="V909" s="18">
        <f t="shared" si="115"/>
        <v>0</v>
      </c>
      <c r="Z909" s="18">
        <f t="shared" si="116"/>
        <v>0</v>
      </c>
      <c r="AA909" s="18"/>
      <c r="AB909" s="18">
        <f t="shared" si="117"/>
        <v>0</v>
      </c>
      <c r="AC909" s="18" t="str">
        <f t="shared" si="118"/>
        <v/>
      </c>
      <c r="AD909" s="18" t="str">
        <f t="shared" si="119"/>
        <v/>
      </c>
      <c r="AF909" t="str">
        <f>IFERROR(INDEX('Task Master'!$D:$D,MATCH($F909,'Task Master'!$C:$C,0)),"")</f>
        <v/>
      </c>
    </row>
    <row r="910" spans="1:32" x14ac:dyDescent="0.25">
      <c r="A910" t="str">
        <f t="shared" si="112"/>
        <v/>
      </c>
      <c r="B910" s="16"/>
      <c r="D910" t="str">
        <f>IF($C910="","",IFERROR(INDEX('Asset Register'!$B:$B,MATCH($C910,'Asset Register'!$A:$A,0)),""))</f>
        <v/>
      </c>
      <c r="H910" t="str">
        <f>IFERROR(INDEX('Task Master'!$E:$E,MATCH($F910&amp;"||"&amp;$G910,'Task Master'!$K:$K,0)),"")</f>
        <v/>
      </c>
      <c r="I910" t="str">
        <f>IFERROR(INDEX('Task Master'!$F:$F,MATCH($F910&amp;"||"&amp;$G910,'Task Master'!$K:$K,0)),"")</f>
        <v/>
      </c>
      <c r="J910" t="str">
        <f>IFERROR(INDEX('Task Master'!$H:$H,MATCH($F910&amp;"||"&amp;$G910,'Task Master'!$K:$K,0)),"")</f>
        <v/>
      </c>
      <c r="N910" s="18" t="str">
        <f t="shared" si="113"/>
        <v/>
      </c>
      <c r="R910" s="18">
        <f t="shared" si="114"/>
        <v>0</v>
      </c>
      <c r="V910" s="18">
        <f t="shared" si="115"/>
        <v>0</v>
      </c>
      <c r="Z910" s="18">
        <f t="shared" si="116"/>
        <v>0</v>
      </c>
      <c r="AA910" s="18"/>
      <c r="AB910" s="18">
        <f t="shared" si="117"/>
        <v>0</v>
      </c>
      <c r="AC910" s="18" t="str">
        <f t="shared" si="118"/>
        <v/>
      </c>
      <c r="AD910" s="18" t="str">
        <f t="shared" si="119"/>
        <v/>
      </c>
      <c r="AF910" t="str">
        <f>IFERROR(INDEX('Task Master'!$D:$D,MATCH($F910,'Task Master'!$C:$C,0)),"")</f>
        <v/>
      </c>
    </row>
    <row r="911" spans="1:32" x14ac:dyDescent="0.25">
      <c r="A911" t="str">
        <f t="shared" si="112"/>
        <v/>
      </c>
      <c r="B911" s="16"/>
      <c r="D911" t="str">
        <f>IF($C911="","",IFERROR(INDEX('Asset Register'!$B:$B,MATCH($C911,'Asset Register'!$A:$A,0)),""))</f>
        <v/>
      </c>
      <c r="H911" t="str">
        <f>IFERROR(INDEX('Task Master'!$E:$E,MATCH($F911&amp;"||"&amp;$G911,'Task Master'!$K:$K,0)),"")</f>
        <v/>
      </c>
      <c r="I911" t="str">
        <f>IFERROR(INDEX('Task Master'!$F:$F,MATCH($F911&amp;"||"&amp;$G911,'Task Master'!$K:$K,0)),"")</f>
        <v/>
      </c>
      <c r="J911" t="str">
        <f>IFERROR(INDEX('Task Master'!$H:$H,MATCH($F911&amp;"||"&amp;$G911,'Task Master'!$K:$K,0)),"")</f>
        <v/>
      </c>
      <c r="N911" s="18" t="str">
        <f t="shared" si="113"/>
        <v/>
      </c>
      <c r="R911" s="18">
        <f t="shared" si="114"/>
        <v>0</v>
      </c>
      <c r="V911" s="18">
        <f t="shared" si="115"/>
        <v>0</v>
      </c>
      <c r="Z911" s="18">
        <f t="shared" si="116"/>
        <v>0</v>
      </c>
      <c r="AA911" s="18"/>
      <c r="AB911" s="18">
        <f t="shared" si="117"/>
        <v>0</v>
      </c>
      <c r="AC911" s="18" t="str">
        <f t="shared" si="118"/>
        <v/>
      </c>
      <c r="AD911" s="18" t="str">
        <f t="shared" si="119"/>
        <v/>
      </c>
      <c r="AF911" t="str">
        <f>IFERROR(INDEX('Task Master'!$D:$D,MATCH($F911,'Task Master'!$C:$C,0)),"")</f>
        <v/>
      </c>
    </row>
    <row r="912" spans="1:32" x14ac:dyDescent="0.25">
      <c r="A912" t="str">
        <f t="shared" si="112"/>
        <v/>
      </c>
      <c r="B912" s="16"/>
      <c r="D912" t="str">
        <f>IF($C912="","",IFERROR(INDEX('Asset Register'!$B:$B,MATCH($C912,'Asset Register'!$A:$A,0)),""))</f>
        <v/>
      </c>
      <c r="H912" t="str">
        <f>IFERROR(INDEX('Task Master'!$E:$E,MATCH($F912&amp;"||"&amp;$G912,'Task Master'!$K:$K,0)),"")</f>
        <v/>
      </c>
      <c r="I912" t="str">
        <f>IFERROR(INDEX('Task Master'!$F:$F,MATCH($F912&amp;"||"&amp;$G912,'Task Master'!$K:$K,0)),"")</f>
        <v/>
      </c>
      <c r="J912" t="str">
        <f>IFERROR(INDEX('Task Master'!$H:$H,MATCH($F912&amp;"||"&amp;$G912,'Task Master'!$K:$K,0)),"")</f>
        <v/>
      </c>
      <c r="N912" s="18" t="str">
        <f t="shared" si="113"/>
        <v/>
      </c>
      <c r="R912" s="18">
        <f t="shared" si="114"/>
        <v>0</v>
      </c>
      <c r="V912" s="18">
        <f t="shared" si="115"/>
        <v>0</v>
      </c>
      <c r="Z912" s="18">
        <f t="shared" si="116"/>
        <v>0</v>
      </c>
      <c r="AA912" s="18"/>
      <c r="AB912" s="18">
        <f t="shared" si="117"/>
        <v>0</v>
      </c>
      <c r="AC912" s="18" t="str">
        <f t="shared" si="118"/>
        <v/>
      </c>
      <c r="AD912" s="18" t="str">
        <f t="shared" si="119"/>
        <v/>
      </c>
      <c r="AF912" t="str">
        <f>IFERROR(INDEX('Task Master'!$D:$D,MATCH($F912,'Task Master'!$C:$C,0)),"")</f>
        <v/>
      </c>
    </row>
    <row r="913" spans="1:32" x14ac:dyDescent="0.25">
      <c r="A913" t="str">
        <f t="shared" si="112"/>
        <v/>
      </c>
      <c r="B913" s="16"/>
      <c r="D913" t="str">
        <f>IF($C913="","",IFERROR(INDEX('Asset Register'!$B:$B,MATCH($C913,'Asset Register'!$A:$A,0)),""))</f>
        <v/>
      </c>
      <c r="H913" t="str">
        <f>IFERROR(INDEX('Task Master'!$E:$E,MATCH($F913&amp;"||"&amp;$G913,'Task Master'!$K:$K,0)),"")</f>
        <v/>
      </c>
      <c r="I913" t="str">
        <f>IFERROR(INDEX('Task Master'!$F:$F,MATCH($F913&amp;"||"&amp;$G913,'Task Master'!$K:$K,0)),"")</f>
        <v/>
      </c>
      <c r="J913" t="str">
        <f>IFERROR(INDEX('Task Master'!$H:$H,MATCH($F913&amp;"||"&amp;$G913,'Task Master'!$K:$K,0)),"")</f>
        <v/>
      </c>
      <c r="N913" s="18" t="str">
        <f t="shared" si="113"/>
        <v/>
      </c>
      <c r="R913" s="18">
        <f t="shared" si="114"/>
        <v>0</v>
      </c>
      <c r="V913" s="18">
        <f t="shared" si="115"/>
        <v>0</v>
      </c>
      <c r="Z913" s="18">
        <f t="shared" si="116"/>
        <v>0</v>
      </c>
      <c r="AA913" s="18"/>
      <c r="AB913" s="18">
        <f t="shared" si="117"/>
        <v>0</v>
      </c>
      <c r="AC913" s="18" t="str">
        <f t="shared" si="118"/>
        <v/>
      </c>
      <c r="AD913" s="18" t="str">
        <f t="shared" si="119"/>
        <v/>
      </c>
      <c r="AF913" t="str">
        <f>IFERROR(INDEX('Task Master'!$D:$D,MATCH($F913,'Task Master'!$C:$C,0)),"")</f>
        <v/>
      </c>
    </row>
    <row r="914" spans="1:32" x14ac:dyDescent="0.25">
      <c r="A914" t="str">
        <f t="shared" si="112"/>
        <v/>
      </c>
      <c r="B914" s="16"/>
      <c r="D914" t="str">
        <f>IF($C914="","",IFERROR(INDEX('Asset Register'!$B:$B,MATCH($C914,'Asset Register'!$A:$A,0)),""))</f>
        <v/>
      </c>
      <c r="H914" t="str">
        <f>IFERROR(INDEX('Task Master'!$E:$E,MATCH($F914&amp;"||"&amp;$G914,'Task Master'!$K:$K,0)),"")</f>
        <v/>
      </c>
      <c r="I914" t="str">
        <f>IFERROR(INDEX('Task Master'!$F:$F,MATCH($F914&amp;"||"&amp;$G914,'Task Master'!$K:$K,0)),"")</f>
        <v/>
      </c>
      <c r="J914" t="str">
        <f>IFERROR(INDEX('Task Master'!$H:$H,MATCH($F914&amp;"||"&amp;$G914,'Task Master'!$K:$K,0)),"")</f>
        <v/>
      </c>
      <c r="N914" s="18" t="str">
        <f t="shared" si="113"/>
        <v/>
      </c>
      <c r="R914" s="18">
        <f t="shared" si="114"/>
        <v>0</v>
      </c>
      <c r="V914" s="18">
        <f t="shared" si="115"/>
        <v>0</v>
      </c>
      <c r="Z914" s="18">
        <f t="shared" si="116"/>
        <v>0</v>
      </c>
      <c r="AA914" s="18"/>
      <c r="AB914" s="18">
        <f t="shared" si="117"/>
        <v>0</v>
      </c>
      <c r="AC914" s="18" t="str">
        <f t="shared" si="118"/>
        <v/>
      </c>
      <c r="AD914" s="18" t="str">
        <f t="shared" si="119"/>
        <v/>
      </c>
      <c r="AF914" t="str">
        <f>IFERROR(INDEX('Task Master'!$D:$D,MATCH($F914,'Task Master'!$C:$C,0)),"")</f>
        <v/>
      </c>
    </row>
    <row r="915" spans="1:32" x14ac:dyDescent="0.25">
      <c r="A915" t="str">
        <f t="shared" si="112"/>
        <v/>
      </c>
      <c r="B915" s="16"/>
      <c r="D915" t="str">
        <f>IF($C915="","",IFERROR(INDEX('Asset Register'!$B:$B,MATCH($C915,'Asset Register'!$A:$A,0)),""))</f>
        <v/>
      </c>
      <c r="H915" t="str">
        <f>IFERROR(INDEX('Task Master'!$E:$E,MATCH($F915&amp;"||"&amp;$G915,'Task Master'!$K:$K,0)),"")</f>
        <v/>
      </c>
      <c r="I915" t="str">
        <f>IFERROR(INDEX('Task Master'!$F:$F,MATCH($F915&amp;"||"&amp;$G915,'Task Master'!$K:$K,0)),"")</f>
        <v/>
      </c>
      <c r="J915" t="str">
        <f>IFERROR(INDEX('Task Master'!$H:$H,MATCH($F915&amp;"||"&amp;$G915,'Task Master'!$K:$K,0)),"")</f>
        <v/>
      </c>
      <c r="N915" s="18" t="str">
        <f t="shared" si="113"/>
        <v/>
      </c>
      <c r="R915" s="18">
        <f t="shared" si="114"/>
        <v>0</v>
      </c>
      <c r="V915" s="18">
        <f t="shared" si="115"/>
        <v>0</v>
      </c>
      <c r="Z915" s="18">
        <f t="shared" si="116"/>
        <v>0</v>
      </c>
      <c r="AA915" s="18"/>
      <c r="AB915" s="18">
        <f t="shared" si="117"/>
        <v>0</v>
      </c>
      <c r="AC915" s="18" t="str">
        <f t="shared" si="118"/>
        <v/>
      </c>
      <c r="AD915" s="18" t="str">
        <f t="shared" si="119"/>
        <v/>
      </c>
      <c r="AF915" t="str">
        <f>IFERROR(INDEX('Task Master'!$D:$D,MATCH($F915,'Task Master'!$C:$C,0)),"")</f>
        <v/>
      </c>
    </row>
    <row r="916" spans="1:32" x14ac:dyDescent="0.25">
      <c r="A916" t="str">
        <f t="shared" si="112"/>
        <v/>
      </c>
      <c r="B916" s="16"/>
      <c r="D916" t="str">
        <f>IF($C916="","",IFERROR(INDEX('Asset Register'!$B:$B,MATCH($C916,'Asset Register'!$A:$A,0)),""))</f>
        <v/>
      </c>
      <c r="H916" t="str">
        <f>IFERROR(INDEX('Task Master'!$E:$E,MATCH($F916&amp;"||"&amp;$G916,'Task Master'!$K:$K,0)),"")</f>
        <v/>
      </c>
      <c r="I916" t="str">
        <f>IFERROR(INDEX('Task Master'!$F:$F,MATCH($F916&amp;"||"&amp;$G916,'Task Master'!$K:$K,0)),"")</f>
        <v/>
      </c>
      <c r="J916" t="str">
        <f>IFERROR(INDEX('Task Master'!$H:$H,MATCH($F916&amp;"||"&amp;$G916,'Task Master'!$K:$K,0)),"")</f>
        <v/>
      </c>
      <c r="N916" s="18" t="str">
        <f t="shared" si="113"/>
        <v/>
      </c>
      <c r="R916" s="18">
        <f t="shared" si="114"/>
        <v>0</v>
      </c>
      <c r="V916" s="18">
        <f t="shared" si="115"/>
        <v>0</v>
      </c>
      <c r="Z916" s="18">
        <f t="shared" si="116"/>
        <v>0</v>
      </c>
      <c r="AA916" s="18"/>
      <c r="AB916" s="18">
        <f t="shared" si="117"/>
        <v>0</v>
      </c>
      <c r="AC916" s="18" t="str">
        <f t="shared" si="118"/>
        <v/>
      </c>
      <c r="AD916" s="18" t="str">
        <f t="shared" si="119"/>
        <v/>
      </c>
      <c r="AF916" t="str">
        <f>IFERROR(INDEX('Task Master'!$D:$D,MATCH($F916,'Task Master'!$C:$C,0)),"")</f>
        <v/>
      </c>
    </row>
    <row r="917" spans="1:32" x14ac:dyDescent="0.25">
      <c r="A917" t="str">
        <f t="shared" si="112"/>
        <v/>
      </c>
      <c r="B917" s="16"/>
      <c r="D917" t="str">
        <f>IF($C917="","",IFERROR(INDEX('Asset Register'!$B:$B,MATCH($C917,'Asset Register'!$A:$A,0)),""))</f>
        <v/>
      </c>
      <c r="H917" t="str">
        <f>IFERROR(INDEX('Task Master'!$E:$E,MATCH($F917&amp;"||"&amp;$G917,'Task Master'!$K:$K,0)),"")</f>
        <v/>
      </c>
      <c r="I917" t="str">
        <f>IFERROR(INDEX('Task Master'!$F:$F,MATCH($F917&amp;"||"&amp;$G917,'Task Master'!$K:$K,0)),"")</f>
        <v/>
      </c>
      <c r="J917" t="str">
        <f>IFERROR(INDEX('Task Master'!$H:$H,MATCH($F917&amp;"||"&amp;$G917,'Task Master'!$K:$K,0)),"")</f>
        <v/>
      </c>
      <c r="N917" s="18" t="str">
        <f t="shared" si="113"/>
        <v/>
      </c>
      <c r="R917" s="18">
        <f t="shared" si="114"/>
        <v>0</v>
      </c>
      <c r="V917" s="18">
        <f t="shared" si="115"/>
        <v>0</v>
      </c>
      <c r="Z917" s="18">
        <f t="shared" si="116"/>
        <v>0</v>
      </c>
      <c r="AA917" s="18"/>
      <c r="AB917" s="18">
        <f t="shared" si="117"/>
        <v>0</v>
      </c>
      <c r="AC917" s="18" t="str">
        <f t="shared" si="118"/>
        <v/>
      </c>
      <c r="AD917" s="18" t="str">
        <f t="shared" si="119"/>
        <v/>
      </c>
      <c r="AF917" t="str">
        <f>IFERROR(INDEX('Task Master'!$D:$D,MATCH($F917,'Task Master'!$C:$C,0)),"")</f>
        <v/>
      </c>
    </row>
    <row r="918" spans="1:32" x14ac:dyDescent="0.25">
      <c r="A918" t="str">
        <f t="shared" si="112"/>
        <v/>
      </c>
      <c r="B918" s="16"/>
      <c r="D918" t="str">
        <f>IF($C918="","",IFERROR(INDEX('Asset Register'!$B:$B,MATCH($C918,'Asset Register'!$A:$A,0)),""))</f>
        <v/>
      </c>
      <c r="H918" t="str">
        <f>IFERROR(INDEX('Task Master'!$E:$E,MATCH($F918&amp;"||"&amp;$G918,'Task Master'!$K:$K,0)),"")</f>
        <v/>
      </c>
      <c r="I918" t="str">
        <f>IFERROR(INDEX('Task Master'!$F:$F,MATCH($F918&amp;"||"&amp;$G918,'Task Master'!$K:$K,0)),"")</f>
        <v/>
      </c>
      <c r="J918" t="str">
        <f>IFERROR(INDEX('Task Master'!$H:$H,MATCH($F918&amp;"||"&amp;$G918,'Task Master'!$K:$K,0)),"")</f>
        <v/>
      </c>
      <c r="N918" s="18" t="str">
        <f t="shared" si="113"/>
        <v/>
      </c>
      <c r="R918" s="18">
        <f t="shared" si="114"/>
        <v>0</v>
      </c>
      <c r="V918" s="18">
        <f t="shared" si="115"/>
        <v>0</v>
      </c>
      <c r="Z918" s="18">
        <f t="shared" si="116"/>
        <v>0</v>
      </c>
      <c r="AA918" s="18"/>
      <c r="AB918" s="18">
        <f t="shared" si="117"/>
        <v>0</v>
      </c>
      <c r="AC918" s="18" t="str">
        <f t="shared" si="118"/>
        <v/>
      </c>
      <c r="AD918" s="18" t="str">
        <f t="shared" si="119"/>
        <v/>
      </c>
      <c r="AF918" t="str">
        <f>IFERROR(INDEX('Task Master'!$D:$D,MATCH($F918,'Task Master'!$C:$C,0)),"")</f>
        <v/>
      </c>
    </row>
    <row r="919" spans="1:32" x14ac:dyDescent="0.25">
      <c r="A919" t="str">
        <f t="shared" si="112"/>
        <v/>
      </c>
      <c r="B919" s="16"/>
      <c r="D919" t="str">
        <f>IF($C919="","",IFERROR(INDEX('Asset Register'!$B:$B,MATCH($C919,'Asset Register'!$A:$A,0)),""))</f>
        <v/>
      </c>
      <c r="H919" t="str">
        <f>IFERROR(INDEX('Task Master'!$E:$E,MATCH($F919&amp;"||"&amp;$G919,'Task Master'!$K:$K,0)),"")</f>
        <v/>
      </c>
      <c r="I919" t="str">
        <f>IFERROR(INDEX('Task Master'!$F:$F,MATCH($F919&amp;"||"&amp;$G919,'Task Master'!$K:$K,0)),"")</f>
        <v/>
      </c>
      <c r="J919" t="str">
        <f>IFERROR(INDEX('Task Master'!$H:$H,MATCH($F919&amp;"||"&amp;$G919,'Task Master'!$K:$K,0)),"")</f>
        <v/>
      </c>
      <c r="N919" s="18" t="str">
        <f t="shared" si="113"/>
        <v/>
      </c>
      <c r="R919" s="18">
        <f t="shared" si="114"/>
        <v>0</v>
      </c>
      <c r="V919" s="18">
        <f t="shared" si="115"/>
        <v>0</v>
      </c>
      <c r="Z919" s="18">
        <f t="shared" si="116"/>
        <v>0</v>
      </c>
      <c r="AA919" s="18"/>
      <c r="AB919" s="18">
        <f t="shared" si="117"/>
        <v>0</v>
      </c>
      <c r="AC919" s="18" t="str">
        <f t="shared" si="118"/>
        <v/>
      </c>
      <c r="AD919" s="18" t="str">
        <f t="shared" si="119"/>
        <v/>
      </c>
      <c r="AF919" t="str">
        <f>IFERROR(INDEX('Task Master'!$D:$D,MATCH($F919,'Task Master'!$C:$C,0)),"")</f>
        <v/>
      </c>
    </row>
    <row r="920" spans="1:32" x14ac:dyDescent="0.25">
      <c r="A920" t="str">
        <f t="shared" si="112"/>
        <v/>
      </c>
      <c r="B920" s="16"/>
      <c r="D920" t="str">
        <f>IF($C920="","",IFERROR(INDEX('Asset Register'!$B:$B,MATCH($C920,'Asset Register'!$A:$A,0)),""))</f>
        <v/>
      </c>
      <c r="H920" t="str">
        <f>IFERROR(INDEX('Task Master'!$E:$E,MATCH($F920&amp;"||"&amp;$G920,'Task Master'!$K:$K,0)),"")</f>
        <v/>
      </c>
      <c r="I920" t="str">
        <f>IFERROR(INDEX('Task Master'!$F:$F,MATCH($F920&amp;"||"&amp;$G920,'Task Master'!$K:$K,0)),"")</f>
        <v/>
      </c>
      <c r="J920" t="str">
        <f>IFERROR(INDEX('Task Master'!$H:$H,MATCH($F920&amp;"||"&amp;$G920,'Task Master'!$K:$K,0)),"")</f>
        <v/>
      </c>
      <c r="N920" s="18" t="str">
        <f t="shared" si="113"/>
        <v/>
      </c>
      <c r="R920" s="18">
        <f t="shared" si="114"/>
        <v>0</v>
      </c>
      <c r="V920" s="18">
        <f t="shared" si="115"/>
        <v>0</v>
      </c>
      <c r="Z920" s="18">
        <f t="shared" si="116"/>
        <v>0</v>
      </c>
      <c r="AA920" s="18"/>
      <c r="AB920" s="18">
        <f t="shared" si="117"/>
        <v>0</v>
      </c>
      <c r="AC920" s="18" t="str">
        <f t="shared" si="118"/>
        <v/>
      </c>
      <c r="AD920" s="18" t="str">
        <f t="shared" si="119"/>
        <v/>
      </c>
      <c r="AF920" t="str">
        <f>IFERROR(INDEX('Task Master'!$D:$D,MATCH($F920,'Task Master'!$C:$C,0)),"")</f>
        <v/>
      </c>
    </row>
    <row r="921" spans="1:32" x14ac:dyDescent="0.25">
      <c r="A921" t="str">
        <f t="shared" si="112"/>
        <v/>
      </c>
      <c r="B921" s="16"/>
      <c r="D921" t="str">
        <f>IF($C921="","",IFERROR(INDEX('Asset Register'!$B:$B,MATCH($C921,'Asset Register'!$A:$A,0)),""))</f>
        <v/>
      </c>
      <c r="H921" t="str">
        <f>IFERROR(INDEX('Task Master'!$E:$E,MATCH($F921&amp;"||"&amp;$G921,'Task Master'!$K:$K,0)),"")</f>
        <v/>
      </c>
      <c r="I921" t="str">
        <f>IFERROR(INDEX('Task Master'!$F:$F,MATCH($F921&amp;"||"&amp;$G921,'Task Master'!$K:$K,0)),"")</f>
        <v/>
      </c>
      <c r="J921" t="str">
        <f>IFERROR(INDEX('Task Master'!$H:$H,MATCH($F921&amp;"||"&amp;$G921,'Task Master'!$K:$K,0)),"")</f>
        <v/>
      </c>
      <c r="N921" s="18" t="str">
        <f t="shared" si="113"/>
        <v/>
      </c>
      <c r="R921" s="18">
        <f t="shared" si="114"/>
        <v>0</v>
      </c>
      <c r="V921" s="18">
        <f t="shared" si="115"/>
        <v>0</v>
      </c>
      <c r="Z921" s="18">
        <f t="shared" si="116"/>
        <v>0</v>
      </c>
      <c r="AA921" s="18"/>
      <c r="AB921" s="18">
        <f t="shared" si="117"/>
        <v>0</v>
      </c>
      <c r="AC921" s="18" t="str">
        <f t="shared" si="118"/>
        <v/>
      </c>
      <c r="AD921" s="18" t="str">
        <f t="shared" si="119"/>
        <v/>
      </c>
      <c r="AF921" t="str">
        <f>IFERROR(INDEX('Task Master'!$D:$D,MATCH($F921,'Task Master'!$C:$C,0)),"")</f>
        <v/>
      </c>
    </row>
    <row r="922" spans="1:32" x14ac:dyDescent="0.25">
      <c r="A922" t="str">
        <f t="shared" si="112"/>
        <v/>
      </c>
      <c r="B922" s="16"/>
      <c r="D922" t="str">
        <f>IF($C922="","",IFERROR(INDEX('Asset Register'!$B:$B,MATCH($C922,'Asset Register'!$A:$A,0)),""))</f>
        <v/>
      </c>
      <c r="H922" t="str">
        <f>IFERROR(INDEX('Task Master'!$E:$E,MATCH($F922&amp;"||"&amp;$G922,'Task Master'!$K:$K,0)),"")</f>
        <v/>
      </c>
      <c r="I922" t="str">
        <f>IFERROR(INDEX('Task Master'!$F:$F,MATCH($F922&amp;"||"&amp;$G922,'Task Master'!$K:$K,0)),"")</f>
        <v/>
      </c>
      <c r="J922" t="str">
        <f>IFERROR(INDEX('Task Master'!$H:$H,MATCH($F922&amp;"||"&amp;$G922,'Task Master'!$K:$K,0)),"")</f>
        <v/>
      </c>
      <c r="N922" s="18" t="str">
        <f t="shared" si="113"/>
        <v/>
      </c>
      <c r="R922" s="18">
        <f t="shared" si="114"/>
        <v>0</v>
      </c>
      <c r="V922" s="18">
        <f t="shared" si="115"/>
        <v>0</v>
      </c>
      <c r="Z922" s="18">
        <f t="shared" si="116"/>
        <v>0</v>
      </c>
      <c r="AA922" s="18"/>
      <c r="AB922" s="18">
        <f t="shared" si="117"/>
        <v>0</v>
      </c>
      <c r="AC922" s="18" t="str">
        <f t="shared" si="118"/>
        <v/>
      </c>
      <c r="AD922" s="18" t="str">
        <f t="shared" si="119"/>
        <v/>
      </c>
      <c r="AF922" t="str">
        <f>IFERROR(INDEX('Task Master'!$D:$D,MATCH($F922,'Task Master'!$C:$C,0)),"")</f>
        <v/>
      </c>
    </row>
    <row r="923" spans="1:32" x14ac:dyDescent="0.25">
      <c r="A923" t="str">
        <f t="shared" si="112"/>
        <v/>
      </c>
      <c r="B923" s="16"/>
      <c r="D923" t="str">
        <f>IF($C923="","",IFERROR(INDEX('Asset Register'!$B:$B,MATCH($C923,'Asset Register'!$A:$A,0)),""))</f>
        <v/>
      </c>
      <c r="H923" t="str">
        <f>IFERROR(INDEX('Task Master'!$E:$E,MATCH($F923&amp;"||"&amp;$G923,'Task Master'!$K:$K,0)),"")</f>
        <v/>
      </c>
      <c r="I923" t="str">
        <f>IFERROR(INDEX('Task Master'!$F:$F,MATCH($F923&amp;"||"&amp;$G923,'Task Master'!$K:$K,0)),"")</f>
        <v/>
      </c>
      <c r="J923" t="str">
        <f>IFERROR(INDEX('Task Master'!$H:$H,MATCH($F923&amp;"||"&amp;$G923,'Task Master'!$K:$K,0)),"")</f>
        <v/>
      </c>
      <c r="N923" s="18" t="str">
        <f t="shared" si="113"/>
        <v/>
      </c>
      <c r="R923" s="18">
        <f t="shared" si="114"/>
        <v>0</v>
      </c>
      <c r="V923" s="18">
        <f t="shared" si="115"/>
        <v>0</v>
      </c>
      <c r="Z923" s="18">
        <f t="shared" si="116"/>
        <v>0</v>
      </c>
      <c r="AA923" s="18"/>
      <c r="AB923" s="18">
        <f t="shared" si="117"/>
        <v>0</v>
      </c>
      <c r="AC923" s="18" t="str">
        <f t="shared" si="118"/>
        <v/>
      </c>
      <c r="AD923" s="18" t="str">
        <f t="shared" si="119"/>
        <v/>
      </c>
      <c r="AF923" t="str">
        <f>IFERROR(INDEX('Task Master'!$D:$D,MATCH($F923,'Task Master'!$C:$C,0)),"")</f>
        <v/>
      </c>
    </row>
    <row r="924" spans="1:32" x14ac:dyDescent="0.25">
      <c r="A924" t="str">
        <f t="shared" si="112"/>
        <v/>
      </c>
      <c r="B924" s="16"/>
      <c r="D924" t="str">
        <f>IF($C924="","",IFERROR(INDEX('Asset Register'!$B:$B,MATCH($C924,'Asset Register'!$A:$A,0)),""))</f>
        <v/>
      </c>
      <c r="H924" t="str">
        <f>IFERROR(INDEX('Task Master'!$E:$E,MATCH($F924&amp;"||"&amp;$G924,'Task Master'!$K:$K,0)),"")</f>
        <v/>
      </c>
      <c r="I924" t="str">
        <f>IFERROR(INDEX('Task Master'!$F:$F,MATCH($F924&amp;"||"&amp;$G924,'Task Master'!$K:$K,0)),"")</f>
        <v/>
      </c>
      <c r="J924" t="str">
        <f>IFERROR(INDEX('Task Master'!$H:$H,MATCH($F924&amp;"||"&amp;$G924,'Task Master'!$K:$K,0)),"")</f>
        <v/>
      </c>
      <c r="N924" s="18" t="str">
        <f t="shared" si="113"/>
        <v/>
      </c>
      <c r="R924" s="18">
        <f t="shared" si="114"/>
        <v>0</v>
      </c>
      <c r="V924" s="18">
        <f t="shared" si="115"/>
        <v>0</v>
      </c>
      <c r="Z924" s="18">
        <f t="shared" si="116"/>
        <v>0</v>
      </c>
      <c r="AA924" s="18"/>
      <c r="AB924" s="18">
        <f t="shared" si="117"/>
        <v>0</v>
      </c>
      <c r="AC924" s="18" t="str">
        <f t="shared" si="118"/>
        <v/>
      </c>
      <c r="AD924" s="18" t="str">
        <f t="shared" si="119"/>
        <v/>
      </c>
      <c r="AF924" t="str">
        <f>IFERROR(INDEX('Task Master'!$D:$D,MATCH($F924,'Task Master'!$C:$C,0)),"")</f>
        <v/>
      </c>
    </row>
    <row r="925" spans="1:32" x14ac:dyDescent="0.25">
      <c r="A925" t="str">
        <f t="shared" si="112"/>
        <v/>
      </c>
      <c r="B925" s="16"/>
      <c r="D925" t="str">
        <f>IF($C925="","",IFERROR(INDEX('Asset Register'!$B:$B,MATCH($C925,'Asset Register'!$A:$A,0)),""))</f>
        <v/>
      </c>
      <c r="H925" t="str">
        <f>IFERROR(INDEX('Task Master'!$E:$E,MATCH($F925&amp;"||"&amp;$G925,'Task Master'!$K:$K,0)),"")</f>
        <v/>
      </c>
      <c r="I925" t="str">
        <f>IFERROR(INDEX('Task Master'!$F:$F,MATCH($F925&amp;"||"&amp;$G925,'Task Master'!$K:$K,0)),"")</f>
        <v/>
      </c>
      <c r="J925" t="str">
        <f>IFERROR(INDEX('Task Master'!$H:$H,MATCH($F925&amp;"||"&amp;$G925,'Task Master'!$K:$K,0)),"")</f>
        <v/>
      </c>
      <c r="N925" s="18" t="str">
        <f t="shared" si="113"/>
        <v/>
      </c>
      <c r="R925" s="18">
        <f t="shared" si="114"/>
        <v>0</v>
      </c>
      <c r="V925" s="18">
        <f t="shared" si="115"/>
        <v>0</v>
      </c>
      <c r="Z925" s="18">
        <f t="shared" si="116"/>
        <v>0</v>
      </c>
      <c r="AA925" s="18"/>
      <c r="AB925" s="18">
        <f t="shared" si="117"/>
        <v>0</v>
      </c>
      <c r="AC925" s="18" t="str">
        <f t="shared" si="118"/>
        <v/>
      </c>
      <c r="AD925" s="18" t="str">
        <f t="shared" si="119"/>
        <v/>
      </c>
      <c r="AF925" t="str">
        <f>IFERROR(INDEX('Task Master'!$D:$D,MATCH($F925,'Task Master'!$C:$C,0)),"")</f>
        <v/>
      </c>
    </row>
    <row r="926" spans="1:32" x14ac:dyDescent="0.25">
      <c r="A926" t="str">
        <f t="shared" si="112"/>
        <v/>
      </c>
      <c r="B926" s="16"/>
      <c r="D926" t="str">
        <f>IF($C926="","",IFERROR(INDEX('Asset Register'!$B:$B,MATCH($C926,'Asset Register'!$A:$A,0)),""))</f>
        <v/>
      </c>
      <c r="H926" t="str">
        <f>IFERROR(INDEX('Task Master'!$E:$E,MATCH($F926&amp;"||"&amp;$G926,'Task Master'!$K:$K,0)),"")</f>
        <v/>
      </c>
      <c r="I926" t="str">
        <f>IFERROR(INDEX('Task Master'!$F:$F,MATCH($F926&amp;"||"&amp;$G926,'Task Master'!$K:$K,0)),"")</f>
        <v/>
      </c>
      <c r="J926" t="str">
        <f>IFERROR(INDEX('Task Master'!$H:$H,MATCH($F926&amp;"||"&amp;$G926,'Task Master'!$K:$K,0)),"")</f>
        <v/>
      </c>
      <c r="N926" s="18" t="str">
        <f t="shared" si="113"/>
        <v/>
      </c>
      <c r="R926" s="18">
        <f t="shared" si="114"/>
        <v>0</v>
      </c>
      <c r="V926" s="18">
        <f t="shared" si="115"/>
        <v>0</v>
      </c>
      <c r="Z926" s="18">
        <f t="shared" si="116"/>
        <v>0</v>
      </c>
      <c r="AA926" s="18"/>
      <c r="AB926" s="18">
        <f t="shared" si="117"/>
        <v>0</v>
      </c>
      <c r="AC926" s="18" t="str">
        <f t="shared" si="118"/>
        <v/>
      </c>
      <c r="AD926" s="18" t="str">
        <f t="shared" si="119"/>
        <v/>
      </c>
      <c r="AF926" t="str">
        <f>IFERROR(INDEX('Task Master'!$D:$D,MATCH($F926,'Task Master'!$C:$C,0)),"")</f>
        <v/>
      </c>
    </row>
    <row r="927" spans="1:32" x14ac:dyDescent="0.25">
      <c r="A927" t="str">
        <f t="shared" si="112"/>
        <v/>
      </c>
      <c r="B927" s="16"/>
      <c r="D927" t="str">
        <f>IF($C927="","",IFERROR(INDEX('Asset Register'!$B:$B,MATCH($C927,'Asset Register'!$A:$A,0)),""))</f>
        <v/>
      </c>
      <c r="H927" t="str">
        <f>IFERROR(INDEX('Task Master'!$E:$E,MATCH($F927&amp;"||"&amp;$G927,'Task Master'!$K:$K,0)),"")</f>
        <v/>
      </c>
      <c r="I927" t="str">
        <f>IFERROR(INDEX('Task Master'!$F:$F,MATCH($F927&amp;"||"&amp;$G927,'Task Master'!$K:$K,0)),"")</f>
        <v/>
      </c>
      <c r="J927" t="str">
        <f>IFERROR(INDEX('Task Master'!$H:$H,MATCH($F927&amp;"||"&amp;$G927,'Task Master'!$K:$K,0)),"")</f>
        <v/>
      </c>
      <c r="N927" s="18" t="str">
        <f t="shared" si="113"/>
        <v/>
      </c>
      <c r="R927" s="18">
        <f t="shared" si="114"/>
        <v>0</v>
      </c>
      <c r="V927" s="18">
        <f t="shared" si="115"/>
        <v>0</v>
      </c>
      <c r="Z927" s="18">
        <f t="shared" si="116"/>
        <v>0</v>
      </c>
      <c r="AA927" s="18"/>
      <c r="AB927" s="18">
        <f t="shared" si="117"/>
        <v>0</v>
      </c>
      <c r="AC927" s="18" t="str">
        <f t="shared" si="118"/>
        <v/>
      </c>
      <c r="AD927" s="18" t="str">
        <f t="shared" si="119"/>
        <v/>
      </c>
      <c r="AF927" t="str">
        <f>IFERROR(INDEX('Task Master'!$D:$D,MATCH($F927,'Task Master'!$C:$C,0)),"")</f>
        <v/>
      </c>
    </row>
    <row r="928" spans="1:32" x14ac:dyDescent="0.25">
      <c r="A928" t="str">
        <f t="shared" si="112"/>
        <v/>
      </c>
      <c r="B928" s="16"/>
      <c r="D928" t="str">
        <f>IF($C928="","",IFERROR(INDEX('Asset Register'!$B:$B,MATCH($C928,'Asset Register'!$A:$A,0)),""))</f>
        <v/>
      </c>
      <c r="H928" t="str">
        <f>IFERROR(INDEX('Task Master'!$E:$E,MATCH($F928&amp;"||"&amp;$G928,'Task Master'!$K:$K,0)),"")</f>
        <v/>
      </c>
      <c r="I928" t="str">
        <f>IFERROR(INDEX('Task Master'!$F:$F,MATCH($F928&amp;"||"&amp;$G928,'Task Master'!$K:$K,0)),"")</f>
        <v/>
      </c>
      <c r="J928" t="str">
        <f>IFERROR(INDEX('Task Master'!$H:$H,MATCH($F928&amp;"||"&amp;$G928,'Task Master'!$K:$K,0)),"")</f>
        <v/>
      </c>
      <c r="N928" s="18" t="str">
        <f t="shared" si="113"/>
        <v/>
      </c>
      <c r="R928" s="18">
        <f t="shared" si="114"/>
        <v>0</v>
      </c>
      <c r="V928" s="18">
        <f t="shared" si="115"/>
        <v>0</v>
      </c>
      <c r="Z928" s="18">
        <f t="shared" si="116"/>
        <v>0</v>
      </c>
      <c r="AA928" s="18"/>
      <c r="AB928" s="18">
        <f t="shared" si="117"/>
        <v>0</v>
      </c>
      <c r="AC928" s="18" t="str">
        <f t="shared" si="118"/>
        <v/>
      </c>
      <c r="AD928" s="18" t="str">
        <f t="shared" si="119"/>
        <v/>
      </c>
      <c r="AF928" t="str">
        <f>IFERROR(INDEX('Task Master'!$D:$D,MATCH($F928,'Task Master'!$C:$C,0)),"")</f>
        <v/>
      </c>
    </row>
    <row r="929" spans="1:32" x14ac:dyDescent="0.25">
      <c r="A929" t="str">
        <f t="shared" si="112"/>
        <v/>
      </c>
      <c r="B929" s="16"/>
      <c r="D929" t="str">
        <f>IF($C929="","",IFERROR(INDEX('Asset Register'!$B:$B,MATCH($C929,'Asset Register'!$A:$A,0)),""))</f>
        <v/>
      </c>
      <c r="H929" t="str">
        <f>IFERROR(INDEX('Task Master'!$E:$E,MATCH($F929&amp;"||"&amp;$G929,'Task Master'!$K:$K,0)),"")</f>
        <v/>
      </c>
      <c r="I929" t="str">
        <f>IFERROR(INDEX('Task Master'!$F:$F,MATCH($F929&amp;"||"&amp;$G929,'Task Master'!$K:$K,0)),"")</f>
        <v/>
      </c>
      <c r="J929" t="str">
        <f>IFERROR(INDEX('Task Master'!$H:$H,MATCH($F929&amp;"||"&amp;$G929,'Task Master'!$K:$K,0)),"")</f>
        <v/>
      </c>
      <c r="N929" s="18" t="str">
        <f t="shared" si="113"/>
        <v/>
      </c>
      <c r="R929" s="18">
        <f t="shared" si="114"/>
        <v>0</v>
      </c>
      <c r="V929" s="18">
        <f t="shared" si="115"/>
        <v>0</v>
      </c>
      <c r="Z929" s="18">
        <f t="shared" si="116"/>
        <v>0</v>
      </c>
      <c r="AA929" s="18"/>
      <c r="AB929" s="18">
        <f t="shared" si="117"/>
        <v>0</v>
      </c>
      <c r="AC929" s="18" t="str">
        <f t="shared" si="118"/>
        <v/>
      </c>
      <c r="AD929" s="18" t="str">
        <f t="shared" si="119"/>
        <v/>
      </c>
      <c r="AF929" t="str">
        <f>IFERROR(INDEX('Task Master'!$D:$D,MATCH($F929,'Task Master'!$C:$C,0)),"")</f>
        <v/>
      </c>
    </row>
    <row r="930" spans="1:32" x14ac:dyDescent="0.25">
      <c r="A930" t="str">
        <f t="shared" si="112"/>
        <v/>
      </c>
      <c r="B930" s="16"/>
      <c r="D930" t="str">
        <f>IF($C930="","",IFERROR(INDEX('Asset Register'!$B:$B,MATCH($C930,'Asset Register'!$A:$A,0)),""))</f>
        <v/>
      </c>
      <c r="H930" t="str">
        <f>IFERROR(INDEX('Task Master'!$E:$E,MATCH($F930&amp;"||"&amp;$G930,'Task Master'!$K:$K,0)),"")</f>
        <v/>
      </c>
      <c r="I930" t="str">
        <f>IFERROR(INDEX('Task Master'!$F:$F,MATCH($F930&amp;"||"&amp;$G930,'Task Master'!$K:$K,0)),"")</f>
        <v/>
      </c>
      <c r="J930" t="str">
        <f>IFERROR(INDEX('Task Master'!$H:$H,MATCH($F930&amp;"||"&amp;$G930,'Task Master'!$K:$K,0)),"")</f>
        <v/>
      </c>
      <c r="N930" s="18" t="str">
        <f t="shared" si="113"/>
        <v/>
      </c>
      <c r="R930" s="18">
        <f t="shared" si="114"/>
        <v>0</v>
      </c>
      <c r="V930" s="18">
        <f t="shared" si="115"/>
        <v>0</v>
      </c>
      <c r="Z930" s="18">
        <f t="shared" si="116"/>
        <v>0</v>
      </c>
      <c r="AA930" s="18"/>
      <c r="AB930" s="18">
        <f t="shared" si="117"/>
        <v>0</v>
      </c>
      <c r="AC930" s="18" t="str">
        <f t="shared" si="118"/>
        <v/>
      </c>
      <c r="AD930" s="18" t="str">
        <f t="shared" si="119"/>
        <v/>
      </c>
      <c r="AF930" t="str">
        <f>IFERROR(INDEX('Task Master'!$D:$D,MATCH($F930,'Task Master'!$C:$C,0)),"")</f>
        <v/>
      </c>
    </row>
    <row r="931" spans="1:32" x14ac:dyDescent="0.25">
      <c r="A931" t="str">
        <f t="shared" si="112"/>
        <v/>
      </c>
      <c r="B931" s="16"/>
      <c r="D931" t="str">
        <f>IF($C931="","",IFERROR(INDEX('Asset Register'!$B:$B,MATCH($C931,'Asset Register'!$A:$A,0)),""))</f>
        <v/>
      </c>
      <c r="H931" t="str">
        <f>IFERROR(INDEX('Task Master'!$E:$E,MATCH($F931&amp;"||"&amp;$G931,'Task Master'!$K:$K,0)),"")</f>
        <v/>
      </c>
      <c r="I931" t="str">
        <f>IFERROR(INDEX('Task Master'!$F:$F,MATCH($F931&amp;"||"&amp;$G931,'Task Master'!$K:$K,0)),"")</f>
        <v/>
      </c>
      <c r="J931" t="str">
        <f>IFERROR(INDEX('Task Master'!$H:$H,MATCH($F931&amp;"||"&amp;$G931,'Task Master'!$K:$K,0)),"")</f>
        <v/>
      </c>
      <c r="N931" s="18" t="str">
        <f t="shared" si="113"/>
        <v/>
      </c>
      <c r="R931" s="18">
        <f t="shared" si="114"/>
        <v>0</v>
      </c>
      <c r="V931" s="18">
        <f t="shared" si="115"/>
        <v>0</v>
      </c>
      <c r="Z931" s="18">
        <f t="shared" si="116"/>
        <v>0</v>
      </c>
      <c r="AA931" s="18"/>
      <c r="AB931" s="18">
        <f t="shared" si="117"/>
        <v>0</v>
      </c>
      <c r="AC931" s="18" t="str">
        <f t="shared" si="118"/>
        <v/>
      </c>
      <c r="AD931" s="18" t="str">
        <f t="shared" si="119"/>
        <v/>
      </c>
      <c r="AF931" t="str">
        <f>IFERROR(INDEX('Task Master'!$D:$D,MATCH($F931,'Task Master'!$C:$C,0)),"")</f>
        <v/>
      </c>
    </row>
    <row r="932" spans="1:32" x14ac:dyDescent="0.25">
      <c r="A932" t="str">
        <f t="shared" si="112"/>
        <v/>
      </c>
      <c r="B932" s="16"/>
      <c r="D932" t="str">
        <f>IF($C932="","",IFERROR(INDEX('Asset Register'!$B:$B,MATCH($C932,'Asset Register'!$A:$A,0)),""))</f>
        <v/>
      </c>
      <c r="H932" t="str">
        <f>IFERROR(INDEX('Task Master'!$E:$E,MATCH($F932&amp;"||"&amp;$G932,'Task Master'!$K:$K,0)),"")</f>
        <v/>
      </c>
      <c r="I932" t="str">
        <f>IFERROR(INDEX('Task Master'!$F:$F,MATCH($F932&amp;"||"&amp;$G932,'Task Master'!$K:$K,0)),"")</f>
        <v/>
      </c>
      <c r="J932" t="str">
        <f>IFERROR(INDEX('Task Master'!$H:$H,MATCH($F932&amp;"||"&amp;$G932,'Task Master'!$K:$K,0)),"")</f>
        <v/>
      </c>
      <c r="N932" s="18" t="str">
        <f t="shared" si="113"/>
        <v/>
      </c>
      <c r="R932" s="18">
        <f t="shared" si="114"/>
        <v>0</v>
      </c>
      <c r="V932" s="18">
        <f t="shared" si="115"/>
        <v>0</v>
      </c>
      <c r="Z932" s="18">
        <f t="shared" si="116"/>
        <v>0</v>
      </c>
      <c r="AA932" s="18"/>
      <c r="AB932" s="18">
        <f t="shared" si="117"/>
        <v>0</v>
      </c>
      <c r="AC932" s="18" t="str">
        <f t="shared" si="118"/>
        <v/>
      </c>
      <c r="AD932" s="18" t="str">
        <f t="shared" si="119"/>
        <v/>
      </c>
      <c r="AF932" t="str">
        <f>IFERROR(INDEX('Task Master'!$D:$D,MATCH($F932,'Task Master'!$C:$C,0)),"")</f>
        <v/>
      </c>
    </row>
    <row r="933" spans="1:32" x14ac:dyDescent="0.25">
      <c r="A933" t="str">
        <f t="shared" si="112"/>
        <v/>
      </c>
      <c r="B933" s="16"/>
      <c r="D933" t="str">
        <f>IF($C933="","",IFERROR(INDEX('Asset Register'!$B:$B,MATCH($C933,'Asset Register'!$A:$A,0)),""))</f>
        <v/>
      </c>
      <c r="H933" t="str">
        <f>IFERROR(INDEX('Task Master'!$E:$E,MATCH($F933&amp;"||"&amp;$G933,'Task Master'!$K:$K,0)),"")</f>
        <v/>
      </c>
      <c r="I933" t="str">
        <f>IFERROR(INDEX('Task Master'!$F:$F,MATCH($F933&amp;"||"&amp;$G933,'Task Master'!$K:$K,0)),"")</f>
        <v/>
      </c>
      <c r="J933" t="str">
        <f>IFERROR(INDEX('Task Master'!$H:$H,MATCH($F933&amp;"||"&amp;$G933,'Task Master'!$K:$K,0)),"")</f>
        <v/>
      </c>
      <c r="N933" s="18" t="str">
        <f t="shared" si="113"/>
        <v/>
      </c>
      <c r="R933" s="18">
        <f t="shared" si="114"/>
        <v>0</v>
      </c>
      <c r="V933" s="18">
        <f t="shared" si="115"/>
        <v>0</v>
      </c>
      <c r="Z933" s="18">
        <f t="shared" si="116"/>
        <v>0</v>
      </c>
      <c r="AA933" s="18"/>
      <c r="AB933" s="18">
        <f t="shared" si="117"/>
        <v>0</v>
      </c>
      <c r="AC933" s="18" t="str">
        <f t="shared" si="118"/>
        <v/>
      </c>
      <c r="AD933" s="18" t="str">
        <f t="shared" si="119"/>
        <v/>
      </c>
      <c r="AF933" t="str">
        <f>IFERROR(INDEX('Task Master'!$D:$D,MATCH($F933,'Task Master'!$C:$C,0)),"")</f>
        <v/>
      </c>
    </row>
    <row r="934" spans="1:32" x14ac:dyDescent="0.25">
      <c r="A934" t="str">
        <f t="shared" si="112"/>
        <v/>
      </c>
      <c r="B934" s="16"/>
      <c r="D934" t="str">
        <f>IF($C934="","",IFERROR(INDEX('Asset Register'!$B:$B,MATCH($C934,'Asset Register'!$A:$A,0)),""))</f>
        <v/>
      </c>
      <c r="H934" t="str">
        <f>IFERROR(INDEX('Task Master'!$E:$E,MATCH($F934&amp;"||"&amp;$G934,'Task Master'!$K:$K,0)),"")</f>
        <v/>
      </c>
      <c r="I934" t="str">
        <f>IFERROR(INDEX('Task Master'!$F:$F,MATCH($F934&amp;"||"&amp;$G934,'Task Master'!$K:$K,0)),"")</f>
        <v/>
      </c>
      <c r="J934" t="str">
        <f>IFERROR(INDEX('Task Master'!$H:$H,MATCH($F934&amp;"||"&amp;$G934,'Task Master'!$K:$K,0)),"")</f>
        <v/>
      </c>
      <c r="N934" s="18" t="str">
        <f t="shared" si="113"/>
        <v/>
      </c>
      <c r="R934" s="18">
        <f t="shared" si="114"/>
        <v>0</v>
      </c>
      <c r="V934" s="18">
        <f t="shared" si="115"/>
        <v>0</v>
      </c>
      <c r="Z934" s="18">
        <f t="shared" si="116"/>
        <v>0</v>
      </c>
      <c r="AA934" s="18"/>
      <c r="AB934" s="18">
        <f t="shared" si="117"/>
        <v>0</v>
      </c>
      <c r="AC934" s="18" t="str">
        <f t="shared" si="118"/>
        <v/>
      </c>
      <c r="AD934" s="18" t="str">
        <f t="shared" si="119"/>
        <v/>
      </c>
      <c r="AF934" t="str">
        <f>IFERROR(INDEX('Task Master'!$D:$D,MATCH($F934,'Task Master'!$C:$C,0)),"")</f>
        <v/>
      </c>
    </row>
    <row r="935" spans="1:32" x14ac:dyDescent="0.25">
      <c r="A935" t="str">
        <f t="shared" si="112"/>
        <v/>
      </c>
      <c r="B935" s="16"/>
      <c r="D935" t="str">
        <f>IF($C935="","",IFERROR(INDEX('Asset Register'!$B:$B,MATCH($C935,'Asset Register'!$A:$A,0)),""))</f>
        <v/>
      </c>
      <c r="H935" t="str">
        <f>IFERROR(INDEX('Task Master'!$E:$E,MATCH($F935&amp;"||"&amp;$G935,'Task Master'!$K:$K,0)),"")</f>
        <v/>
      </c>
      <c r="I935" t="str">
        <f>IFERROR(INDEX('Task Master'!$F:$F,MATCH($F935&amp;"||"&amp;$G935,'Task Master'!$K:$K,0)),"")</f>
        <v/>
      </c>
      <c r="J935" t="str">
        <f>IFERROR(INDEX('Task Master'!$H:$H,MATCH($F935&amp;"||"&amp;$G935,'Task Master'!$K:$K,0)),"")</f>
        <v/>
      </c>
      <c r="N935" s="18" t="str">
        <f t="shared" si="113"/>
        <v/>
      </c>
      <c r="R935" s="18">
        <f t="shared" si="114"/>
        <v>0</v>
      </c>
      <c r="V935" s="18">
        <f t="shared" si="115"/>
        <v>0</v>
      </c>
      <c r="Z935" s="18">
        <f t="shared" si="116"/>
        <v>0</v>
      </c>
      <c r="AA935" s="18"/>
      <c r="AB935" s="18">
        <f t="shared" si="117"/>
        <v>0</v>
      </c>
      <c r="AC935" s="18" t="str">
        <f t="shared" si="118"/>
        <v/>
      </c>
      <c r="AD935" s="18" t="str">
        <f t="shared" si="119"/>
        <v/>
      </c>
      <c r="AF935" t="str">
        <f>IFERROR(INDEX('Task Master'!$D:$D,MATCH($F935,'Task Master'!$C:$C,0)),"")</f>
        <v/>
      </c>
    </row>
    <row r="936" spans="1:32" x14ac:dyDescent="0.25">
      <c r="A936" t="str">
        <f t="shared" si="112"/>
        <v/>
      </c>
      <c r="B936" s="16"/>
      <c r="D936" t="str">
        <f>IF($C936="","",IFERROR(INDEX('Asset Register'!$B:$B,MATCH($C936,'Asset Register'!$A:$A,0)),""))</f>
        <v/>
      </c>
      <c r="H936" t="str">
        <f>IFERROR(INDEX('Task Master'!$E:$E,MATCH($F936&amp;"||"&amp;$G936,'Task Master'!$K:$K,0)),"")</f>
        <v/>
      </c>
      <c r="I936" t="str">
        <f>IFERROR(INDEX('Task Master'!$F:$F,MATCH($F936&amp;"||"&amp;$G936,'Task Master'!$K:$K,0)),"")</f>
        <v/>
      </c>
      <c r="J936" t="str">
        <f>IFERROR(INDEX('Task Master'!$H:$H,MATCH($F936&amp;"||"&amp;$G936,'Task Master'!$K:$K,0)),"")</f>
        <v/>
      </c>
      <c r="N936" s="18" t="str">
        <f t="shared" si="113"/>
        <v/>
      </c>
      <c r="R936" s="18">
        <f t="shared" si="114"/>
        <v>0</v>
      </c>
      <c r="V936" s="18">
        <f t="shared" si="115"/>
        <v>0</v>
      </c>
      <c r="Z936" s="18">
        <f t="shared" si="116"/>
        <v>0</v>
      </c>
      <c r="AA936" s="18"/>
      <c r="AB936" s="18">
        <f t="shared" si="117"/>
        <v>0</v>
      </c>
      <c r="AC936" s="18" t="str">
        <f t="shared" si="118"/>
        <v/>
      </c>
      <c r="AD936" s="18" t="str">
        <f t="shared" si="119"/>
        <v/>
      </c>
      <c r="AF936" t="str">
        <f>IFERROR(INDEX('Task Master'!$D:$D,MATCH($F936,'Task Master'!$C:$C,0)),"")</f>
        <v/>
      </c>
    </row>
    <row r="937" spans="1:32" x14ac:dyDescent="0.25">
      <c r="A937" t="str">
        <f t="shared" si="112"/>
        <v/>
      </c>
      <c r="B937" s="16"/>
      <c r="D937" t="str">
        <f>IF($C937="","",IFERROR(INDEX('Asset Register'!$B:$B,MATCH($C937,'Asset Register'!$A:$A,0)),""))</f>
        <v/>
      </c>
      <c r="H937" t="str">
        <f>IFERROR(INDEX('Task Master'!$E:$E,MATCH($F937&amp;"||"&amp;$G937,'Task Master'!$K:$K,0)),"")</f>
        <v/>
      </c>
      <c r="I937" t="str">
        <f>IFERROR(INDEX('Task Master'!$F:$F,MATCH($F937&amp;"||"&amp;$G937,'Task Master'!$K:$K,0)),"")</f>
        <v/>
      </c>
      <c r="J937" t="str">
        <f>IFERROR(INDEX('Task Master'!$H:$H,MATCH($F937&amp;"||"&amp;$G937,'Task Master'!$K:$K,0)),"")</f>
        <v/>
      </c>
      <c r="N937" s="18" t="str">
        <f t="shared" si="113"/>
        <v/>
      </c>
      <c r="R937" s="18">
        <f t="shared" si="114"/>
        <v>0</v>
      </c>
      <c r="V937" s="18">
        <f t="shared" si="115"/>
        <v>0</v>
      </c>
      <c r="Z937" s="18">
        <f t="shared" si="116"/>
        <v>0</v>
      </c>
      <c r="AA937" s="18"/>
      <c r="AB937" s="18">
        <f t="shared" si="117"/>
        <v>0</v>
      </c>
      <c r="AC937" s="18" t="str">
        <f t="shared" si="118"/>
        <v/>
      </c>
      <c r="AD937" s="18" t="str">
        <f t="shared" si="119"/>
        <v/>
      </c>
      <c r="AF937" t="str">
        <f>IFERROR(INDEX('Task Master'!$D:$D,MATCH($F937,'Task Master'!$C:$C,0)),"")</f>
        <v/>
      </c>
    </row>
    <row r="938" spans="1:32" x14ac:dyDescent="0.25">
      <c r="A938" t="str">
        <f t="shared" si="112"/>
        <v/>
      </c>
      <c r="B938" s="16"/>
      <c r="D938" t="str">
        <f>IF($C938="","",IFERROR(INDEX('Asset Register'!$B:$B,MATCH($C938,'Asset Register'!$A:$A,0)),""))</f>
        <v/>
      </c>
      <c r="H938" t="str">
        <f>IFERROR(INDEX('Task Master'!$E:$E,MATCH($F938&amp;"||"&amp;$G938,'Task Master'!$K:$K,0)),"")</f>
        <v/>
      </c>
      <c r="I938" t="str">
        <f>IFERROR(INDEX('Task Master'!$F:$F,MATCH($F938&amp;"||"&amp;$G938,'Task Master'!$K:$K,0)),"")</f>
        <v/>
      </c>
      <c r="J938" t="str">
        <f>IFERROR(INDEX('Task Master'!$H:$H,MATCH($F938&amp;"||"&amp;$G938,'Task Master'!$K:$K,0)),"")</f>
        <v/>
      </c>
      <c r="N938" s="18" t="str">
        <f t="shared" si="113"/>
        <v/>
      </c>
      <c r="R938" s="18">
        <f t="shared" si="114"/>
        <v>0</v>
      </c>
      <c r="V938" s="18">
        <f t="shared" si="115"/>
        <v>0</v>
      </c>
      <c r="Z938" s="18">
        <f t="shared" si="116"/>
        <v>0</v>
      </c>
      <c r="AA938" s="18"/>
      <c r="AB938" s="18">
        <f t="shared" si="117"/>
        <v>0</v>
      </c>
      <c r="AC938" s="18" t="str">
        <f t="shared" si="118"/>
        <v/>
      </c>
      <c r="AD938" s="18" t="str">
        <f t="shared" si="119"/>
        <v/>
      </c>
      <c r="AF938" t="str">
        <f>IFERROR(INDEX('Task Master'!$D:$D,MATCH($F938,'Task Master'!$C:$C,0)),"")</f>
        <v/>
      </c>
    </row>
    <row r="939" spans="1:32" x14ac:dyDescent="0.25">
      <c r="A939" t="str">
        <f t="shared" si="112"/>
        <v/>
      </c>
      <c r="B939" s="16"/>
      <c r="D939" t="str">
        <f>IF($C939="","",IFERROR(INDEX('Asset Register'!$B:$B,MATCH($C939,'Asset Register'!$A:$A,0)),""))</f>
        <v/>
      </c>
      <c r="H939" t="str">
        <f>IFERROR(INDEX('Task Master'!$E:$E,MATCH($F939&amp;"||"&amp;$G939,'Task Master'!$K:$K,0)),"")</f>
        <v/>
      </c>
      <c r="I939" t="str">
        <f>IFERROR(INDEX('Task Master'!$F:$F,MATCH($F939&amp;"||"&amp;$G939,'Task Master'!$K:$K,0)),"")</f>
        <v/>
      </c>
      <c r="J939" t="str">
        <f>IFERROR(INDEX('Task Master'!$H:$H,MATCH($F939&amp;"||"&amp;$G939,'Task Master'!$K:$K,0)),"")</f>
        <v/>
      </c>
      <c r="N939" s="18" t="str">
        <f t="shared" si="113"/>
        <v/>
      </c>
      <c r="R939" s="18">
        <f t="shared" si="114"/>
        <v>0</v>
      </c>
      <c r="V939" s="18">
        <f t="shared" si="115"/>
        <v>0</v>
      </c>
      <c r="Z939" s="18">
        <f t="shared" si="116"/>
        <v>0</v>
      </c>
      <c r="AA939" s="18"/>
      <c r="AB939" s="18">
        <f t="shared" si="117"/>
        <v>0</v>
      </c>
      <c r="AC939" s="18" t="str">
        <f t="shared" si="118"/>
        <v/>
      </c>
      <c r="AD939" s="18" t="str">
        <f t="shared" si="119"/>
        <v/>
      </c>
      <c r="AF939" t="str">
        <f>IFERROR(INDEX('Task Master'!$D:$D,MATCH($F939,'Task Master'!$C:$C,0)),"")</f>
        <v/>
      </c>
    </row>
    <row r="940" spans="1:32" x14ac:dyDescent="0.25">
      <c r="A940" t="str">
        <f t="shared" si="112"/>
        <v/>
      </c>
      <c r="B940" s="16"/>
      <c r="D940" t="str">
        <f>IF($C940="","",IFERROR(INDEX('Asset Register'!$B:$B,MATCH($C940,'Asset Register'!$A:$A,0)),""))</f>
        <v/>
      </c>
      <c r="H940" t="str">
        <f>IFERROR(INDEX('Task Master'!$E:$E,MATCH($F940&amp;"||"&amp;$G940,'Task Master'!$K:$K,0)),"")</f>
        <v/>
      </c>
      <c r="I940" t="str">
        <f>IFERROR(INDEX('Task Master'!$F:$F,MATCH($F940&amp;"||"&amp;$G940,'Task Master'!$K:$K,0)),"")</f>
        <v/>
      </c>
      <c r="J940" t="str">
        <f>IFERROR(INDEX('Task Master'!$H:$H,MATCH($F940&amp;"||"&amp;$G940,'Task Master'!$K:$K,0)),"")</f>
        <v/>
      </c>
      <c r="N940" s="18" t="str">
        <f t="shared" si="113"/>
        <v/>
      </c>
      <c r="R940" s="18">
        <f t="shared" si="114"/>
        <v>0</v>
      </c>
      <c r="V940" s="18">
        <f t="shared" si="115"/>
        <v>0</v>
      </c>
      <c r="Z940" s="18">
        <f t="shared" si="116"/>
        <v>0</v>
      </c>
      <c r="AA940" s="18"/>
      <c r="AB940" s="18">
        <f t="shared" si="117"/>
        <v>0</v>
      </c>
      <c r="AC940" s="18" t="str">
        <f t="shared" si="118"/>
        <v/>
      </c>
      <c r="AD940" s="18" t="str">
        <f t="shared" si="119"/>
        <v/>
      </c>
      <c r="AF940" t="str">
        <f>IFERROR(INDEX('Task Master'!$D:$D,MATCH($F940,'Task Master'!$C:$C,0)),"")</f>
        <v/>
      </c>
    </row>
    <row r="941" spans="1:32" x14ac:dyDescent="0.25">
      <c r="A941" t="str">
        <f t="shared" si="112"/>
        <v/>
      </c>
      <c r="B941" s="16"/>
      <c r="D941" t="str">
        <f>IF($C941="","",IFERROR(INDEX('Asset Register'!$B:$B,MATCH($C941,'Asset Register'!$A:$A,0)),""))</f>
        <v/>
      </c>
      <c r="H941" t="str">
        <f>IFERROR(INDEX('Task Master'!$E:$E,MATCH($F941&amp;"||"&amp;$G941,'Task Master'!$K:$K,0)),"")</f>
        <v/>
      </c>
      <c r="I941" t="str">
        <f>IFERROR(INDEX('Task Master'!$F:$F,MATCH($F941&amp;"||"&amp;$G941,'Task Master'!$K:$K,0)),"")</f>
        <v/>
      </c>
      <c r="J941" t="str">
        <f>IFERROR(INDEX('Task Master'!$H:$H,MATCH($F941&amp;"||"&amp;$G941,'Task Master'!$K:$K,0)),"")</f>
        <v/>
      </c>
      <c r="N941" s="18" t="str">
        <f t="shared" si="113"/>
        <v/>
      </c>
      <c r="R941" s="18">
        <f t="shared" si="114"/>
        <v>0</v>
      </c>
      <c r="V941" s="18">
        <f t="shared" si="115"/>
        <v>0</v>
      </c>
      <c r="Z941" s="18">
        <f t="shared" si="116"/>
        <v>0</v>
      </c>
      <c r="AA941" s="18"/>
      <c r="AB941" s="18">
        <f t="shared" si="117"/>
        <v>0</v>
      </c>
      <c r="AC941" s="18" t="str">
        <f t="shared" si="118"/>
        <v/>
      </c>
      <c r="AD941" s="18" t="str">
        <f t="shared" si="119"/>
        <v/>
      </c>
      <c r="AF941" t="str">
        <f>IFERROR(INDEX('Task Master'!$D:$D,MATCH($F941,'Task Master'!$C:$C,0)),"")</f>
        <v/>
      </c>
    </row>
    <row r="942" spans="1:32" x14ac:dyDescent="0.25">
      <c r="A942" t="str">
        <f t="shared" si="112"/>
        <v/>
      </c>
      <c r="B942" s="16"/>
      <c r="D942" t="str">
        <f>IF($C942="","",IFERROR(INDEX('Asset Register'!$B:$B,MATCH($C942,'Asset Register'!$A:$A,0)),""))</f>
        <v/>
      </c>
      <c r="H942" t="str">
        <f>IFERROR(INDEX('Task Master'!$E:$E,MATCH($F942&amp;"||"&amp;$G942,'Task Master'!$K:$K,0)),"")</f>
        <v/>
      </c>
      <c r="I942" t="str">
        <f>IFERROR(INDEX('Task Master'!$F:$F,MATCH($F942&amp;"||"&amp;$G942,'Task Master'!$K:$K,0)),"")</f>
        <v/>
      </c>
      <c r="J942" t="str">
        <f>IFERROR(INDEX('Task Master'!$H:$H,MATCH($F942&amp;"||"&amp;$G942,'Task Master'!$K:$K,0)),"")</f>
        <v/>
      </c>
      <c r="N942" s="18" t="str">
        <f t="shared" si="113"/>
        <v/>
      </c>
      <c r="R942" s="18">
        <f t="shared" si="114"/>
        <v>0</v>
      </c>
      <c r="V942" s="18">
        <f t="shared" si="115"/>
        <v>0</v>
      </c>
      <c r="Z942" s="18">
        <f t="shared" si="116"/>
        <v>0</v>
      </c>
      <c r="AA942" s="18"/>
      <c r="AB942" s="18">
        <f t="shared" si="117"/>
        <v>0</v>
      </c>
      <c r="AC942" s="18" t="str">
        <f t="shared" si="118"/>
        <v/>
      </c>
      <c r="AD942" s="18" t="str">
        <f t="shared" si="119"/>
        <v/>
      </c>
      <c r="AF942" t="str">
        <f>IFERROR(INDEX('Task Master'!$D:$D,MATCH($F942,'Task Master'!$C:$C,0)),"")</f>
        <v/>
      </c>
    </row>
    <row r="943" spans="1:32" x14ac:dyDescent="0.25">
      <c r="A943" t="str">
        <f t="shared" si="112"/>
        <v/>
      </c>
      <c r="B943" s="16"/>
      <c r="D943" t="str">
        <f>IF($C943="","",IFERROR(INDEX('Asset Register'!$B:$B,MATCH($C943,'Asset Register'!$A:$A,0)),""))</f>
        <v/>
      </c>
      <c r="H943" t="str">
        <f>IFERROR(INDEX('Task Master'!$E:$E,MATCH($F943&amp;"||"&amp;$G943,'Task Master'!$K:$K,0)),"")</f>
        <v/>
      </c>
      <c r="I943" t="str">
        <f>IFERROR(INDEX('Task Master'!$F:$F,MATCH($F943&amp;"||"&amp;$G943,'Task Master'!$K:$K,0)),"")</f>
        <v/>
      </c>
      <c r="J943" t="str">
        <f>IFERROR(INDEX('Task Master'!$H:$H,MATCH($F943&amp;"||"&amp;$G943,'Task Master'!$K:$K,0)),"")</f>
        <v/>
      </c>
      <c r="N943" s="18" t="str">
        <f t="shared" si="113"/>
        <v/>
      </c>
      <c r="R943" s="18">
        <f t="shared" si="114"/>
        <v>0</v>
      </c>
      <c r="V943" s="18">
        <f t="shared" si="115"/>
        <v>0</v>
      </c>
      <c r="Z943" s="18">
        <f t="shared" si="116"/>
        <v>0</v>
      </c>
      <c r="AA943" s="18"/>
      <c r="AB943" s="18">
        <f t="shared" si="117"/>
        <v>0</v>
      </c>
      <c r="AC943" s="18" t="str">
        <f t="shared" si="118"/>
        <v/>
      </c>
      <c r="AD943" s="18" t="str">
        <f t="shared" si="119"/>
        <v/>
      </c>
      <c r="AF943" t="str">
        <f>IFERROR(INDEX('Task Master'!$D:$D,MATCH($F943,'Task Master'!$C:$C,0)),"")</f>
        <v/>
      </c>
    </row>
    <row r="944" spans="1:32" x14ac:dyDescent="0.25">
      <c r="A944" t="str">
        <f t="shared" si="112"/>
        <v/>
      </c>
      <c r="B944" s="16"/>
      <c r="D944" t="str">
        <f>IF($C944="","",IFERROR(INDEX('Asset Register'!$B:$B,MATCH($C944,'Asset Register'!$A:$A,0)),""))</f>
        <v/>
      </c>
      <c r="H944" t="str">
        <f>IFERROR(INDEX('Task Master'!$E:$E,MATCH($F944&amp;"||"&amp;$G944,'Task Master'!$K:$K,0)),"")</f>
        <v/>
      </c>
      <c r="I944" t="str">
        <f>IFERROR(INDEX('Task Master'!$F:$F,MATCH($F944&amp;"||"&amp;$G944,'Task Master'!$K:$K,0)),"")</f>
        <v/>
      </c>
      <c r="J944" t="str">
        <f>IFERROR(INDEX('Task Master'!$H:$H,MATCH($F944&amp;"||"&amp;$G944,'Task Master'!$K:$K,0)),"")</f>
        <v/>
      </c>
      <c r="N944" s="18" t="str">
        <f t="shared" si="113"/>
        <v/>
      </c>
      <c r="R944" s="18">
        <f t="shared" si="114"/>
        <v>0</v>
      </c>
      <c r="V944" s="18">
        <f t="shared" si="115"/>
        <v>0</v>
      </c>
      <c r="Z944" s="18">
        <f t="shared" si="116"/>
        <v>0</v>
      </c>
      <c r="AA944" s="18"/>
      <c r="AB944" s="18">
        <f t="shared" si="117"/>
        <v>0</v>
      </c>
      <c r="AC944" s="18" t="str">
        <f t="shared" si="118"/>
        <v/>
      </c>
      <c r="AD944" s="18" t="str">
        <f t="shared" si="119"/>
        <v/>
      </c>
      <c r="AF944" t="str">
        <f>IFERROR(INDEX('Task Master'!$D:$D,MATCH($F944,'Task Master'!$C:$C,0)),"")</f>
        <v/>
      </c>
    </row>
    <row r="945" spans="1:32" x14ac:dyDescent="0.25">
      <c r="A945" t="str">
        <f t="shared" si="112"/>
        <v/>
      </c>
      <c r="B945" s="16"/>
      <c r="D945" t="str">
        <f>IF($C945="","",IFERROR(INDEX('Asset Register'!$B:$B,MATCH($C945,'Asset Register'!$A:$A,0)),""))</f>
        <v/>
      </c>
      <c r="H945" t="str">
        <f>IFERROR(INDEX('Task Master'!$E:$E,MATCH($F945&amp;"||"&amp;$G945,'Task Master'!$K:$K,0)),"")</f>
        <v/>
      </c>
      <c r="I945" t="str">
        <f>IFERROR(INDEX('Task Master'!$F:$F,MATCH($F945&amp;"||"&amp;$G945,'Task Master'!$K:$K,0)),"")</f>
        <v/>
      </c>
      <c r="J945" t="str">
        <f>IFERROR(INDEX('Task Master'!$H:$H,MATCH($F945&amp;"||"&amp;$G945,'Task Master'!$K:$K,0)),"")</f>
        <v/>
      </c>
      <c r="N945" s="18" t="str">
        <f t="shared" si="113"/>
        <v/>
      </c>
      <c r="R945" s="18">
        <f t="shared" si="114"/>
        <v>0</v>
      </c>
      <c r="V945" s="18">
        <f t="shared" si="115"/>
        <v>0</v>
      </c>
      <c r="Z945" s="18">
        <f t="shared" si="116"/>
        <v>0</v>
      </c>
      <c r="AA945" s="18"/>
      <c r="AB945" s="18">
        <f t="shared" si="117"/>
        <v>0</v>
      </c>
      <c r="AC945" s="18" t="str">
        <f t="shared" si="118"/>
        <v/>
      </c>
      <c r="AD945" s="18" t="str">
        <f t="shared" si="119"/>
        <v/>
      </c>
      <c r="AF945" t="str">
        <f>IFERROR(INDEX('Task Master'!$D:$D,MATCH($F945,'Task Master'!$C:$C,0)),"")</f>
        <v/>
      </c>
    </row>
    <row r="946" spans="1:32" x14ac:dyDescent="0.25">
      <c r="A946" t="str">
        <f t="shared" si="112"/>
        <v/>
      </c>
      <c r="B946" s="16"/>
      <c r="D946" t="str">
        <f>IF($C946="","",IFERROR(INDEX('Asset Register'!$B:$B,MATCH($C946,'Asset Register'!$A:$A,0)),""))</f>
        <v/>
      </c>
      <c r="H946" t="str">
        <f>IFERROR(INDEX('Task Master'!$E:$E,MATCH($F946&amp;"||"&amp;$G946,'Task Master'!$K:$K,0)),"")</f>
        <v/>
      </c>
      <c r="I946" t="str">
        <f>IFERROR(INDEX('Task Master'!$F:$F,MATCH($F946&amp;"||"&amp;$G946,'Task Master'!$K:$K,0)),"")</f>
        <v/>
      </c>
      <c r="J946" t="str">
        <f>IFERROR(INDEX('Task Master'!$H:$H,MATCH($F946&amp;"||"&amp;$G946,'Task Master'!$K:$K,0)),"")</f>
        <v/>
      </c>
      <c r="N946" s="18" t="str">
        <f t="shared" si="113"/>
        <v/>
      </c>
      <c r="R946" s="18">
        <f t="shared" si="114"/>
        <v>0</v>
      </c>
      <c r="V946" s="18">
        <f t="shared" si="115"/>
        <v>0</v>
      </c>
      <c r="Z946" s="18">
        <f t="shared" si="116"/>
        <v>0</v>
      </c>
      <c r="AA946" s="18"/>
      <c r="AB946" s="18">
        <f t="shared" si="117"/>
        <v>0</v>
      </c>
      <c r="AC946" s="18" t="str">
        <f t="shared" si="118"/>
        <v/>
      </c>
      <c r="AD946" s="18" t="str">
        <f t="shared" si="119"/>
        <v/>
      </c>
      <c r="AF946" t="str">
        <f>IFERROR(INDEX('Task Master'!$D:$D,MATCH($F946,'Task Master'!$C:$C,0)),"")</f>
        <v/>
      </c>
    </row>
    <row r="947" spans="1:32" x14ac:dyDescent="0.25">
      <c r="A947" t="str">
        <f t="shared" si="112"/>
        <v/>
      </c>
      <c r="B947" s="16"/>
      <c r="D947" t="str">
        <f>IF($C947="","",IFERROR(INDEX('Asset Register'!$B:$B,MATCH($C947,'Asset Register'!$A:$A,0)),""))</f>
        <v/>
      </c>
      <c r="H947" t="str">
        <f>IFERROR(INDEX('Task Master'!$E:$E,MATCH($F947&amp;"||"&amp;$G947,'Task Master'!$K:$K,0)),"")</f>
        <v/>
      </c>
      <c r="I947" t="str">
        <f>IFERROR(INDEX('Task Master'!$F:$F,MATCH($F947&amp;"||"&amp;$G947,'Task Master'!$K:$K,0)),"")</f>
        <v/>
      </c>
      <c r="J947" t="str">
        <f>IFERROR(INDEX('Task Master'!$H:$H,MATCH($F947&amp;"||"&amp;$G947,'Task Master'!$K:$K,0)),"")</f>
        <v/>
      </c>
      <c r="N947" s="18" t="str">
        <f t="shared" si="113"/>
        <v/>
      </c>
      <c r="R947" s="18">
        <f t="shared" si="114"/>
        <v>0</v>
      </c>
      <c r="V947" s="18">
        <f t="shared" si="115"/>
        <v>0</v>
      </c>
      <c r="Z947" s="18">
        <f t="shared" si="116"/>
        <v>0</v>
      </c>
      <c r="AA947" s="18"/>
      <c r="AB947" s="18">
        <f t="shared" si="117"/>
        <v>0</v>
      </c>
      <c r="AC947" s="18" t="str">
        <f t="shared" si="118"/>
        <v/>
      </c>
      <c r="AD947" s="18" t="str">
        <f t="shared" si="119"/>
        <v/>
      </c>
      <c r="AF947" t="str">
        <f>IFERROR(INDEX('Task Master'!$D:$D,MATCH($F947,'Task Master'!$C:$C,0)),"")</f>
        <v/>
      </c>
    </row>
    <row r="948" spans="1:32" x14ac:dyDescent="0.25">
      <c r="A948" t="str">
        <f t="shared" si="112"/>
        <v/>
      </c>
      <c r="B948" s="16"/>
      <c r="D948" t="str">
        <f>IF($C948="","",IFERROR(INDEX('Asset Register'!$B:$B,MATCH($C948,'Asset Register'!$A:$A,0)),""))</f>
        <v/>
      </c>
      <c r="H948" t="str">
        <f>IFERROR(INDEX('Task Master'!$E:$E,MATCH($F948&amp;"||"&amp;$G948,'Task Master'!$K:$K,0)),"")</f>
        <v/>
      </c>
      <c r="I948" t="str">
        <f>IFERROR(INDEX('Task Master'!$F:$F,MATCH($F948&amp;"||"&amp;$G948,'Task Master'!$K:$K,0)),"")</f>
        <v/>
      </c>
      <c r="J948" t="str">
        <f>IFERROR(INDEX('Task Master'!$H:$H,MATCH($F948&amp;"||"&amp;$G948,'Task Master'!$K:$K,0)),"")</f>
        <v/>
      </c>
      <c r="N948" s="18" t="str">
        <f t="shared" si="113"/>
        <v/>
      </c>
      <c r="R948" s="18">
        <f t="shared" si="114"/>
        <v>0</v>
      </c>
      <c r="V948" s="18">
        <f t="shared" si="115"/>
        <v>0</v>
      </c>
      <c r="Z948" s="18">
        <f t="shared" si="116"/>
        <v>0</v>
      </c>
      <c r="AA948" s="18"/>
      <c r="AB948" s="18">
        <f t="shared" si="117"/>
        <v>0</v>
      </c>
      <c r="AC948" s="18" t="str">
        <f t="shared" si="118"/>
        <v/>
      </c>
      <c r="AD948" s="18" t="str">
        <f t="shared" si="119"/>
        <v/>
      </c>
      <c r="AF948" t="str">
        <f>IFERROR(INDEX('Task Master'!$D:$D,MATCH($F948,'Task Master'!$C:$C,0)),"")</f>
        <v/>
      </c>
    </row>
    <row r="949" spans="1:32" x14ac:dyDescent="0.25">
      <c r="A949" t="str">
        <f t="shared" si="112"/>
        <v/>
      </c>
      <c r="B949" s="16"/>
      <c r="D949" t="str">
        <f>IF($C949="","",IFERROR(INDEX('Asset Register'!$B:$B,MATCH($C949,'Asset Register'!$A:$A,0)),""))</f>
        <v/>
      </c>
      <c r="H949" t="str">
        <f>IFERROR(INDEX('Task Master'!$E:$E,MATCH($F949&amp;"||"&amp;$G949,'Task Master'!$K:$K,0)),"")</f>
        <v/>
      </c>
      <c r="I949" t="str">
        <f>IFERROR(INDEX('Task Master'!$F:$F,MATCH($F949&amp;"||"&amp;$G949,'Task Master'!$K:$K,0)),"")</f>
        <v/>
      </c>
      <c r="J949" t="str">
        <f>IFERROR(INDEX('Task Master'!$H:$H,MATCH($F949&amp;"||"&amp;$G949,'Task Master'!$K:$K,0)),"")</f>
        <v/>
      </c>
      <c r="N949" s="18" t="str">
        <f t="shared" si="113"/>
        <v/>
      </c>
      <c r="R949" s="18">
        <f t="shared" si="114"/>
        <v>0</v>
      </c>
      <c r="V949" s="18">
        <f t="shared" si="115"/>
        <v>0</v>
      </c>
      <c r="Z949" s="18">
        <f t="shared" si="116"/>
        <v>0</v>
      </c>
      <c r="AA949" s="18"/>
      <c r="AB949" s="18">
        <f t="shared" si="117"/>
        <v>0</v>
      </c>
      <c r="AC949" s="18" t="str">
        <f t="shared" si="118"/>
        <v/>
      </c>
      <c r="AD949" s="18" t="str">
        <f t="shared" si="119"/>
        <v/>
      </c>
      <c r="AF949" t="str">
        <f>IFERROR(INDEX('Task Master'!$D:$D,MATCH($F949,'Task Master'!$C:$C,0)),"")</f>
        <v/>
      </c>
    </row>
    <row r="950" spans="1:32" x14ac:dyDescent="0.25">
      <c r="A950" t="str">
        <f t="shared" si="112"/>
        <v/>
      </c>
      <c r="B950" s="16"/>
      <c r="D950" t="str">
        <f>IF($C950="","",IFERROR(INDEX('Asset Register'!$B:$B,MATCH($C950,'Asset Register'!$A:$A,0)),""))</f>
        <v/>
      </c>
      <c r="H950" t="str">
        <f>IFERROR(INDEX('Task Master'!$E:$E,MATCH($F950&amp;"||"&amp;$G950,'Task Master'!$K:$K,0)),"")</f>
        <v/>
      </c>
      <c r="I950" t="str">
        <f>IFERROR(INDEX('Task Master'!$F:$F,MATCH($F950&amp;"||"&amp;$G950,'Task Master'!$K:$K,0)),"")</f>
        <v/>
      </c>
      <c r="J950" t="str">
        <f>IFERROR(INDEX('Task Master'!$H:$H,MATCH($F950&amp;"||"&amp;$G950,'Task Master'!$K:$K,0)),"")</f>
        <v/>
      </c>
      <c r="N950" s="18" t="str">
        <f t="shared" si="113"/>
        <v/>
      </c>
      <c r="R950" s="18">
        <f t="shared" si="114"/>
        <v>0</v>
      </c>
      <c r="V950" s="18">
        <f t="shared" si="115"/>
        <v>0</v>
      </c>
      <c r="Z950" s="18">
        <f t="shared" si="116"/>
        <v>0</v>
      </c>
      <c r="AA950" s="18"/>
      <c r="AB950" s="18">
        <f t="shared" si="117"/>
        <v>0</v>
      </c>
      <c r="AC950" s="18" t="str">
        <f t="shared" si="118"/>
        <v/>
      </c>
      <c r="AD950" s="18" t="str">
        <f t="shared" si="119"/>
        <v/>
      </c>
      <c r="AF950" t="str">
        <f>IFERROR(INDEX('Task Master'!$D:$D,MATCH($F950,'Task Master'!$C:$C,0)),"")</f>
        <v/>
      </c>
    </row>
    <row r="951" spans="1:32" x14ac:dyDescent="0.25">
      <c r="A951" t="str">
        <f t="shared" si="112"/>
        <v/>
      </c>
      <c r="B951" s="16"/>
      <c r="D951" t="str">
        <f>IF($C951="","",IFERROR(INDEX('Asset Register'!$B:$B,MATCH($C951,'Asset Register'!$A:$A,0)),""))</f>
        <v/>
      </c>
      <c r="H951" t="str">
        <f>IFERROR(INDEX('Task Master'!$E:$E,MATCH($F951&amp;"||"&amp;$G951,'Task Master'!$K:$K,0)),"")</f>
        <v/>
      </c>
      <c r="I951" t="str">
        <f>IFERROR(INDEX('Task Master'!$F:$F,MATCH($F951&amp;"||"&amp;$G951,'Task Master'!$K:$K,0)),"")</f>
        <v/>
      </c>
      <c r="J951" t="str">
        <f>IFERROR(INDEX('Task Master'!$H:$H,MATCH($F951&amp;"||"&amp;$G951,'Task Master'!$K:$K,0)),"")</f>
        <v/>
      </c>
      <c r="N951" s="18" t="str">
        <f t="shared" si="113"/>
        <v/>
      </c>
      <c r="R951" s="18">
        <f t="shared" si="114"/>
        <v>0</v>
      </c>
      <c r="V951" s="18">
        <f t="shared" si="115"/>
        <v>0</v>
      </c>
      <c r="Z951" s="18">
        <f t="shared" si="116"/>
        <v>0</v>
      </c>
      <c r="AA951" s="18"/>
      <c r="AB951" s="18">
        <f t="shared" si="117"/>
        <v>0</v>
      </c>
      <c r="AC951" s="18" t="str">
        <f t="shared" si="118"/>
        <v/>
      </c>
      <c r="AD951" s="18" t="str">
        <f t="shared" si="119"/>
        <v/>
      </c>
      <c r="AF951" t="str">
        <f>IFERROR(INDEX('Task Master'!$D:$D,MATCH($F951,'Task Master'!$C:$C,0)),"")</f>
        <v/>
      </c>
    </row>
    <row r="952" spans="1:32" x14ac:dyDescent="0.25">
      <c r="A952" t="str">
        <f t="shared" si="112"/>
        <v/>
      </c>
      <c r="B952" s="16"/>
      <c r="D952" t="str">
        <f>IF($C952="","",IFERROR(INDEX('Asset Register'!$B:$B,MATCH($C952,'Asset Register'!$A:$A,0)),""))</f>
        <v/>
      </c>
      <c r="H952" t="str">
        <f>IFERROR(INDEX('Task Master'!$E:$E,MATCH($F952&amp;"||"&amp;$G952,'Task Master'!$K:$K,0)),"")</f>
        <v/>
      </c>
      <c r="I952" t="str">
        <f>IFERROR(INDEX('Task Master'!$F:$F,MATCH($F952&amp;"||"&amp;$G952,'Task Master'!$K:$K,0)),"")</f>
        <v/>
      </c>
      <c r="J952" t="str">
        <f>IFERROR(INDEX('Task Master'!$H:$H,MATCH($F952&amp;"||"&amp;$G952,'Task Master'!$K:$K,0)),"")</f>
        <v/>
      </c>
      <c r="N952" s="18" t="str">
        <f t="shared" si="113"/>
        <v/>
      </c>
      <c r="R952" s="18">
        <f t="shared" si="114"/>
        <v>0</v>
      </c>
      <c r="V952" s="18">
        <f t="shared" si="115"/>
        <v>0</v>
      </c>
      <c r="Z952" s="18">
        <f t="shared" si="116"/>
        <v>0</v>
      </c>
      <c r="AA952" s="18"/>
      <c r="AB952" s="18">
        <f t="shared" si="117"/>
        <v>0</v>
      </c>
      <c r="AC952" s="18" t="str">
        <f t="shared" si="118"/>
        <v/>
      </c>
      <c r="AD952" s="18" t="str">
        <f t="shared" si="119"/>
        <v/>
      </c>
      <c r="AF952" t="str">
        <f>IFERROR(INDEX('Task Master'!$D:$D,MATCH($F952,'Task Master'!$C:$C,0)),"")</f>
        <v/>
      </c>
    </row>
    <row r="953" spans="1:32" x14ac:dyDescent="0.25">
      <c r="A953" t="str">
        <f t="shared" si="112"/>
        <v/>
      </c>
      <c r="B953" s="16"/>
      <c r="D953" t="str">
        <f>IF($C953="","",IFERROR(INDEX('Asset Register'!$B:$B,MATCH($C953,'Asset Register'!$A:$A,0)),""))</f>
        <v/>
      </c>
      <c r="H953" t="str">
        <f>IFERROR(INDEX('Task Master'!$E:$E,MATCH($F953&amp;"||"&amp;$G953,'Task Master'!$K:$K,0)),"")</f>
        <v/>
      </c>
      <c r="I953" t="str">
        <f>IFERROR(INDEX('Task Master'!$F:$F,MATCH($F953&amp;"||"&amp;$G953,'Task Master'!$K:$K,0)),"")</f>
        <v/>
      </c>
      <c r="J953" t="str">
        <f>IFERROR(INDEX('Task Master'!$H:$H,MATCH($F953&amp;"||"&amp;$G953,'Task Master'!$K:$K,0)),"")</f>
        <v/>
      </c>
      <c r="N953" s="18" t="str">
        <f t="shared" si="113"/>
        <v/>
      </c>
      <c r="R953" s="18">
        <f t="shared" si="114"/>
        <v>0</v>
      </c>
      <c r="V953" s="18">
        <f t="shared" si="115"/>
        <v>0</v>
      </c>
      <c r="Z953" s="18">
        <f t="shared" si="116"/>
        <v>0</v>
      </c>
      <c r="AA953" s="18"/>
      <c r="AB953" s="18">
        <f t="shared" si="117"/>
        <v>0</v>
      </c>
      <c r="AC953" s="18" t="str">
        <f t="shared" si="118"/>
        <v/>
      </c>
      <c r="AD953" s="18" t="str">
        <f t="shared" si="119"/>
        <v/>
      </c>
      <c r="AF953" t="str">
        <f>IFERROR(INDEX('Task Master'!$D:$D,MATCH($F953,'Task Master'!$C:$C,0)),"")</f>
        <v/>
      </c>
    </row>
    <row r="954" spans="1:32" x14ac:dyDescent="0.25">
      <c r="A954" t="str">
        <f t="shared" si="112"/>
        <v/>
      </c>
      <c r="B954" s="16"/>
      <c r="D954" t="str">
        <f>IF($C954="","",IFERROR(INDEX('Asset Register'!$B:$B,MATCH($C954,'Asset Register'!$A:$A,0)),""))</f>
        <v/>
      </c>
      <c r="H954" t="str">
        <f>IFERROR(INDEX('Task Master'!$E:$E,MATCH($F954&amp;"||"&amp;$G954,'Task Master'!$K:$K,0)),"")</f>
        <v/>
      </c>
      <c r="I954" t="str">
        <f>IFERROR(INDEX('Task Master'!$F:$F,MATCH($F954&amp;"||"&amp;$G954,'Task Master'!$K:$K,0)),"")</f>
        <v/>
      </c>
      <c r="J954" t="str">
        <f>IFERROR(INDEX('Task Master'!$H:$H,MATCH($F954&amp;"||"&amp;$G954,'Task Master'!$K:$K,0)),"")</f>
        <v/>
      </c>
      <c r="N954" s="18" t="str">
        <f t="shared" si="113"/>
        <v/>
      </c>
      <c r="R954" s="18">
        <f t="shared" si="114"/>
        <v>0</v>
      </c>
      <c r="V954" s="18">
        <f t="shared" si="115"/>
        <v>0</v>
      </c>
      <c r="Z954" s="18">
        <f t="shared" si="116"/>
        <v>0</v>
      </c>
      <c r="AA954" s="18"/>
      <c r="AB954" s="18">
        <f t="shared" si="117"/>
        <v>0</v>
      </c>
      <c r="AC954" s="18" t="str">
        <f t="shared" si="118"/>
        <v/>
      </c>
      <c r="AD954" s="18" t="str">
        <f t="shared" si="119"/>
        <v/>
      </c>
      <c r="AF954" t="str">
        <f>IFERROR(INDEX('Task Master'!$D:$D,MATCH($F954,'Task Master'!$C:$C,0)),"")</f>
        <v/>
      </c>
    </row>
    <row r="955" spans="1:32" x14ac:dyDescent="0.25">
      <c r="A955" t="str">
        <f t="shared" si="112"/>
        <v/>
      </c>
      <c r="B955" s="16"/>
      <c r="D955" t="str">
        <f>IF($C955="","",IFERROR(INDEX('Asset Register'!$B:$B,MATCH($C955,'Asset Register'!$A:$A,0)),""))</f>
        <v/>
      </c>
      <c r="H955" t="str">
        <f>IFERROR(INDEX('Task Master'!$E:$E,MATCH($F955&amp;"||"&amp;$G955,'Task Master'!$K:$K,0)),"")</f>
        <v/>
      </c>
      <c r="I955" t="str">
        <f>IFERROR(INDEX('Task Master'!$F:$F,MATCH($F955&amp;"||"&amp;$G955,'Task Master'!$K:$K,0)),"")</f>
        <v/>
      </c>
      <c r="J955" t="str">
        <f>IFERROR(INDEX('Task Master'!$H:$H,MATCH($F955&amp;"||"&amp;$G955,'Task Master'!$K:$K,0)),"")</f>
        <v/>
      </c>
      <c r="N955" s="18" t="str">
        <f t="shared" si="113"/>
        <v/>
      </c>
      <c r="R955" s="18">
        <f t="shared" si="114"/>
        <v>0</v>
      </c>
      <c r="V955" s="18">
        <f t="shared" si="115"/>
        <v>0</v>
      </c>
      <c r="Z955" s="18">
        <f t="shared" si="116"/>
        <v>0</v>
      </c>
      <c r="AA955" s="18"/>
      <c r="AB955" s="18">
        <f t="shared" si="117"/>
        <v>0</v>
      </c>
      <c r="AC955" s="18" t="str">
        <f t="shared" si="118"/>
        <v/>
      </c>
      <c r="AD955" s="18" t="str">
        <f t="shared" si="119"/>
        <v/>
      </c>
      <c r="AF955" t="str">
        <f>IFERROR(INDEX('Task Master'!$D:$D,MATCH($F955,'Task Master'!$C:$C,0)),"")</f>
        <v/>
      </c>
    </row>
    <row r="956" spans="1:32" x14ac:dyDescent="0.25">
      <c r="A956" t="str">
        <f t="shared" si="112"/>
        <v/>
      </c>
      <c r="B956" s="16"/>
      <c r="D956" t="str">
        <f>IF($C956="","",IFERROR(INDEX('Asset Register'!$B:$B,MATCH($C956,'Asset Register'!$A:$A,0)),""))</f>
        <v/>
      </c>
      <c r="H956" t="str">
        <f>IFERROR(INDEX('Task Master'!$E:$E,MATCH($F956&amp;"||"&amp;$G956,'Task Master'!$K:$K,0)),"")</f>
        <v/>
      </c>
      <c r="I956" t="str">
        <f>IFERROR(INDEX('Task Master'!$F:$F,MATCH($F956&amp;"||"&amp;$G956,'Task Master'!$K:$K,0)),"")</f>
        <v/>
      </c>
      <c r="J956" t="str">
        <f>IFERROR(INDEX('Task Master'!$H:$H,MATCH($F956&amp;"||"&amp;$G956,'Task Master'!$K:$K,0)),"")</f>
        <v/>
      </c>
      <c r="N956" s="18" t="str">
        <f t="shared" si="113"/>
        <v/>
      </c>
      <c r="R956" s="18">
        <f t="shared" si="114"/>
        <v>0</v>
      </c>
      <c r="V956" s="18">
        <f t="shared" si="115"/>
        <v>0</v>
      </c>
      <c r="Z956" s="18">
        <f t="shared" si="116"/>
        <v>0</v>
      </c>
      <c r="AA956" s="18"/>
      <c r="AB956" s="18">
        <f t="shared" si="117"/>
        <v>0</v>
      </c>
      <c r="AC956" s="18" t="str">
        <f t="shared" si="118"/>
        <v/>
      </c>
      <c r="AD956" s="18" t="str">
        <f t="shared" si="119"/>
        <v/>
      </c>
      <c r="AF956" t="str">
        <f>IFERROR(INDEX('Task Master'!$D:$D,MATCH($F956,'Task Master'!$C:$C,0)),"")</f>
        <v/>
      </c>
    </row>
    <row r="957" spans="1:32" x14ac:dyDescent="0.25">
      <c r="A957" t="str">
        <f t="shared" si="112"/>
        <v/>
      </c>
      <c r="B957" s="16"/>
      <c r="D957" t="str">
        <f>IF($C957="","",IFERROR(INDEX('Asset Register'!$B:$B,MATCH($C957,'Asset Register'!$A:$A,0)),""))</f>
        <v/>
      </c>
      <c r="H957" t="str">
        <f>IFERROR(INDEX('Task Master'!$E:$E,MATCH($F957&amp;"||"&amp;$G957,'Task Master'!$K:$K,0)),"")</f>
        <v/>
      </c>
      <c r="I957" t="str">
        <f>IFERROR(INDEX('Task Master'!$F:$F,MATCH($F957&amp;"||"&amp;$G957,'Task Master'!$K:$K,0)),"")</f>
        <v/>
      </c>
      <c r="J957" t="str">
        <f>IFERROR(INDEX('Task Master'!$H:$H,MATCH($F957&amp;"||"&amp;$G957,'Task Master'!$K:$K,0)),"")</f>
        <v/>
      </c>
      <c r="N957" s="18" t="str">
        <f t="shared" si="113"/>
        <v/>
      </c>
      <c r="R957" s="18">
        <f t="shared" si="114"/>
        <v>0</v>
      </c>
      <c r="V957" s="18">
        <f t="shared" si="115"/>
        <v>0</v>
      </c>
      <c r="Z957" s="18">
        <f t="shared" si="116"/>
        <v>0</v>
      </c>
      <c r="AA957" s="18"/>
      <c r="AB957" s="18">
        <f t="shared" si="117"/>
        <v>0</v>
      </c>
      <c r="AC957" s="18" t="str">
        <f t="shared" si="118"/>
        <v/>
      </c>
      <c r="AD957" s="18" t="str">
        <f t="shared" si="119"/>
        <v/>
      </c>
      <c r="AF957" t="str">
        <f>IFERROR(INDEX('Task Master'!$D:$D,MATCH($F957,'Task Master'!$C:$C,0)),"")</f>
        <v/>
      </c>
    </row>
    <row r="958" spans="1:32" x14ac:dyDescent="0.25">
      <c r="A958" t="str">
        <f t="shared" si="112"/>
        <v/>
      </c>
      <c r="B958" s="16"/>
      <c r="D958" t="str">
        <f>IF($C958="","",IFERROR(INDEX('Asset Register'!$B:$B,MATCH($C958,'Asset Register'!$A:$A,0)),""))</f>
        <v/>
      </c>
      <c r="H958" t="str">
        <f>IFERROR(INDEX('Task Master'!$E:$E,MATCH($F958&amp;"||"&amp;$G958,'Task Master'!$K:$K,0)),"")</f>
        <v/>
      </c>
      <c r="I958" t="str">
        <f>IFERROR(INDEX('Task Master'!$F:$F,MATCH($F958&amp;"||"&amp;$G958,'Task Master'!$K:$K,0)),"")</f>
        <v/>
      </c>
      <c r="J958" t="str">
        <f>IFERROR(INDEX('Task Master'!$H:$H,MATCH($F958&amp;"||"&amp;$G958,'Task Master'!$K:$K,0)),"")</f>
        <v/>
      </c>
      <c r="N958" s="18" t="str">
        <f t="shared" si="113"/>
        <v/>
      </c>
      <c r="R958" s="18">
        <f t="shared" si="114"/>
        <v>0</v>
      </c>
      <c r="V958" s="18">
        <f t="shared" si="115"/>
        <v>0</v>
      </c>
      <c r="Z958" s="18">
        <f t="shared" si="116"/>
        <v>0</v>
      </c>
      <c r="AA958" s="18"/>
      <c r="AB958" s="18">
        <f t="shared" si="117"/>
        <v>0</v>
      </c>
      <c r="AC958" s="18" t="str">
        <f t="shared" si="118"/>
        <v/>
      </c>
      <c r="AD958" s="18" t="str">
        <f t="shared" si="119"/>
        <v/>
      </c>
      <c r="AF958" t="str">
        <f>IFERROR(INDEX('Task Master'!$D:$D,MATCH($F958,'Task Master'!$C:$C,0)),"")</f>
        <v/>
      </c>
    </row>
    <row r="959" spans="1:32" x14ac:dyDescent="0.25">
      <c r="A959" t="str">
        <f t="shared" si="112"/>
        <v/>
      </c>
      <c r="B959" s="16"/>
      <c r="D959" t="str">
        <f>IF($C959="","",IFERROR(INDEX('Asset Register'!$B:$B,MATCH($C959,'Asset Register'!$A:$A,0)),""))</f>
        <v/>
      </c>
      <c r="H959" t="str">
        <f>IFERROR(INDEX('Task Master'!$E:$E,MATCH($F959&amp;"||"&amp;$G959,'Task Master'!$K:$K,0)),"")</f>
        <v/>
      </c>
      <c r="I959" t="str">
        <f>IFERROR(INDEX('Task Master'!$F:$F,MATCH($F959&amp;"||"&amp;$G959,'Task Master'!$K:$K,0)),"")</f>
        <v/>
      </c>
      <c r="J959" t="str">
        <f>IFERROR(INDEX('Task Master'!$H:$H,MATCH($F959&amp;"||"&amp;$G959,'Task Master'!$K:$K,0)),"")</f>
        <v/>
      </c>
      <c r="N959" s="18" t="str">
        <f t="shared" si="113"/>
        <v/>
      </c>
      <c r="R959" s="18">
        <f t="shared" si="114"/>
        <v>0</v>
      </c>
      <c r="V959" s="18">
        <f t="shared" si="115"/>
        <v>0</v>
      </c>
      <c r="Z959" s="18">
        <f t="shared" si="116"/>
        <v>0</v>
      </c>
      <c r="AA959" s="18"/>
      <c r="AB959" s="18">
        <f t="shared" si="117"/>
        <v>0</v>
      </c>
      <c r="AC959" s="18" t="str">
        <f t="shared" si="118"/>
        <v/>
      </c>
      <c r="AD959" s="18" t="str">
        <f t="shared" si="119"/>
        <v/>
      </c>
      <c r="AF959" t="str">
        <f>IFERROR(INDEX('Task Master'!$D:$D,MATCH($F959,'Task Master'!$C:$C,0)),"")</f>
        <v/>
      </c>
    </row>
    <row r="960" spans="1:32" x14ac:dyDescent="0.25">
      <c r="A960" t="str">
        <f t="shared" si="112"/>
        <v/>
      </c>
      <c r="B960" s="16"/>
      <c r="D960" t="str">
        <f>IF($C960="","",IFERROR(INDEX('Asset Register'!$B:$B,MATCH($C960,'Asset Register'!$A:$A,0)),""))</f>
        <v/>
      </c>
      <c r="H960" t="str">
        <f>IFERROR(INDEX('Task Master'!$E:$E,MATCH($F960&amp;"||"&amp;$G960,'Task Master'!$K:$K,0)),"")</f>
        <v/>
      </c>
      <c r="I960" t="str">
        <f>IFERROR(INDEX('Task Master'!$F:$F,MATCH($F960&amp;"||"&amp;$G960,'Task Master'!$K:$K,0)),"")</f>
        <v/>
      </c>
      <c r="J960" t="str">
        <f>IFERROR(INDEX('Task Master'!$H:$H,MATCH($F960&amp;"||"&amp;$G960,'Task Master'!$K:$K,0)),"")</f>
        <v/>
      </c>
      <c r="N960" s="18" t="str">
        <f t="shared" si="113"/>
        <v/>
      </c>
      <c r="R960" s="18">
        <f t="shared" si="114"/>
        <v>0</v>
      </c>
      <c r="V960" s="18">
        <f t="shared" si="115"/>
        <v>0</v>
      </c>
      <c r="Z960" s="18">
        <f t="shared" si="116"/>
        <v>0</v>
      </c>
      <c r="AA960" s="18"/>
      <c r="AB960" s="18">
        <f t="shared" si="117"/>
        <v>0</v>
      </c>
      <c r="AC960" s="18" t="str">
        <f t="shared" si="118"/>
        <v/>
      </c>
      <c r="AD960" s="18" t="str">
        <f t="shared" si="119"/>
        <v/>
      </c>
      <c r="AF960" t="str">
        <f>IFERROR(INDEX('Task Master'!$D:$D,MATCH($F960,'Task Master'!$C:$C,0)),"")</f>
        <v/>
      </c>
    </row>
    <row r="961" spans="1:32" x14ac:dyDescent="0.25">
      <c r="A961" t="str">
        <f t="shared" si="112"/>
        <v/>
      </c>
      <c r="B961" s="16"/>
      <c r="D961" t="str">
        <f>IF($C961="","",IFERROR(INDEX('Asset Register'!$B:$B,MATCH($C961,'Asset Register'!$A:$A,0)),""))</f>
        <v/>
      </c>
      <c r="H961" t="str">
        <f>IFERROR(INDEX('Task Master'!$E:$E,MATCH($F961&amp;"||"&amp;$G961,'Task Master'!$K:$K,0)),"")</f>
        <v/>
      </c>
      <c r="I961" t="str">
        <f>IFERROR(INDEX('Task Master'!$F:$F,MATCH($F961&amp;"||"&amp;$G961,'Task Master'!$K:$K,0)),"")</f>
        <v/>
      </c>
      <c r="J961" t="str">
        <f>IFERROR(INDEX('Task Master'!$H:$H,MATCH($F961&amp;"||"&amp;$G961,'Task Master'!$K:$K,0)),"")</f>
        <v/>
      </c>
      <c r="N961" s="18" t="str">
        <f t="shared" si="113"/>
        <v/>
      </c>
      <c r="R961" s="18">
        <f t="shared" si="114"/>
        <v>0</v>
      </c>
      <c r="V961" s="18">
        <f t="shared" si="115"/>
        <v>0</v>
      </c>
      <c r="Z961" s="18">
        <f t="shared" si="116"/>
        <v>0</v>
      </c>
      <c r="AA961" s="18"/>
      <c r="AB961" s="18">
        <f t="shared" si="117"/>
        <v>0</v>
      </c>
      <c r="AC961" s="18" t="str">
        <f t="shared" si="118"/>
        <v/>
      </c>
      <c r="AD961" s="18" t="str">
        <f t="shared" si="119"/>
        <v/>
      </c>
      <c r="AF961" t="str">
        <f>IFERROR(INDEX('Task Master'!$D:$D,MATCH($F961,'Task Master'!$C:$C,0)),"")</f>
        <v/>
      </c>
    </row>
    <row r="962" spans="1:32" x14ac:dyDescent="0.25">
      <c r="A962" t="str">
        <f t="shared" ref="A962:A1000" si="120">IF(B962="","",ROW()-1)</f>
        <v/>
      </c>
      <c r="B962" s="16"/>
      <c r="D962" t="str">
        <f>IF($C962="","",IFERROR(INDEX('Asset Register'!$B:$B,MATCH($C962,'Asset Register'!$A:$A,0)),""))</f>
        <v/>
      </c>
      <c r="H962" t="str">
        <f>IFERROR(INDEX('Task Master'!$E:$E,MATCH($F962&amp;"||"&amp;$G962,'Task Master'!$K:$K,0)),"")</f>
        <v/>
      </c>
      <c r="I962" t="str">
        <f>IFERROR(INDEX('Task Master'!$F:$F,MATCH($F962&amp;"||"&amp;$G962,'Task Master'!$K:$K,0)),"")</f>
        <v/>
      </c>
      <c r="J962" t="str">
        <f>IFERROR(INDEX('Task Master'!$H:$H,MATCH($F962&amp;"||"&amp;$G962,'Task Master'!$K:$K,0)),"")</f>
        <v/>
      </c>
      <c r="N962" s="18" t="str">
        <f t="shared" ref="N962:N1000" si="121">IF(OR($K962="",$L962="",$M962=""),"",$K962*$L962*$M962)</f>
        <v/>
      </c>
      <c r="R962" s="18">
        <f t="shared" ref="R962:R1000" si="122">IF(OR($P962="",$Q962=""),0,$P962*$Q962)</f>
        <v>0</v>
      </c>
      <c r="V962" s="18">
        <f t="shared" ref="V962:V1000" si="123">IF(OR($T962="",$U962=""),0,$T962*$U962)</f>
        <v>0</v>
      </c>
      <c r="Z962" s="18">
        <f t="shared" ref="Z962:Z1000" si="124">IF(OR($X962="",$Y962=""),0,$X962*$Y962)</f>
        <v>0</v>
      </c>
      <c r="AA962" s="18"/>
      <c r="AB962" s="18">
        <f t="shared" ref="AB962:AB1000" si="125">$R962+$V962+$Z962</f>
        <v>0</v>
      </c>
      <c r="AC962" s="18" t="str">
        <f t="shared" ref="AC962:AC1000" si="126">IF($B962="","",$AB962+$AA962+$N962)</f>
        <v/>
      </c>
      <c r="AD962" s="18" t="str">
        <f t="shared" ref="AD962:AD1000" si="127">IF(OR($K962="",$K962=0,$AC962=""),"",$AC962/$K962)</f>
        <v/>
      </c>
      <c r="AF962" t="str">
        <f>IFERROR(INDEX('Task Master'!$D:$D,MATCH($F962,'Task Master'!$C:$C,0)),"")</f>
        <v/>
      </c>
    </row>
    <row r="963" spans="1:32" x14ac:dyDescent="0.25">
      <c r="A963" t="str">
        <f t="shared" si="120"/>
        <v/>
      </c>
      <c r="B963" s="16"/>
      <c r="D963" t="str">
        <f>IF($C963="","",IFERROR(INDEX('Asset Register'!$B:$B,MATCH($C963,'Asset Register'!$A:$A,0)),""))</f>
        <v/>
      </c>
      <c r="H963" t="str">
        <f>IFERROR(INDEX('Task Master'!$E:$E,MATCH($F963&amp;"||"&amp;$G963,'Task Master'!$K:$K,0)),"")</f>
        <v/>
      </c>
      <c r="I963" t="str">
        <f>IFERROR(INDEX('Task Master'!$F:$F,MATCH($F963&amp;"||"&amp;$G963,'Task Master'!$K:$K,0)),"")</f>
        <v/>
      </c>
      <c r="J963" t="str">
        <f>IFERROR(INDEX('Task Master'!$H:$H,MATCH($F963&amp;"||"&amp;$G963,'Task Master'!$K:$K,0)),"")</f>
        <v/>
      </c>
      <c r="N963" s="18" t="str">
        <f t="shared" si="121"/>
        <v/>
      </c>
      <c r="R963" s="18">
        <f t="shared" si="122"/>
        <v>0</v>
      </c>
      <c r="V963" s="18">
        <f t="shared" si="123"/>
        <v>0</v>
      </c>
      <c r="Z963" s="18">
        <f t="shared" si="124"/>
        <v>0</v>
      </c>
      <c r="AA963" s="18"/>
      <c r="AB963" s="18">
        <f t="shared" si="125"/>
        <v>0</v>
      </c>
      <c r="AC963" s="18" t="str">
        <f t="shared" si="126"/>
        <v/>
      </c>
      <c r="AD963" s="18" t="str">
        <f t="shared" si="127"/>
        <v/>
      </c>
      <c r="AF963" t="str">
        <f>IFERROR(INDEX('Task Master'!$D:$D,MATCH($F963,'Task Master'!$C:$C,0)),"")</f>
        <v/>
      </c>
    </row>
    <row r="964" spans="1:32" x14ac:dyDescent="0.25">
      <c r="A964" t="str">
        <f t="shared" si="120"/>
        <v/>
      </c>
      <c r="B964" s="16"/>
      <c r="D964" t="str">
        <f>IF($C964="","",IFERROR(INDEX('Asset Register'!$B:$B,MATCH($C964,'Asset Register'!$A:$A,0)),""))</f>
        <v/>
      </c>
      <c r="H964" t="str">
        <f>IFERROR(INDEX('Task Master'!$E:$E,MATCH($F964&amp;"||"&amp;$G964,'Task Master'!$K:$K,0)),"")</f>
        <v/>
      </c>
      <c r="I964" t="str">
        <f>IFERROR(INDEX('Task Master'!$F:$F,MATCH($F964&amp;"||"&amp;$G964,'Task Master'!$K:$K,0)),"")</f>
        <v/>
      </c>
      <c r="J964" t="str">
        <f>IFERROR(INDEX('Task Master'!$H:$H,MATCH($F964&amp;"||"&amp;$G964,'Task Master'!$K:$K,0)),"")</f>
        <v/>
      </c>
      <c r="N964" s="18" t="str">
        <f t="shared" si="121"/>
        <v/>
      </c>
      <c r="R964" s="18">
        <f t="shared" si="122"/>
        <v>0</v>
      </c>
      <c r="V964" s="18">
        <f t="shared" si="123"/>
        <v>0</v>
      </c>
      <c r="Z964" s="18">
        <f t="shared" si="124"/>
        <v>0</v>
      </c>
      <c r="AA964" s="18"/>
      <c r="AB964" s="18">
        <f t="shared" si="125"/>
        <v>0</v>
      </c>
      <c r="AC964" s="18" t="str">
        <f t="shared" si="126"/>
        <v/>
      </c>
      <c r="AD964" s="18" t="str">
        <f t="shared" si="127"/>
        <v/>
      </c>
      <c r="AF964" t="str">
        <f>IFERROR(INDEX('Task Master'!$D:$D,MATCH($F964,'Task Master'!$C:$C,0)),"")</f>
        <v/>
      </c>
    </row>
    <row r="965" spans="1:32" x14ac:dyDescent="0.25">
      <c r="A965" t="str">
        <f t="shared" si="120"/>
        <v/>
      </c>
      <c r="B965" s="16"/>
      <c r="D965" t="str">
        <f>IF($C965="","",IFERROR(INDEX('Asset Register'!$B:$B,MATCH($C965,'Asset Register'!$A:$A,0)),""))</f>
        <v/>
      </c>
      <c r="H965" t="str">
        <f>IFERROR(INDEX('Task Master'!$E:$E,MATCH($F965&amp;"||"&amp;$G965,'Task Master'!$K:$K,0)),"")</f>
        <v/>
      </c>
      <c r="I965" t="str">
        <f>IFERROR(INDEX('Task Master'!$F:$F,MATCH($F965&amp;"||"&amp;$G965,'Task Master'!$K:$K,0)),"")</f>
        <v/>
      </c>
      <c r="J965" t="str">
        <f>IFERROR(INDEX('Task Master'!$H:$H,MATCH($F965&amp;"||"&amp;$G965,'Task Master'!$K:$K,0)),"")</f>
        <v/>
      </c>
      <c r="N965" s="18" t="str">
        <f t="shared" si="121"/>
        <v/>
      </c>
      <c r="R965" s="18">
        <f t="shared" si="122"/>
        <v>0</v>
      </c>
      <c r="V965" s="18">
        <f t="shared" si="123"/>
        <v>0</v>
      </c>
      <c r="Z965" s="18">
        <f t="shared" si="124"/>
        <v>0</v>
      </c>
      <c r="AA965" s="18"/>
      <c r="AB965" s="18">
        <f t="shared" si="125"/>
        <v>0</v>
      </c>
      <c r="AC965" s="18" t="str">
        <f t="shared" si="126"/>
        <v/>
      </c>
      <c r="AD965" s="18" t="str">
        <f t="shared" si="127"/>
        <v/>
      </c>
      <c r="AF965" t="str">
        <f>IFERROR(INDEX('Task Master'!$D:$D,MATCH($F965,'Task Master'!$C:$C,0)),"")</f>
        <v/>
      </c>
    </row>
    <row r="966" spans="1:32" x14ac:dyDescent="0.25">
      <c r="A966" t="str">
        <f t="shared" si="120"/>
        <v/>
      </c>
      <c r="B966" s="16"/>
      <c r="D966" t="str">
        <f>IF($C966="","",IFERROR(INDEX('Asset Register'!$B:$B,MATCH($C966,'Asset Register'!$A:$A,0)),""))</f>
        <v/>
      </c>
      <c r="H966" t="str">
        <f>IFERROR(INDEX('Task Master'!$E:$E,MATCH($F966&amp;"||"&amp;$G966,'Task Master'!$K:$K,0)),"")</f>
        <v/>
      </c>
      <c r="I966" t="str">
        <f>IFERROR(INDEX('Task Master'!$F:$F,MATCH($F966&amp;"||"&amp;$G966,'Task Master'!$K:$K,0)),"")</f>
        <v/>
      </c>
      <c r="J966" t="str">
        <f>IFERROR(INDEX('Task Master'!$H:$H,MATCH($F966&amp;"||"&amp;$G966,'Task Master'!$K:$K,0)),"")</f>
        <v/>
      </c>
      <c r="N966" s="18" t="str">
        <f t="shared" si="121"/>
        <v/>
      </c>
      <c r="R966" s="18">
        <f t="shared" si="122"/>
        <v>0</v>
      </c>
      <c r="V966" s="18">
        <f t="shared" si="123"/>
        <v>0</v>
      </c>
      <c r="Z966" s="18">
        <f t="shared" si="124"/>
        <v>0</v>
      </c>
      <c r="AA966" s="18"/>
      <c r="AB966" s="18">
        <f t="shared" si="125"/>
        <v>0</v>
      </c>
      <c r="AC966" s="18" t="str">
        <f t="shared" si="126"/>
        <v/>
      </c>
      <c r="AD966" s="18" t="str">
        <f t="shared" si="127"/>
        <v/>
      </c>
      <c r="AF966" t="str">
        <f>IFERROR(INDEX('Task Master'!$D:$D,MATCH($F966,'Task Master'!$C:$C,0)),"")</f>
        <v/>
      </c>
    </row>
    <row r="967" spans="1:32" x14ac:dyDescent="0.25">
      <c r="A967" t="str">
        <f t="shared" si="120"/>
        <v/>
      </c>
      <c r="B967" s="16"/>
      <c r="D967" t="str">
        <f>IF($C967="","",IFERROR(INDEX('Asset Register'!$B:$B,MATCH($C967,'Asset Register'!$A:$A,0)),""))</f>
        <v/>
      </c>
      <c r="H967" t="str">
        <f>IFERROR(INDEX('Task Master'!$E:$E,MATCH($F967&amp;"||"&amp;$G967,'Task Master'!$K:$K,0)),"")</f>
        <v/>
      </c>
      <c r="I967" t="str">
        <f>IFERROR(INDEX('Task Master'!$F:$F,MATCH($F967&amp;"||"&amp;$G967,'Task Master'!$K:$K,0)),"")</f>
        <v/>
      </c>
      <c r="J967" t="str">
        <f>IFERROR(INDEX('Task Master'!$H:$H,MATCH($F967&amp;"||"&amp;$G967,'Task Master'!$K:$K,0)),"")</f>
        <v/>
      </c>
      <c r="N967" s="18" t="str">
        <f t="shared" si="121"/>
        <v/>
      </c>
      <c r="R967" s="18">
        <f t="shared" si="122"/>
        <v>0</v>
      </c>
      <c r="V967" s="18">
        <f t="shared" si="123"/>
        <v>0</v>
      </c>
      <c r="Z967" s="18">
        <f t="shared" si="124"/>
        <v>0</v>
      </c>
      <c r="AA967" s="18"/>
      <c r="AB967" s="18">
        <f t="shared" si="125"/>
        <v>0</v>
      </c>
      <c r="AC967" s="18" t="str">
        <f t="shared" si="126"/>
        <v/>
      </c>
      <c r="AD967" s="18" t="str">
        <f t="shared" si="127"/>
        <v/>
      </c>
      <c r="AF967" t="str">
        <f>IFERROR(INDEX('Task Master'!$D:$D,MATCH($F967,'Task Master'!$C:$C,0)),"")</f>
        <v/>
      </c>
    </row>
    <row r="968" spans="1:32" x14ac:dyDescent="0.25">
      <c r="A968" t="str">
        <f t="shared" si="120"/>
        <v/>
      </c>
      <c r="B968" s="16"/>
      <c r="D968" t="str">
        <f>IF($C968="","",IFERROR(INDEX('Asset Register'!$B:$B,MATCH($C968,'Asset Register'!$A:$A,0)),""))</f>
        <v/>
      </c>
      <c r="H968" t="str">
        <f>IFERROR(INDEX('Task Master'!$E:$E,MATCH($F968&amp;"||"&amp;$G968,'Task Master'!$K:$K,0)),"")</f>
        <v/>
      </c>
      <c r="I968" t="str">
        <f>IFERROR(INDEX('Task Master'!$F:$F,MATCH($F968&amp;"||"&amp;$G968,'Task Master'!$K:$K,0)),"")</f>
        <v/>
      </c>
      <c r="J968" t="str">
        <f>IFERROR(INDEX('Task Master'!$H:$H,MATCH($F968&amp;"||"&amp;$G968,'Task Master'!$K:$K,0)),"")</f>
        <v/>
      </c>
      <c r="N968" s="18" t="str">
        <f t="shared" si="121"/>
        <v/>
      </c>
      <c r="R968" s="18">
        <f t="shared" si="122"/>
        <v>0</v>
      </c>
      <c r="V968" s="18">
        <f t="shared" si="123"/>
        <v>0</v>
      </c>
      <c r="Z968" s="18">
        <f t="shared" si="124"/>
        <v>0</v>
      </c>
      <c r="AA968" s="18"/>
      <c r="AB968" s="18">
        <f t="shared" si="125"/>
        <v>0</v>
      </c>
      <c r="AC968" s="18" t="str">
        <f t="shared" si="126"/>
        <v/>
      </c>
      <c r="AD968" s="18" t="str">
        <f t="shared" si="127"/>
        <v/>
      </c>
      <c r="AF968" t="str">
        <f>IFERROR(INDEX('Task Master'!$D:$D,MATCH($F968,'Task Master'!$C:$C,0)),"")</f>
        <v/>
      </c>
    </row>
    <row r="969" spans="1:32" x14ac:dyDescent="0.25">
      <c r="A969" t="str">
        <f t="shared" si="120"/>
        <v/>
      </c>
      <c r="B969" s="16"/>
      <c r="D969" t="str">
        <f>IF($C969="","",IFERROR(INDEX('Asset Register'!$B:$B,MATCH($C969,'Asset Register'!$A:$A,0)),""))</f>
        <v/>
      </c>
      <c r="H969" t="str">
        <f>IFERROR(INDEX('Task Master'!$E:$E,MATCH($F969&amp;"||"&amp;$G969,'Task Master'!$K:$K,0)),"")</f>
        <v/>
      </c>
      <c r="I969" t="str">
        <f>IFERROR(INDEX('Task Master'!$F:$F,MATCH($F969&amp;"||"&amp;$G969,'Task Master'!$K:$K,0)),"")</f>
        <v/>
      </c>
      <c r="J969" t="str">
        <f>IFERROR(INDEX('Task Master'!$H:$H,MATCH($F969&amp;"||"&amp;$G969,'Task Master'!$K:$K,0)),"")</f>
        <v/>
      </c>
      <c r="N969" s="18" t="str">
        <f t="shared" si="121"/>
        <v/>
      </c>
      <c r="R969" s="18">
        <f t="shared" si="122"/>
        <v>0</v>
      </c>
      <c r="V969" s="18">
        <f t="shared" si="123"/>
        <v>0</v>
      </c>
      <c r="Z969" s="18">
        <f t="shared" si="124"/>
        <v>0</v>
      </c>
      <c r="AA969" s="18"/>
      <c r="AB969" s="18">
        <f t="shared" si="125"/>
        <v>0</v>
      </c>
      <c r="AC969" s="18" t="str">
        <f t="shared" si="126"/>
        <v/>
      </c>
      <c r="AD969" s="18" t="str">
        <f t="shared" si="127"/>
        <v/>
      </c>
      <c r="AF969" t="str">
        <f>IFERROR(INDEX('Task Master'!$D:$D,MATCH($F969,'Task Master'!$C:$C,0)),"")</f>
        <v/>
      </c>
    </row>
    <row r="970" spans="1:32" x14ac:dyDescent="0.25">
      <c r="A970" t="str">
        <f t="shared" si="120"/>
        <v/>
      </c>
      <c r="B970" s="16"/>
      <c r="D970" t="str">
        <f>IF($C970="","",IFERROR(INDEX('Asset Register'!$B:$B,MATCH($C970,'Asset Register'!$A:$A,0)),""))</f>
        <v/>
      </c>
      <c r="H970" t="str">
        <f>IFERROR(INDEX('Task Master'!$E:$E,MATCH($F970&amp;"||"&amp;$G970,'Task Master'!$K:$K,0)),"")</f>
        <v/>
      </c>
      <c r="I970" t="str">
        <f>IFERROR(INDEX('Task Master'!$F:$F,MATCH($F970&amp;"||"&amp;$G970,'Task Master'!$K:$K,0)),"")</f>
        <v/>
      </c>
      <c r="J970" t="str">
        <f>IFERROR(INDEX('Task Master'!$H:$H,MATCH($F970&amp;"||"&amp;$G970,'Task Master'!$K:$K,0)),"")</f>
        <v/>
      </c>
      <c r="N970" s="18" t="str">
        <f t="shared" si="121"/>
        <v/>
      </c>
      <c r="R970" s="18">
        <f t="shared" si="122"/>
        <v>0</v>
      </c>
      <c r="V970" s="18">
        <f t="shared" si="123"/>
        <v>0</v>
      </c>
      <c r="Z970" s="18">
        <f t="shared" si="124"/>
        <v>0</v>
      </c>
      <c r="AA970" s="18"/>
      <c r="AB970" s="18">
        <f t="shared" si="125"/>
        <v>0</v>
      </c>
      <c r="AC970" s="18" t="str">
        <f t="shared" si="126"/>
        <v/>
      </c>
      <c r="AD970" s="18" t="str">
        <f t="shared" si="127"/>
        <v/>
      </c>
      <c r="AF970" t="str">
        <f>IFERROR(INDEX('Task Master'!$D:$D,MATCH($F970,'Task Master'!$C:$C,0)),"")</f>
        <v/>
      </c>
    </row>
    <row r="971" spans="1:32" x14ac:dyDescent="0.25">
      <c r="A971" t="str">
        <f t="shared" si="120"/>
        <v/>
      </c>
      <c r="B971" s="16"/>
      <c r="D971" t="str">
        <f>IF($C971="","",IFERROR(INDEX('Asset Register'!$B:$B,MATCH($C971,'Asset Register'!$A:$A,0)),""))</f>
        <v/>
      </c>
      <c r="H971" t="str">
        <f>IFERROR(INDEX('Task Master'!$E:$E,MATCH($F971&amp;"||"&amp;$G971,'Task Master'!$K:$K,0)),"")</f>
        <v/>
      </c>
      <c r="I971" t="str">
        <f>IFERROR(INDEX('Task Master'!$F:$F,MATCH($F971&amp;"||"&amp;$G971,'Task Master'!$K:$K,0)),"")</f>
        <v/>
      </c>
      <c r="J971" t="str">
        <f>IFERROR(INDEX('Task Master'!$H:$H,MATCH($F971&amp;"||"&amp;$G971,'Task Master'!$K:$K,0)),"")</f>
        <v/>
      </c>
      <c r="N971" s="18" t="str">
        <f t="shared" si="121"/>
        <v/>
      </c>
      <c r="R971" s="18">
        <f t="shared" si="122"/>
        <v>0</v>
      </c>
      <c r="V971" s="18">
        <f t="shared" si="123"/>
        <v>0</v>
      </c>
      <c r="Z971" s="18">
        <f t="shared" si="124"/>
        <v>0</v>
      </c>
      <c r="AA971" s="18"/>
      <c r="AB971" s="18">
        <f t="shared" si="125"/>
        <v>0</v>
      </c>
      <c r="AC971" s="18" t="str">
        <f t="shared" si="126"/>
        <v/>
      </c>
      <c r="AD971" s="18" t="str">
        <f t="shared" si="127"/>
        <v/>
      </c>
      <c r="AF971" t="str">
        <f>IFERROR(INDEX('Task Master'!$D:$D,MATCH($F971,'Task Master'!$C:$C,0)),"")</f>
        <v/>
      </c>
    </row>
    <row r="972" spans="1:32" x14ac:dyDescent="0.25">
      <c r="A972" t="str">
        <f t="shared" si="120"/>
        <v/>
      </c>
      <c r="B972" s="16"/>
      <c r="D972" t="str">
        <f>IF($C972="","",IFERROR(INDEX('Asset Register'!$B:$B,MATCH($C972,'Asset Register'!$A:$A,0)),""))</f>
        <v/>
      </c>
      <c r="H972" t="str">
        <f>IFERROR(INDEX('Task Master'!$E:$E,MATCH($F972&amp;"||"&amp;$G972,'Task Master'!$K:$K,0)),"")</f>
        <v/>
      </c>
      <c r="I972" t="str">
        <f>IFERROR(INDEX('Task Master'!$F:$F,MATCH($F972&amp;"||"&amp;$G972,'Task Master'!$K:$K,0)),"")</f>
        <v/>
      </c>
      <c r="J972" t="str">
        <f>IFERROR(INDEX('Task Master'!$H:$H,MATCH($F972&amp;"||"&amp;$G972,'Task Master'!$K:$K,0)),"")</f>
        <v/>
      </c>
      <c r="N972" s="18" t="str">
        <f t="shared" si="121"/>
        <v/>
      </c>
      <c r="R972" s="18">
        <f t="shared" si="122"/>
        <v>0</v>
      </c>
      <c r="V972" s="18">
        <f t="shared" si="123"/>
        <v>0</v>
      </c>
      <c r="Z972" s="18">
        <f t="shared" si="124"/>
        <v>0</v>
      </c>
      <c r="AA972" s="18"/>
      <c r="AB972" s="18">
        <f t="shared" si="125"/>
        <v>0</v>
      </c>
      <c r="AC972" s="18" t="str">
        <f t="shared" si="126"/>
        <v/>
      </c>
      <c r="AD972" s="18" t="str">
        <f t="shared" si="127"/>
        <v/>
      </c>
      <c r="AF972" t="str">
        <f>IFERROR(INDEX('Task Master'!$D:$D,MATCH($F972,'Task Master'!$C:$C,0)),"")</f>
        <v/>
      </c>
    </row>
    <row r="973" spans="1:32" x14ac:dyDescent="0.25">
      <c r="A973" t="str">
        <f t="shared" si="120"/>
        <v/>
      </c>
      <c r="B973" s="16"/>
      <c r="D973" t="str">
        <f>IF($C973="","",IFERROR(INDEX('Asset Register'!$B:$B,MATCH($C973,'Asset Register'!$A:$A,0)),""))</f>
        <v/>
      </c>
      <c r="H973" t="str">
        <f>IFERROR(INDEX('Task Master'!$E:$E,MATCH($F973&amp;"||"&amp;$G973,'Task Master'!$K:$K,0)),"")</f>
        <v/>
      </c>
      <c r="I973" t="str">
        <f>IFERROR(INDEX('Task Master'!$F:$F,MATCH($F973&amp;"||"&amp;$G973,'Task Master'!$K:$K,0)),"")</f>
        <v/>
      </c>
      <c r="J973" t="str">
        <f>IFERROR(INDEX('Task Master'!$H:$H,MATCH($F973&amp;"||"&amp;$G973,'Task Master'!$K:$K,0)),"")</f>
        <v/>
      </c>
      <c r="N973" s="18" t="str">
        <f t="shared" si="121"/>
        <v/>
      </c>
      <c r="R973" s="18">
        <f t="shared" si="122"/>
        <v>0</v>
      </c>
      <c r="V973" s="18">
        <f t="shared" si="123"/>
        <v>0</v>
      </c>
      <c r="Z973" s="18">
        <f t="shared" si="124"/>
        <v>0</v>
      </c>
      <c r="AA973" s="18"/>
      <c r="AB973" s="18">
        <f t="shared" si="125"/>
        <v>0</v>
      </c>
      <c r="AC973" s="18" t="str">
        <f t="shared" si="126"/>
        <v/>
      </c>
      <c r="AD973" s="18" t="str">
        <f t="shared" si="127"/>
        <v/>
      </c>
      <c r="AF973" t="str">
        <f>IFERROR(INDEX('Task Master'!$D:$D,MATCH($F973,'Task Master'!$C:$C,0)),"")</f>
        <v/>
      </c>
    </row>
    <row r="974" spans="1:32" x14ac:dyDescent="0.25">
      <c r="A974" t="str">
        <f t="shared" si="120"/>
        <v/>
      </c>
      <c r="B974" s="16"/>
      <c r="D974" t="str">
        <f>IF($C974="","",IFERROR(INDEX('Asset Register'!$B:$B,MATCH($C974,'Asset Register'!$A:$A,0)),""))</f>
        <v/>
      </c>
      <c r="H974" t="str">
        <f>IFERROR(INDEX('Task Master'!$E:$E,MATCH($F974&amp;"||"&amp;$G974,'Task Master'!$K:$K,0)),"")</f>
        <v/>
      </c>
      <c r="I974" t="str">
        <f>IFERROR(INDEX('Task Master'!$F:$F,MATCH($F974&amp;"||"&amp;$G974,'Task Master'!$K:$K,0)),"")</f>
        <v/>
      </c>
      <c r="J974" t="str">
        <f>IFERROR(INDEX('Task Master'!$H:$H,MATCH($F974&amp;"||"&amp;$G974,'Task Master'!$K:$K,0)),"")</f>
        <v/>
      </c>
      <c r="N974" s="18" t="str">
        <f t="shared" si="121"/>
        <v/>
      </c>
      <c r="R974" s="18">
        <f t="shared" si="122"/>
        <v>0</v>
      </c>
      <c r="V974" s="18">
        <f t="shared" si="123"/>
        <v>0</v>
      </c>
      <c r="Z974" s="18">
        <f t="shared" si="124"/>
        <v>0</v>
      </c>
      <c r="AA974" s="18"/>
      <c r="AB974" s="18">
        <f t="shared" si="125"/>
        <v>0</v>
      </c>
      <c r="AC974" s="18" t="str">
        <f t="shared" si="126"/>
        <v/>
      </c>
      <c r="AD974" s="18" t="str">
        <f t="shared" si="127"/>
        <v/>
      </c>
      <c r="AF974" t="str">
        <f>IFERROR(INDEX('Task Master'!$D:$D,MATCH($F974,'Task Master'!$C:$C,0)),"")</f>
        <v/>
      </c>
    </row>
    <row r="975" spans="1:32" x14ac:dyDescent="0.25">
      <c r="A975" t="str">
        <f t="shared" si="120"/>
        <v/>
      </c>
      <c r="B975" s="16"/>
      <c r="D975" t="str">
        <f>IF($C975="","",IFERROR(INDEX('Asset Register'!$B:$B,MATCH($C975,'Asset Register'!$A:$A,0)),""))</f>
        <v/>
      </c>
      <c r="H975" t="str">
        <f>IFERROR(INDEX('Task Master'!$E:$E,MATCH($F975&amp;"||"&amp;$G975,'Task Master'!$K:$K,0)),"")</f>
        <v/>
      </c>
      <c r="I975" t="str">
        <f>IFERROR(INDEX('Task Master'!$F:$F,MATCH($F975&amp;"||"&amp;$G975,'Task Master'!$K:$K,0)),"")</f>
        <v/>
      </c>
      <c r="J975" t="str">
        <f>IFERROR(INDEX('Task Master'!$H:$H,MATCH($F975&amp;"||"&amp;$G975,'Task Master'!$K:$K,0)),"")</f>
        <v/>
      </c>
      <c r="N975" s="18" t="str">
        <f t="shared" si="121"/>
        <v/>
      </c>
      <c r="R975" s="18">
        <f t="shared" si="122"/>
        <v>0</v>
      </c>
      <c r="V975" s="18">
        <f t="shared" si="123"/>
        <v>0</v>
      </c>
      <c r="Z975" s="18">
        <f t="shared" si="124"/>
        <v>0</v>
      </c>
      <c r="AA975" s="18"/>
      <c r="AB975" s="18">
        <f t="shared" si="125"/>
        <v>0</v>
      </c>
      <c r="AC975" s="18" t="str">
        <f t="shared" si="126"/>
        <v/>
      </c>
      <c r="AD975" s="18" t="str">
        <f t="shared" si="127"/>
        <v/>
      </c>
      <c r="AF975" t="str">
        <f>IFERROR(INDEX('Task Master'!$D:$D,MATCH($F975,'Task Master'!$C:$C,0)),"")</f>
        <v/>
      </c>
    </row>
    <row r="976" spans="1:32" x14ac:dyDescent="0.25">
      <c r="A976" t="str">
        <f t="shared" si="120"/>
        <v/>
      </c>
      <c r="B976" s="16"/>
      <c r="D976" t="str">
        <f>IF($C976="","",IFERROR(INDEX('Asset Register'!$B:$B,MATCH($C976,'Asset Register'!$A:$A,0)),""))</f>
        <v/>
      </c>
      <c r="H976" t="str">
        <f>IFERROR(INDEX('Task Master'!$E:$E,MATCH($F976&amp;"||"&amp;$G976,'Task Master'!$K:$K,0)),"")</f>
        <v/>
      </c>
      <c r="I976" t="str">
        <f>IFERROR(INDEX('Task Master'!$F:$F,MATCH($F976&amp;"||"&amp;$G976,'Task Master'!$K:$K,0)),"")</f>
        <v/>
      </c>
      <c r="J976" t="str">
        <f>IFERROR(INDEX('Task Master'!$H:$H,MATCH($F976&amp;"||"&amp;$G976,'Task Master'!$K:$K,0)),"")</f>
        <v/>
      </c>
      <c r="N976" s="18" t="str">
        <f t="shared" si="121"/>
        <v/>
      </c>
      <c r="R976" s="18">
        <f t="shared" si="122"/>
        <v>0</v>
      </c>
      <c r="V976" s="18">
        <f t="shared" si="123"/>
        <v>0</v>
      </c>
      <c r="Z976" s="18">
        <f t="shared" si="124"/>
        <v>0</v>
      </c>
      <c r="AA976" s="18"/>
      <c r="AB976" s="18">
        <f t="shared" si="125"/>
        <v>0</v>
      </c>
      <c r="AC976" s="18" t="str">
        <f t="shared" si="126"/>
        <v/>
      </c>
      <c r="AD976" s="18" t="str">
        <f t="shared" si="127"/>
        <v/>
      </c>
      <c r="AF976" t="str">
        <f>IFERROR(INDEX('Task Master'!$D:$D,MATCH($F976,'Task Master'!$C:$C,0)),"")</f>
        <v/>
      </c>
    </row>
    <row r="977" spans="1:32" x14ac:dyDescent="0.25">
      <c r="A977" t="str">
        <f t="shared" si="120"/>
        <v/>
      </c>
      <c r="B977" s="16"/>
      <c r="D977" t="str">
        <f>IF($C977="","",IFERROR(INDEX('Asset Register'!$B:$B,MATCH($C977,'Asset Register'!$A:$A,0)),""))</f>
        <v/>
      </c>
      <c r="H977" t="str">
        <f>IFERROR(INDEX('Task Master'!$E:$E,MATCH($F977&amp;"||"&amp;$G977,'Task Master'!$K:$K,0)),"")</f>
        <v/>
      </c>
      <c r="I977" t="str">
        <f>IFERROR(INDEX('Task Master'!$F:$F,MATCH($F977&amp;"||"&amp;$G977,'Task Master'!$K:$K,0)),"")</f>
        <v/>
      </c>
      <c r="J977" t="str">
        <f>IFERROR(INDEX('Task Master'!$H:$H,MATCH($F977&amp;"||"&amp;$G977,'Task Master'!$K:$K,0)),"")</f>
        <v/>
      </c>
      <c r="N977" s="18" t="str">
        <f t="shared" si="121"/>
        <v/>
      </c>
      <c r="R977" s="18">
        <f t="shared" si="122"/>
        <v>0</v>
      </c>
      <c r="V977" s="18">
        <f t="shared" si="123"/>
        <v>0</v>
      </c>
      <c r="Z977" s="18">
        <f t="shared" si="124"/>
        <v>0</v>
      </c>
      <c r="AA977" s="18"/>
      <c r="AB977" s="18">
        <f t="shared" si="125"/>
        <v>0</v>
      </c>
      <c r="AC977" s="18" t="str">
        <f t="shared" si="126"/>
        <v/>
      </c>
      <c r="AD977" s="18" t="str">
        <f t="shared" si="127"/>
        <v/>
      </c>
      <c r="AF977" t="str">
        <f>IFERROR(INDEX('Task Master'!$D:$D,MATCH($F977,'Task Master'!$C:$C,0)),"")</f>
        <v/>
      </c>
    </row>
    <row r="978" spans="1:32" x14ac:dyDescent="0.25">
      <c r="A978" t="str">
        <f t="shared" si="120"/>
        <v/>
      </c>
      <c r="B978" s="16"/>
      <c r="D978" t="str">
        <f>IF($C978="","",IFERROR(INDEX('Asset Register'!$B:$B,MATCH($C978,'Asset Register'!$A:$A,0)),""))</f>
        <v/>
      </c>
      <c r="H978" t="str">
        <f>IFERROR(INDEX('Task Master'!$E:$E,MATCH($F978&amp;"||"&amp;$G978,'Task Master'!$K:$K,0)),"")</f>
        <v/>
      </c>
      <c r="I978" t="str">
        <f>IFERROR(INDEX('Task Master'!$F:$F,MATCH($F978&amp;"||"&amp;$G978,'Task Master'!$K:$K,0)),"")</f>
        <v/>
      </c>
      <c r="J978" t="str">
        <f>IFERROR(INDEX('Task Master'!$H:$H,MATCH($F978&amp;"||"&amp;$G978,'Task Master'!$K:$K,0)),"")</f>
        <v/>
      </c>
      <c r="N978" s="18" t="str">
        <f t="shared" si="121"/>
        <v/>
      </c>
      <c r="R978" s="18">
        <f t="shared" si="122"/>
        <v>0</v>
      </c>
      <c r="V978" s="18">
        <f t="shared" si="123"/>
        <v>0</v>
      </c>
      <c r="Z978" s="18">
        <f t="shared" si="124"/>
        <v>0</v>
      </c>
      <c r="AA978" s="18"/>
      <c r="AB978" s="18">
        <f t="shared" si="125"/>
        <v>0</v>
      </c>
      <c r="AC978" s="18" t="str">
        <f t="shared" si="126"/>
        <v/>
      </c>
      <c r="AD978" s="18" t="str">
        <f t="shared" si="127"/>
        <v/>
      </c>
      <c r="AF978" t="str">
        <f>IFERROR(INDEX('Task Master'!$D:$D,MATCH($F978,'Task Master'!$C:$C,0)),"")</f>
        <v/>
      </c>
    </row>
    <row r="979" spans="1:32" x14ac:dyDescent="0.25">
      <c r="A979" t="str">
        <f t="shared" si="120"/>
        <v/>
      </c>
      <c r="B979" s="16"/>
      <c r="D979" t="str">
        <f>IF($C979="","",IFERROR(INDEX('Asset Register'!$B:$B,MATCH($C979,'Asset Register'!$A:$A,0)),""))</f>
        <v/>
      </c>
      <c r="H979" t="str">
        <f>IFERROR(INDEX('Task Master'!$E:$E,MATCH($F979&amp;"||"&amp;$G979,'Task Master'!$K:$K,0)),"")</f>
        <v/>
      </c>
      <c r="I979" t="str">
        <f>IFERROR(INDEX('Task Master'!$F:$F,MATCH($F979&amp;"||"&amp;$G979,'Task Master'!$K:$K,0)),"")</f>
        <v/>
      </c>
      <c r="J979" t="str">
        <f>IFERROR(INDEX('Task Master'!$H:$H,MATCH($F979&amp;"||"&amp;$G979,'Task Master'!$K:$K,0)),"")</f>
        <v/>
      </c>
      <c r="N979" s="18" t="str">
        <f t="shared" si="121"/>
        <v/>
      </c>
      <c r="R979" s="18">
        <f t="shared" si="122"/>
        <v>0</v>
      </c>
      <c r="V979" s="18">
        <f t="shared" si="123"/>
        <v>0</v>
      </c>
      <c r="Z979" s="18">
        <f t="shared" si="124"/>
        <v>0</v>
      </c>
      <c r="AA979" s="18"/>
      <c r="AB979" s="18">
        <f t="shared" si="125"/>
        <v>0</v>
      </c>
      <c r="AC979" s="18" t="str">
        <f t="shared" si="126"/>
        <v/>
      </c>
      <c r="AD979" s="18" t="str">
        <f t="shared" si="127"/>
        <v/>
      </c>
      <c r="AF979" t="str">
        <f>IFERROR(INDEX('Task Master'!$D:$D,MATCH($F979,'Task Master'!$C:$C,0)),"")</f>
        <v/>
      </c>
    </row>
    <row r="980" spans="1:32" x14ac:dyDescent="0.25">
      <c r="A980" t="str">
        <f t="shared" si="120"/>
        <v/>
      </c>
      <c r="B980" s="16"/>
      <c r="D980" t="str">
        <f>IF($C980="","",IFERROR(INDEX('Asset Register'!$B:$B,MATCH($C980,'Asset Register'!$A:$A,0)),""))</f>
        <v/>
      </c>
      <c r="H980" t="str">
        <f>IFERROR(INDEX('Task Master'!$E:$E,MATCH($F980&amp;"||"&amp;$G980,'Task Master'!$K:$K,0)),"")</f>
        <v/>
      </c>
      <c r="I980" t="str">
        <f>IFERROR(INDEX('Task Master'!$F:$F,MATCH($F980&amp;"||"&amp;$G980,'Task Master'!$K:$K,0)),"")</f>
        <v/>
      </c>
      <c r="J980" t="str">
        <f>IFERROR(INDEX('Task Master'!$H:$H,MATCH($F980&amp;"||"&amp;$G980,'Task Master'!$K:$K,0)),"")</f>
        <v/>
      </c>
      <c r="N980" s="18" t="str">
        <f t="shared" si="121"/>
        <v/>
      </c>
      <c r="R980" s="18">
        <f t="shared" si="122"/>
        <v>0</v>
      </c>
      <c r="V980" s="18">
        <f t="shared" si="123"/>
        <v>0</v>
      </c>
      <c r="Z980" s="18">
        <f t="shared" si="124"/>
        <v>0</v>
      </c>
      <c r="AA980" s="18"/>
      <c r="AB980" s="18">
        <f t="shared" si="125"/>
        <v>0</v>
      </c>
      <c r="AC980" s="18" t="str">
        <f t="shared" si="126"/>
        <v/>
      </c>
      <c r="AD980" s="18" t="str">
        <f t="shared" si="127"/>
        <v/>
      </c>
      <c r="AF980" t="str">
        <f>IFERROR(INDEX('Task Master'!$D:$D,MATCH($F980,'Task Master'!$C:$C,0)),"")</f>
        <v/>
      </c>
    </row>
    <row r="981" spans="1:32" x14ac:dyDescent="0.25">
      <c r="A981" t="str">
        <f t="shared" si="120"/>
        <v/>
      </c>
      <c r="B981" s="16"/>
      <c r="D981" t="str">
        <f>IF($C981="","",IFERROR(INDEX('Asset Register'!$B:$B,MATCH($C981,'Asset Register'!$A:$A,0)),""))</f>
        <v/>
      </c>
      <c r="H981" t="str">
        <f>IFERROR(INDEX('Task Master'!$E:$E,MATCH($F981&amp;"||"&amp;$G981,'Task Master'!$K:$K,0)),"")</f>
        <v/>
      </c>
      <c r="I981" t="str">
        <f>IFERROR(INDEX('Task Master'!$F:$F,MATCH($F981&amp;"||"&amp;$G981,'Task Master'!$K:$K,0)),"")</f>
        <v/>
      </c>
      <c r="J981" t="str">
        <f>IFERROR(INDEX('Task Master'!$H:$H,MATCH($F981&amp;"||"&amp;$G981,'Task Master'!$K:$K,0)),"")</f>
        <v/>
      </c>
      <c r="N981" s="18" t="str">
        <f t="shared" si="121"/>
        <v/>
      </c>
      <c r="R981" s="18">
        <f t="shared" si="122"/>
        <v>0</v>
      </c>
      <c r="V981" s="18">
        <f t="shared" si="123"/>
        <v>0</v>
      </c>
      <c r="Z981" s="18">
        <f t="shared" si="124"/>
        <v>0</v>
      </c>
      <c r="AA981" s="18"/>
      <c r="AB981" s="18">
        <f t="shared" si="125"/>
        <v>0</v>
      </c>
      <c r="AC981" s="18" t="str">
        <f t="shared" si="126"/>
        <v/>
      </c>
      <c r="AD981" s="18" t="str">
        <f t="shared" si="127"/>
        <v/>
      </c>
      <c r="AF981" t="str">
        <f>IFERROR(INDEX('Task Master'!$D:$D,MATCH($F981,'Task Master'!$C:$C,0)),"")</f>
        <v/>
      </c>
    </row>
    <row r="982" spans="1:32" x14ac:dyDescent="0.25">
      <c r="A982" t="str">
        <f t="shared" si="120"/>
        <v/>
      </c>
      <c r="B982" s="16"/>
      <c r="D982" t="str">
        <f>IF($C982="","",IFERROR(INDEX('Asset Register'!$B:$B,MATCH($C982,'Asset Register'!$A:$A,0)),""))</f>
        <v/>
      </c>
      <c r="H982" t="str">
        <f>IFERROR(INDEX('Task Master'!$E:$E,MATCH($F982&amp;"||"&amp;$G982,'Task Master'!$K:$K,0)),"")</f>
        <v/>
      </c>
      <c r="I982" t="str">
        <f>IFERROR(INDEX('Task Master'!$F:$F,MATCH($F982&amp;"||"&amp;$G982,'Task Master'!$K:$K,0)),"")</f>
        <v/>
      </c>
      <c r="J982" t="str">
        <f>IFERROR(INDEX('Task Master'!$H:$H,MATCH($F982&amp;"||"&amp;$G982,'Task Master'!$K:$K,0)),"")</f>
        <v/>
      </c>
      <c r="N982" s="18" t="str">
        <f t="shared" si="121"/>
        <v/>
      </c>
      <c r="R982" s="18">
        <f t="shared" si="122"/>
        <v>0</v>
      </c>
      <c r="V982" s="18">
        <f t="shared" si="123"/>
        <v>0</v>
      </c>
      <c r="Z982" s="18">
        <f t="shared" si="124"/>
        <v>0</v>
      </c>
      <c r="AA982" s="18"/>
      <c r="AB982" s="18">
        <f t="shared" si="125"/>
        <v>0</v>
      </c>
      <c r="AC982" s="18" t="str">
        <f t="shared" si="126"/>
        <v/>
      </c>
      <c r="AD982" s="18" t="str">
        <f t="shared" si="127"/>
        <v/>
      </c>
      <c r="AF982" t="str">
        <f>IFERROR(INDEX('Task Master'!$D:$D,MATCH($F982,'Task Master'!$C:$C,0)),"")</f>
        <v/>
      </c>
    </row>
    <row r="983" spans="1:32" x14ac:dyDescent="0.25">
      <c r="A983" t="str">
        <f t="shared" si="120"/>
        <v/>
      </c>
      <c r="B983" s="16"/>
      <c r="D983" t="str">
        <f>IF($C983="","",IFERROR(INDEX('Asset Register'!$B:$B,MATCH($C983,'Asset Register'!$A:$A,0)),""))</f>
        <v/>
      </c>
      <c r="H983" t="str">
        <f>IFERROR(INDEX('Task Master'!$E:$E,MATCH($F983&amp;"||"&amp;$G983,'Task Master'!$K:$K,0)),"")</f>
        <v/>
      </c>
      <c r="I983" t="str">
        <f>IFERROR(INDEX('Task Master'!$F:$F,MATCH($F983&amp;"||"&amp;$G983,'Task Master'!$K:$K,0)),"")</f>
        <v/>
      </c>
      <c r="J983" t="str">
        <f>IFERROR(INDEX('Task Master'!$H:$H,MATCH($F983&amp;"||"&amp;$G983,'Task Master'!$K:$K,0)),"")</f>
        <v/>
      </c>
      <c r="N983" s="18" t="str">
        <f t="shared" si="121"/>
        <v/>
      </c>
      <c r="R983" s="18">
        <f t="shared" si="122"/>
        <v>0</v>
      </c>
      <c r="V983" s="18">
        <f t="shared" si="123"/>
        <v>0</v>
      </c>
      <c r="Z983" s="18">
        <f t="shared" si="124"/>
        <v>0</v>
      </c>
      <c r="AA983" s="18"/>
      <c r="AB983" s="18">
        <f t="shared" si="125"/>
        <v>0</v>
      </c>
      <c r="AC983" s="18" t="str">
        <f t="shared" si="126"/>
        <v/>
      </c>
      <c r="AD983" s="18" t="str">
        <f t="shared" si="127"/>
        <v/>
      </c>
      <c r="AF983" t="str">
        <f>IFERROR(INDEX('Task Master'!$D:$D,MATCH($F983,'Task Master'!$C:$C,0)),"")</f>
        <v/>
      </c>
    </row>
    <row r="984" spans="1:32" x14ac:dyDescent="0.25">
      <c r="A984" t="str">
        <f t="shared" si="120"/>
        <v/>
      </c>
      <c r="B984" s="16"/>
      <c r="D984" t="str">
        <f>IF($C984="","",IFERROR(INDEX('Asset Register'!$B:$B,MATCH($C984,'Asset Register'!$A:$A,0)),""))</f>
        <v/>
      </c>
      <c r="H984" t="str">
        <f>IFERROR(INDEX('Task Master'!$E:$E,MATCH($F984&amp;"||"&amp;$G984,'Task Master'!$K:$K,0)),"")</f>
        <v/>
      </c>
      <c r="I984" t="str">
        <f>IFERROR(INDEX('Task Master'!$F:$F,MATCH($F984&amp;"||"&amp;$G984,'Task Master'!$K:$K,0)),"")</f>
        <v/>
      </c>
      <c r="J984" t="str">
        <f>IFERROR(INDEX('Task Master'!$H:$H,MATCH($F984&amp;"||"&amp;$G984,'Task Master'!$K:$K,0)),"")</f>
        <v/>
      </c>
      <c r="N984" s="18" t="str">
        <f t="shared" si="121"/>
        <v/>
      </c>
      <c r="R984" s="18">
        <f t="shared" si="122"/>
        <v>0</v>
      </c>
      <c r="V984" s="18">
        <f t="shared" si="123"/>
        <v>0</v>
      </c>
      <c r="Z984" s="18">
        <f t="shared" si="124"/>
        <v>0</v>
      </c>
      <c r="AA984" s="18"/>
      <c r="AB984" s="18">
        <f t="shared" si="125"/>
        <v>0</v>
      </c>
      <c r="AC984" s="18" t="str">
        <f t="shared" si="126"/>
        <v/>
      </c>
      <c r="AD984" s="18" t="str">
        <f t="shared" si="127"/>
        <v/>
      </c>
      <c r="AF984" t="str">
        <f>IFERROR(INDEX('Task Master'!$D:$D,MATCH($F984,'Task Master'!$C:$C,0)),"")</f>
        <v/>
      </c>
    </row>
    <row r="985" spans="1:32" x14ac:dyDescent="0.25">
      <c r="A985" t="str">
        <f t="shared" si="120"/>
        <v/>
      </c>
      <c r="B985" s="16"/>
      <c r="D985" t="str">
        <f>IF($C985="","",IFERROR(INDEX('Asset Register'!$B:$B,MATCH($C985,'Asset Register'!$A:$A,0)),""))</f>
        <v/>
      </c>
      <c r="H985" t="str">
        <f>IFERROR(INDEX('Task Master'!$E:$E,MATCH($F985&amp;"||"&amp;$G985,'Task Master'!$K:$K,0)),"")</f>
        <v/>
      </c>
      <c r="I985" t="str">
        <f>IFERROR(INDEX('Task Master'!$F:$F,MATCH($F985&amp;"||"&amp;$G985,'Task Master'!$K:$K,0)),"")</f>
        <v/>
      </c>
      <c r="J985" t="str">
        <f>IFERROR(INDEX('Task Master'!$H:$H,MATCH($F985&amp;"||"&amp;$G985,'Task Master'!$K:$K,0)),"")</f>
        <v/>
      </c>
      <c r="N985" s="18" t="str">
        <f t="shared" si="121"/>
        <v/>
      </c>
      <c r="R985" s="18">
        <f t="shared" si="122"/>
        <v>0</v>
      </c>
      <c r="V985" s="18">
        <f t="shared" si="123"/>
        <v>0</v>
      </c>
      <c r="Z985" s="18">
        <f t="shared" si="124"/>
        <v>0</v>
      </c>
      <c r="AA985" s="18"/>
      <c r="AB985" s="18">
        <f t="shared" si="125"/>
        <v>0</v>
      </c>
      <c r="AC985" s="18" t="str">
        <f t="shared" si="126"/>
        <v/>
      </c>
      <c r="AD985" s="18" t="str">
        <f t="shared" si="127"/>
        <v/>
      </c>
      <c r="AF985" t="str">
        <f>IFERROR(INDEX('Task Master'!$D:$D,MATCH($F985,'Task Master'!$C:$C,0)),"")</f>
        <v/>
      </c>
    </row>
    <row r="986" spans="1:32" x14ac:dyDescent="0.25">
      <c r="A986" t="str">
        <f t="shared" si="120"/>
        <v/>
      </c>
      <c r="B986" s="16"/>
      <c r="D986" t="str">
        <f>IF($C986="","",IFERROR(INDEX('Asset Register'!$B:$B,MATCH($C986,'Asset Register'!$A:$A,0)),""))</f>
        <v/>
      </c>
      <c r="H986" t="str">
        <f>IFERROR(INDEX('Task Master'!$E:$E,MATCH($F986&amp;"||"&amp;$G986,'Task Master'!$K:$K,0)),"")</f>
        <v/>
      </c>
      <c r="I986" t="str">
        <f>IFERROR(INDEX('Task Master'!$F:$F,MATCH($F986&amp;"||"&amp;$G986,'Task Master'!$K:$K,0)),"")</f>
        <v/>
      </c>
      <c r="J986" t="str">
        <f>IFERROR(INDEX('Task Master'!$H:$H,MATCH($F986&amp;"||"&amp;$G986,'Task Master'!$K:$K,0)),"")</f>
        <v/>
      </c>
      <c r="N986" s="18" t="str">
        <f t="shared" si="121"/>
        <v/>
      </c>
      <c r="R986" s="18">
        <f t="shared" si="122"/>
        <v>0</v>
      </c>
      <c r="V986" s="18">
        <f t="shared" si="123"/>
        <v>0</v>
      </c>
      <c r="Z986" s="18">
        <f t="shared" si="124"/>
        <v>0</v>
      </c>
      <c r="AA986" s="18"/>
      <c r="AB986" s="18">
        <f t="shared" si="125"/>
        <v>0</v>
      </c>
      <c r="AC986" s="18" t="str">
        <f t="shared" si="126"/>
        <v/>
      </c>
      <c r="AD986" s="18" t="str">
        <f t="shared" si="127"/>
        <v/>
      </c>
      <c r="AF986" t="str">
        <f>IFERROR(INDEX('Task Master'!$D:$D,MATCH($F986,'Task Master'!$C:$C,0)),"")</f>
        <v/>
      </c>
    </row>
    <row r="987" spans="1:32" x14ac:dyDescent="0.25">
      <c r="A987" t="str">
        <f t="shared" si="120"/>
        <v/>
      </c>
      <c r="B987" s="16"/>
      <c r="D987" t="str">
        <f>IF($C987="","",IFERROR(INDEX('Asset Register'!$B:$B,MATCH($C987,'Asset Register'!$A:$A,0)),""))</f>
        <v/>
      </c>
      <c r="H987" t="str">
        <f>IFERROR(INDEX('Task Master'!$E:$E,MATCH($F987&amp;"||"&amp;$G987,'Task Master'!$K:$K,0)),"")</f>
        <v/>
      </c>
      <c r="I987" t="str">
        <f>IFERROR(INDEX('Task Master'!$F:$F,MATCH($F987&amp;"||"&amp;$G987,'Task Master'!$K:$K,0)),"")</f>
        <v/>
      </c>
      <c r="J987" t="str">
        <f>IFERROR(INDEX('Task Master'!$H:$H,MATCH($F987&amp;"||"&amp;$G987,'Task Master'!$K:$K,0)),"")</f>
        <v/>
      </c>
      <c r="N987" s="18" t="str">
        <f t="shared" si="121"/>
        <v/>
      </c>
      <c r="R987" s="18">
        <f t="shared" si="122"/>
        <v>0</v>
      </c>
      <c r="V987" s="18">
        <f t="shared" si="123"/>
        <v>0</v>
      </c>
      <c r="Z987" s="18">
        <f t="shared" si="124"/>
        <v>0</v>
      </c>
      <c r="AA987" s="18"/>
      <c r="AB987" s="18">
        <f t="shared" si="125"/>
        <v>0</v>
      </c>
      <c r="AC987" s="18" t="str">
        <f t="shared" si="126"/>
        <v/>
      </c>
      <c r="AD987" s="18" t="str">
        <f t="shared" si="127"/>
        <v/>
      </c>
      <c r="AF987" t="str">
        <f>IFERROR(INDEX('Task Master'!$D:$D,MATCH($F987,'Task Master'!$C:$C,0)),"")</f>
        <v/>
      </c>
    </row>
    <row r="988" spans="1:32" x14ac:dyDescent="0.25">
      <c r="A988" t="str">
        <f t="shared" si="120"/>
        <v/>
      </c>
      <c r="B988" s="16"/>
      <c r="D988" t="str">
        <f>IF($C988="","",IFERROR(INDEX('Asset Register'!$B:$B,MATCH($C988,'Asset Register'!$A:$A,0)),""))</f>
        <v/>
      </c>
      <c r="H988" t="str">
        <f>IFERROR(INDEX('Task Master'!$E:$E,MATCH($F988&amp;"||"&amp;$G988,'Task Master'!$K:$K,0)),"")</f>
        <v/>
      </c>
      <c r="I988" t="str">
        <f>IFERROR(INDEX('Task Master'!$F:$F,MATCH($F988&amp;"||"&amp;$G988,'Task Master'!$K:$K,0)),"")</f>
        <v/>
      </c>
      <c r="J988" t="str">
        <f>IFERROR(INDEX('Task Master'!$H:$H,MATCH($F988&amp;"||"&amp;$G988,'Task Master'!$K:$K,0)),"")</f>
        <v/>
      </c>
      <c r="N988" s="18" t="str">
        <f t="shared" si="121"/>
        <v/>
      </c>
      <c r="R988" s="18">
        <f t="shared" si="122"/>
        <v>0</v>
      </c>
      <c r="V988" s="18">
        <f t="shared" si="123"/>
        <v>0</v>
      </c>
      <c r="Z988" s="18">
        <f t="shared" si="124"/>
        <v>0</v>
      </c>
      <c r="AA988" s="18"/>
      <c r="AB988" s="18">
        <f t="shared" si="125"/>
        <v>0</v>
      </c>
      <c r="AC988" s="18" t="str">
        <f t="shared" si="126"/>
        <v/>
      </c>
      <c r="AD988" s="18" t="str">
        <f t="shared" si="127"/>
        <v/>
      </c>
      <c r="AF988" t="str">
        <f>IFERROR(INDEX('Task Master'!$D:$D,MATCH($F988,'Task Master'!$C:$C,0)),"")</f>
        <v/>
      </c>
    </row>
    <row r="989" spans="1:32" x14ac:dyDescent="0.25">
      <c r="A989" t="str">
        <f t="shared" si="120"/>
        <v/>
      </c>
      <c r="B989" s="16"/>
      <c r="D989" t="str">
        <f>IF($C989="","",IFERROR(INDEX('Asset Register'!$B:$B,MATCH($C989,'Asset Register'!$A:$A,0)),""))</f>
        <v/>
      </c>
      <c r="H989" t="str">
        <f>IFERROR(INDEX('Task Master'!$E:$E,MATCH($F989&amp;"||"&amp;$G989,'Task Master'!$K:$K,0)),"")</f>
        <v/>
      </c>
      <c r="I989" t="str">
        <f>IFERROR(INDEX('Task Master'!$F:$F,MATCH($F989&amp;"||"&amp;$G989,'Task Master'!$K:$K,0)),"")</f>
        <v/>
      </c>
      <c r="J989" t="str">
        <f>IFERROR(INDEX('Task Master'!$H:$H,MATCH($F989&amp;"||"&amp;$G989,'Task Master'!$K:$K,0)),"")</f>
        <v/>
      </c>
      <c r="N989" s="18" t="str">
        <f t="shared" si="121"/>
        <v/>
      </c>
      <c r="R989" s="18">
        <f t="shared" si="122"/>
        <v>0</v>
      </c>
      <c r="V989" s="18">
        <f t="shared" si="123"/>
        <v>0</v>
      </c>
      <c r="Z989" s="18">
        <f t="shared" si="124"/>
        <v>0</v>
      </c>
      <c r="AA989" s="18"/>
      <c r="AB989" s="18">
        <f t="shared" si="125"/>
        <v>0</v>
      </c>
      <c r="AC989" s="18" t="str">
        <f t="shared" si="126"/>
        <v/>
      </c>
      <c r="AD989" s="18" t="str">
        <f t="shared" si="127"/>
        <v/>
      </c>
      <c r="AF989" t="str">
        <f>IFERROR(INDEX('Task Master'!$D:$D,MATCH($F989,'Task Master'!$C:$C,0)),"")</f>
        <v/>
      </c>
    </row>
    <row r="990" spans="1:32" x14ac:dyDescent="0.25">
      <c r="A990" t="str">
        <f t="shared" si="120"/>
        <v/>
      </c>
      <c r="B990" s="16"/>
      <c r="D990" t="str">
        <f>IF($C990="","",IFERROR(INDEX('Asset Register'!$B:$B,MATCH($C990,'Asset Register'!$A:$A,0)),""))</f>
        <v/>
      </c>
      <c r="H990" t="str">
        <f>IFERROR(INDEX('Task Master'!$E:$E,MATCH($F990&amp;"||"&amp;$G990,'Task Master'!$K:$K,0)),"")</f>
        <v/>
      </c>
      <c r="I990" t="str">
        <f>IFERROR(INDEX('Task Master'!$F:$F,MATCH($F990&amp;"||"&amp;$G990,'Task Master'!$K:$K,0)),"")</f>
        <v/>
      </c>
      <c r="J990" t="str">
        <f>IFERROR(INDEX('Task Master'!$H:$H,MATCH($F990&amp;"||"&amp;$G990,'Task Master'!$K:$K,0)),"")</f>
        <v/>
      </c>
      <c r="N990" s="18" t="str">
        <f t="shared" si="121"/>
        <v/>
      </c>
      <c r="R990" s="18">
        <f t="shared" si="122"/>
        <v>0</v>
      </c>
      <c r="V990" s="18">
        <f t="shared" si="123"/>
        <v>0</v>
      </c>
      <c r="Z990" s="18">
        <f t="shared" si="124"/>
        <v>0</v>
      </c>
      <c r="AA990" s="18"/>
      <c r="AB990" s="18">
        <f t="shared" si="125"/>
        <v>0</v>
      </c>
      <c r="AC990" s="18" t="str">
        <f t="shared" si="126"/>
        <v/>
      </c>
      <c r="AD990" s="18" t="str">
        <f t="shared" si="127"/>
        <v/>
      </c>
      <c r="AF990" t="str">
        <f>IFERROR(INDEX('Task Master'!$D:$D,MATCH($F990,'Task Master'!$C:$C,0)),"")</f>
        <v/>
      </c>
    </row>
    <row r="991" spans="1:32" x14ac:dyDescent="0.25">
      <c r="A991" t="str">
        <f t="shared" si="120"/>
        <v/>
      </c>
      <c r="B991" s="16"/>
      <c r="D991" t="str">
        <f>IF($C991="","",IFERROR(INDEX('Asset Register'!$B:$B,MATCH($C991,'Asset Register'!$A:$A,0)),""))</f>
        <v/>
      </c>
      <c r="H991" t="str">
        <f>IFERROR(INDEX('Task Master'!$E:$E,MATCH($F991&amp;"||"&amp;$G991,'Task Master'!$K:$K,0)),"")</f>
        <v/>
      </c>
      <c r="I991" t="str">
        <f>IFERROR(INDEX('Task Master'!$F:$F,MATCH($F991&amp;"||"&amp;$G991,'Task Master'!$K:$K,0)),"")</f>
        <v/>
      </c>
      <c r="J991" t="str">
        <f>IFERROR(INDEX('Task Master'!$H:$H,MATCH($F991&amp;"||"&amp;$G991,'Task Master'!$K:$K,0)),"")</f>
        <v/>
      </c>
      <c r="N991" s="18" t="str">
        <f t="shared" si="121"/>
        <v/>
      </c>
      <c r="R991" s="18">
        <f t="shared" si="122"/>
        <v>0</v>
      </c>
      <c r="V991" s="18">
        <f t="shared" si="123"/>
        <v>0</v>
      </c>
      <c r="Z991" s="18">
        <f t="shared" si="124"/>
        <v>0</v>
      </c>
      <c r="AA991" s="18"/>
      <c r="AB991" s="18">
        <f t="shared" si="125"/>
        <v>0</v>
      </c>
      <c r="AC991" s="18" t="str">
        <f t="shared" si="126"/>
        <v/>
      </c>
      <c r="AD991" s="18" t="str">
        <f t="shared" si="127"/>
        <v/>
      </c>
      <c r="AF991" t="str">
        <f>IFERROR(INDEX('Task Master'!$D:$D,MATCH($F991,'Task Master'!$C:$C,0)),"")</f>
        <v/>
      </c>
    </row>
    <row r="992" spans="1:32" x14ac:dyDescent="0.25">
      <c r="A992" t="str">
        <f t="shared" si="120"/>
        <v/>
      </c>
      <c r="B992" s="16"/>
      <c r="D992" t="str">
        <f>IF($C992="","",IFERROR(INDEX('Asset Register'!$B:$B,MATCH($C992,'Asset Register'!$A:$A,0)),""))</f>
        <v/>
      </c>
      <c r="H992" t="str">
        <f>IFERROR(INDEX('Task Master'!$E:$E,MATCH($F992&amp;"||"&amp;$G992,'Task Master'!$K:$K,0)),"")</f>
        <v/>
      </c>
      <c r="I992" t="str">
        <f>IFERROR(INDEX('Task Master'!$F:$F,MATCH($F992&amp;"||"&amp;$G992,'Task Master'!$K:$K,0)),"")</f>
        <v/>
      </c>
      <c r="J992" t="str">
        <f>IFERROR(INDEX('Task Master'!$H:$H,MATCH($F992&amp;"||"&amp;$G992,'Task Master'!$K:$K,0)),"")</f>
        <v/>
      </c>
      <c r="N992" s="18" t="str">
        <f t="shared" si="121"/>
        <v/>
      </c>
      <c r="R992" s="18">
        <f t="shared" si="122"/>
        <v>0</v>
      </c>
      <c r="V992" s="18">
        <f t="shared" si="123"/>
        <v>0</v>
      </c>
      <c r="Z992" s="18">
        <f t="shared" si="124"/>
        <v>0</v>
      </c>
      <c r="AA992" s="18"/>
      <c r="AB992" s="18">
        <f t="shared" si="125"/>
        <v>0</v>
      </c>
      <c r="AC992" s="18" t="str">
        <f t="shared" si="126"/>
        <v/>
      </c>
      <c r="AD992" s="18" t="str">
        <f t="shared" si="127"/>
        <v/>
      </c>
      <c r="AF992" t="str">
        <f>IFERROR(INDEX('Task Master'!$D:$D,MATCH($F992,'Task Master'!$C:$C,0)),"")</f>
        <v/>
      </c>
    </row>
    <row r="993" spans="1:32" x14ac:dyDescent="0.25">
      <c r="A993" t="str">
        <f t="shared" si="120"/>
        <v/>
      </c>
      <c r="B993" s="16"/>
      <c r="D993" t="str">
        <f>IF($C993="","",IFERROR(INDEX('Asset Register'!$B:$B,MATCH($C993,'Asset Register'!$A:$A,0)),""))</f>
        <v/>
      </c>
      <c r="H993" t="str">
        <f>IFERROR(INDEX('Task Master'!$E:$E,MATCH($F993&amp;"||"&amp;$G993,'Task Master'!$K:$K,0)),"")</f>
        <v/>
      </c>
      <c r="I993" t="str">
        <f>IFERROR(INDEX('Task Master'!$F:$F,MATCH($F993&amp;"||"&amp;$G993,'Task Master'!$K:$K,0)),"")</f>
        <v/>
      </c>
      <c r="J993" t="str">
        <f>IFERROR(INDEX('Task Master'!$H:$H,MATCH($F993&amp;"||"&amp;$G993,'Task Master'!$K:$K,0)),"")</f>
        <v/>
      </c>
      <c r="N993" s="18" t="str">
        <f t="shared" si="121"/>
        <v/>
      </c>
      <c r="R993" s="18">
        <f t="shared" si="122"/>
        <v>0</v>
      </c>
      <c r="V993" s="18">
        <f t="shared" si="123"/>
        <v>0</v>
      </c>
      <c r="Z993" s="18">
        <f t="shared" si="124"/>
        <v>0</v>
      </c>
      <c r="AA993" s="18"/>
      <c r="AB993" s="18">
        <f t="shared" si="125"/>
        <v>0</v>
      </c>
      <c r="AC993" s="18" t="str">
        <f t="shared" si="126"/>
        <v/>
      </c>
      <c r="AD993" s="18" t="str">
        <f t="shared" si="127"/>
        <v/>
      </c>
      <c r="AF993" t="str">
        <f>IFERROR(INDEX('Task Master'!$D:$D,MATCH($F993,'Task Master'!$C:$C,0)),"")</f>
        <v/>
      </c>
    </row>
    <row r="994" spans="1:32" x14ac:dyDescent="0.25">
      <c r="A994" t="str">
        <f t="shared" si="120"/>
        <v/>
      </c>
      <c r="B994" s="16"/>
      <c r="D994" t="str">
        <f>IF($C994="","",IFERROR(INDEX('Asset Register'!$B:$B,MATCH($C994,'Asset Register'!$A:$A,0)),""))</f>
        <v/>
      </c>
      <c r="H994" t="str">
        <f>IFERROR(INDEX('Task Master'!$E:$E,MATCH($F994&amp;"||"&amp;$G994,'Task Master'!$K:$K,0)),"")</f>
        <v/>
      </c>
      <c r="I994" t="str">
        <f>IFERROR(INDEX('Task Master'!$F:$F,MATCH($F994&amp;"||"&amp;$G994,'Task Master'!$K:$K,0)),"")</f>
        <v/>
      </c>
      <c r="J994" t="str">
        <f>IFERROR(INDEX('Task Master'!$H:$H,MATCH($F994&amp;"||"&amp;$G994,'Task Master'!$K:$K,0)),"")</f>
        <v/>
      </c>
      <c r="N994" s="18" t="str">
        <f t="shared" si="121"/>
        <v/>
      </c>
      <c r="R994" s="18">
        <f t="shared" si="122"/>
        <v>0</v>
      </c>
      <c r="V994" s="18">
        <f t="shared" si="123"/>
        <v>0</v>
      </c>
      <c r="Z994" s="18">
        <f t="shared" si="124"/>
        <v>0</v>
      </c>
      <c r="AA994" s="18"/>
      <c r="AB994" s="18">
        <f t="shared" si="125"/>
        <v>0</v>
      </c>
      <c r="AC994" s="18" t="str">
        <f t="shared" si="126"/>
        <v/>
      </c>
      <c r="AD994" s="18" t="str">
        <f t="shared" si="127"/>
        <v/>
      </c>
      <c r="AF994" t="str">
        <f>IFERROR(INDEX('Task Master'!$D:$D,MATCH($F994,'Task Master'!$C:$C,0)),"")</f>
        <v/>
      </c>
    </row>
    <row r="995" spans="1:32" x14ac:dyDescent="0.25">
      <c r="A995" t="str">
        <f t="shared" si="120"/>
        <v/>
      </c>
      <c r="B995" s="16"/>
      <c r="D995" t="str">
        <f>IF($C995="","",IFERROR(INDEX('Asset Register'!$B:$B,MATCH($C995,'Asset Register'!$A:$A,0)),""))</f>
        <v/>
      </c>
      <c r="H995" t="str">
        <f>IFERROR(INDEX('Task Master'!$E:$E,MATCH($F995&amp;"||"&amp;$G995,'Task Master'!$K:$K,0)),"")</f>
        <v/>
      </c>
      <c r="I995" t="str">
        <f>IFERROR(INDEX('Task Master'!$F:$F,MATCH($F995&amp;"||"&amp;$G995,'Task Master'!$K:$K,0)),"")</f>
        <v/>
      </c>
      <c r="J995" t="str">
        <f>IFERROR(INDEX('Task Master'!$H:$H,MATCH($F995&amp;"||"&amp;$G995,'Task Master'!$K:$K,0)),"")</f>
        <v/>
      </c>
      <c r="N995" s="18" t="str">
        <f t="shared" si="121"/>
        <v/>
      </c>
      <c r="R995" s="18">
        <f t="shared" si="122"/>
        <v>0</v>
      </c>
      <c r="V995" s="18">
        <f t="shared" si="123"/>
        <v>0</v>
      </c>
      <c r="Z995" s="18">
        <f t="shared" si="124"/>
        <v>0</v>
      </c>
      <c r="AA995" s="18"/>
      <c r="AB995" s="18">
        <f t="shared" si="125"/>
        <v>0</v>
      </c>
      <c r="AC995" s="18" t="str">
        <f t="shared" si="126"/>
        <v/>
      </c>
      <c r="AD995" s="18" t="str">
        <f t="shared" si="127"/>
        <v/>
      </c>
      <c r="AF995" t="str">
        <f>IFERROR(INDEX('Task Master'!$D:$D,MATCH($F995,'Task Master'!$C:$C,0)),"")</f>
        <v/>
      </c>
    </row>
    <row r="996" spans="1:32" x14ac:dyDescent="0.25">
      <c r="A996" t="str">
        <f t="shared" si="120"/>
        <v/>
      </c>
      <c r="B996" s="16"/>
      <c r="D996" t="str">
        <f>IF($C996="","",IFERROR(INDEX('Asset Register'!$B:$B,MATCH($C996,'Asset Register'!$A:$A,0)),""))</f>
        <v/>
      </c>
      <c r="H996" t="str">
        <f>IFERROR(INDEX('Task Master'!$E:$E,MATCH($F996&amp;"||"&amp;$G996,'Task Master'!$K:$K,0)),"")</f>
        <v/>
      </c>
      <c r="I996" t="str">
        <f>IFERROR(INDEX('Task Master'!$F:$F,MATCH($F996&amp;"||"&amp;$G996,'Task Master'!$K:$K,0)),"")</f>
        <v/>
      </c>
      <c r="J996" t="str">
        <f>IFERROR(INDEX('Task Master'!$H:$H,MATCH($F996&amp;"||"&amp;$G996,'Task Master'!$K:$K,0)),"")</f>
        <v/>
      </c>
      <c r="N996" s="18" t="str">
        <f t="shared" si="121"/>
        <v/>
      </c>
      <c r="R996" s="18">
        <f t="shared" si="122"/>
        <v>0</v>
      </c>
      <c r="V996" s="18">
        <f t="shared" si="123"/>
        <v>0</v>
      </c>
      <c r="Z996" s="18">
        <f t="shared" si="124"/>
        <v>0</v>
      </c>
      <c r="AA996" s="18"/>
      <c r="AB996" s="18">
        <f t="shared" si="125"/>
        <v>0</v>
      </c>
      <c r="AC996" s="18" t="str">
        <f t="shared" si="126"/>
        <v/>
      </c>
      <c r="AD996" s="18" t="str">
        <f t="shared" si="127"/>
        <v/>
      </c>
      <c r="AF996" t="str">
        <f>IFERROR(INDEX('Task Master'!$D:$D,MATCH($F996,'Task Master'!$C:$C,0)),"")</f>
        <v/>
      </c>
    </row>
    <row r="997" spans="1:32" x14ac:dyDescent="0.25">
      <c r="A997" t="str">
        <f t="shared" si="120"/>
        <v/>
      </c>
      <c r="B997" s="16"/>
      <c r="D997" t="str">
        <f>IF($C997="","",IFERROR(INDEX('Asset Register'!$B:$B,MATCH($C997,'Asset Register'!$A:$A,0)),""))</f>
        <v/>
      </c>
      <c r="H997" t="str">
        <f>IFERROR(INDEX('Task Master'!$E:$E,MATCH($F997&amp;"||"&amp;$G997,'Task Master'!$K:$K,0)),"")</f>
        <v/>
      </c>
      <c r="I997" t="str">
        <f>IFERROR(INDEX('Task Master'!$F:$F,MATCH($F997&amp;"||"&amp;$G997,'Task Master'!$K:$K,0)),"")</f>
        <v/>
      </c>
      <c r="J997" t="str">
        <f>IFERROR(INDEX('Task Master'!$H:$H,MATCH($F997&amp;"||"&amp;$G997,'Task Master'!$K:$K,0)),"")</f>
        <v/>
      </c>
      <c r="N997" s="18" t="str">
        <f t="shared" si="121"/>
        <v/>
      </c>
      <c r="R997" s="18">
        <f t="shared" si="122"/>
        <v>0</v>
      </c>
      <c r="V997" s="18">
        <f t="shared" si="123"/>
        <v>0</v>
      </c>
      <c r="Z997" s="18">
        <f t="shared" si="124"/>
        <v>0</v>
      </c>
      <c r="AA997" s="18"/>
      <c r="AB997" s="18">
        <f t="shared" si="125"/>
        <v>0</v>
      </c>
      <c r="AC997" s="18" t="str">
        <f t="shared" si="126"/>
        <v/>
      </c>
      <c r="AD997" s="18" t="str">
        <f t="shared" si="127"/>
        <v/>
      </c>
      <c r="AF997" t="str">
        <f>IFERROR(INDEX('Task Master'!$D:$D,MATCH($F997,'Task Master'!$C:$C,0)),"")</f>
        <v/>
      </c>
    </row>
    <row r="998" spans="1:32" x14ac:dyDescent="0.25">
      <c r="A998" t="str">
        <f t="shared" si="120"/>
        <v/>
      </c>
      <c r="B998" s="16"/>
      <c r="D998" t="str">
        <f>IF($C998="","",IFERROR(INDEX('Asset Register'!$B:$B,MATCH($C998,'Asset Register'!$A:$A,0)),""))</f>
        <v/>
      </c>
      <c r="H998" t="str">
        <f>IFERROR(INDEX('Task Master'!$E:$E,MATCH($F998&amp;"||"&amp;$G998,'Task Master'!$K:$K,0)),"")</f>
        <v/>
      </c>
      <c r="I998" t="str">
        <f>IFERROR(INDEX('Task Master'!$F:$F,MATCH($F998&amp;"||"&amp;$G998,'Task Master'!$K:$K,0)),"")</f>
        <v/>
      </c>
      <c r="J998" t="str">
        <f>IFERROR(INDEX('Task Master'!$H:$H,MATCH($F998&amp;"||"&amp;$G998,'Task Master'!$K:$K,0)),"")</f>
        <v/>
      </c>
      <c r="N998" s="18" t="str">
        <f t="shared" si="121"/>
        <v/>
      </c>
      <c r="R998" s="18">
        <f t="shared" si="122"/>
        <v>0</v>
      </c>
      <c r="V998" s="18">
        <f t="shared" si="123"/>
        <v>0</v>
      </c>
      <c r="Z998" s="18">
        <f t="shared" si="124"/>
        <v>0</v>
      </c>
      <c r="AA998" s="18"/>
      <c r="AB998" s="18">
        <f t="shared" si="125"/>
        <v>0</v>
      </c>
      <c r="AC998" s="18" t="str">
        <f t="shared" si="126"/>
        <v/>
      </c>
      <c r="AD998" s="18" t="str">
        <f t="shared" si="127"/>
        <v/>
      </c>
      <c r="AF998" t="str">
        <f>IFERROR(INDEX('Task Master'!$D:$D,MATCH($F998,'Task Master'!$C:$C,0)),"")</f>
        <v/>
      </c>
    </row>
    <row r="999" spans="1:32" x14ac:dyDescent="0.25">
      <c r="A999" t="str">
        <f t="shared" si="120"/>
        <v/>
      </c>
      <c r="B999" s="16"/>
      <c r="D999" t="str">
        <f>IF($C999="","",IFERROR(INDEX('Asset Register'!$B:$B,MATCH($C999,'Asset Register'!$A:$A,0)),""))</f>
        <v/>
      </c>
      <c r="H999" t="str">
        <f>IFERROR(INDEX('Task Master'!$E:$E,MATCH($F999&amp;"||"&amp;$G999,'Task Master'!$K:$K,0)),"")</f>
        <v/>
      </c>
      <c r="I999" t="str">
        <f>IFERROR(INDEX('Task Master'!$F:$F,MATCH($F999&amp;"||"&amp;$G999,'Task Master'!$K:$K,0)),"")</f>
        <v/>
      </c>
      <c r="J999" t="str">
        <f>IFERROR(INDEX('Task Master'!$H:$H,MATCH($F999&amp;"||"&amp;$G999,'Task Master'!$K:$K,0)),"")</f>
        <v/>
      </c>
      <c r="N999" s="18" t="str">
        <f t="shared" si="121"/>
        <v/>
      </c>
      <c r="R999" s="18">
        <f t="shared" si="122"/>
        <v>0</v>
      </c>
      <c r="V999" s="18">
        <f t="shared" si="123"/>
        <v>0</v>
      </c>
      <c r="Z999" s="18">
        <f t="shared" si="124"/>
        <v>0</v>
      </c>
      <c r="AA999" s="18"/>
      <c r="AB999" s="18">
        <f t="shared" si="125"/>
        <v>0</v>
      </c>
      <c r="AC999" s="18" t="str">
        <f t="shared" si="126"/>
        <v/>
      </c>
      <c r="AD999" s="18" t="str">
        <f t="shared" si="127"/>
        <v/>
      </c>
      <c r="AF999" t="str">
        <f>IFERROR(INDEX('Task Master'!$D:$D,MATCH($F999,'Task Master'!$C:$C,0)),"")</f>
        <v/>
      </c>
    </row>
    <row r="1000" spans="1:32" x14ac:dyDescent="0.25">
      <c r="A1000" t="str">
        <f t="shared" si="120"/>
        <v/>
      </c>
      <c r="B1000" s="16"/>
      <c r="D1000" t="str">
        <f>IF($C1000="","",IFERROR(INDEX('Asset Register'!$B:$B,MATCH($C1000,'Asset Register'!$A:$A,0)),""))</f>
        <v/>
      </c>
      <c r="H1000" t="str">
        <f>IFERROR(INDEX('Task Master'!$E:$E,MATCH($F1000&amp;"||"&amp;$G1000,'Task Master'!$K:$K,0)),"")</f>
        <v/>
      </c>
      <c r="I1000" t="str">
        <f>IFERROR(INDEX('Task Master'!$F:$F,MATCH($F1000&amp;"||"&amp;$G1000,'Task Master'!$K:$K,0)),"")</f>
        <v/>
      </c>
      <c r="J1000" t="str">
        <f>IFERROR(INDEX('Task Master'!$H:$H,MATCH($F1000&amp;"||"&amp;$G1000,'Task Master'!$K:$K,0)),"")</f>
        <v/>
      </c>
      <c r="N1000" s="18" t="str">
        <f t="shared" si="121"/>
        <v/>
      </c>
      <c r="R1000" s="18">
        <f t="shared" si="122"/>
        <v>0</v>
      </c>
      <c r="V1000" s="18">
        <f t="shared" si="123"/>
        <v>0</v>
      </c>
      <c r="Z1000" s="18">
        <f t="shared" si="124"/>
        <v>0</v>
      </c>
      <c r="AA1000" s="18"/>
      <c r="AB1000" s="18">
        <f t="shared" si="125"/>
        <v>0</v>
      </c>
      <c r="AC1000" s="18" t="str">
        <f t="shared" si="126"/>
        <v/>
      </c>
      <c r="AD1000" s="18" t="str">
        <f t="shared" si="127"/>
        <v/>
      </c>
      <c r="AF1000" t="str">
        <f>IFERROR(INDEX('Task Master'!$D:$D,MATCH($F1000,'Task Master'!$C:$C,0)),"")</f>
        <v/>
      </c>
    </row>
  </sheetData>
  <dataValidations count="4">
    <dataValidation type="list" allowBlank="1" sqref="C2:C1000" xr:uid="{00000000-0002-0000-0500-000000000000}">
      <formula1>AssetList</formula1>
      <formula2>0</formula2>
    </dataValidation>
    <dataValidation type="list" allowBlank="1" sqref="E2:E1000" xr:uid="{00000000-0002-0000-0500-000001000000}">
      <formula1>CategoryList</formula1>
      <formula2>0</formula2>
    </dataValidation>
    <dataValidation type="list" allowBlank="1" sqref="F2:F1000" xr:uid="{00000000-0002-0000-0500-000002000000}">
      <formula1>INDIRECT($E2)</formula1>
      <formula2>0</formula2>
    </dataValidation>
    <dataValidation type="list" allowBlank="1" sqref="G2:G1000" xr:uid="{00000000-0002-0000-0500-000003000000}">
      <formula1>INDIRECT($AF2)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S146"/>
  <sheetViews>
    <sheetView showGridLines="0" topLeftCell="A19" zoomScale="90" zoomScaleNormal="90" workbookViewId="0">
      <selection activeCell="L23" sqref="L23"/>
    </sheetView>
  </sheetViews>
  <sheetFormatPr defaultColWidth="8.7109375" defaultRowHeight="15" x14ac:dyDescent="0.25"/>
  <cols>
    <col min="1" max="1" width="3" customWidth="1"/>
    <col min="2" max="2" width="76.5703125" bestFit="1" customWidth="1"/>
    <col min="3" max="3" width="24.85546875" bestFit="1" customWidth="1"/>
    <col min="4" max="4" width="31.28515625" bestFit="1" customWidth="1"/>
    <col min="5" max="6" width="16" customWidth="1"/>
    <col min="7" max="7" width="34.28515625" bestFit="1" customWidth="1"/>
    <col min="8" max="11" width="16" customWidth="1"/>
    <col min="12" max="12" width="20" customWidth="1"/>
  </cols>
  <sheetData>
    <row r="2" spans="2:19" ht="21.75" customHeight="1" x14ac:dyDescent="0.25">
      <c r="B2" s="50" t="s">
        <v>1597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</row>
    <row r="3" spans="2:19" ht="21.75" customHeight="1" x14ac:dyDescent="0.25"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</row>
    <row r="4" spans="2:19" ht="18" customHeight="1" x14ac:dyDescent="0.25">
      <c r="B4" s="51" t="str">
        <f>"Assets: "&amp;COUNTA('Asset Register'!A2:A200)&amp;"   |   Operations logged: "&amp;COUNT('Daily Operations Log'!A2:A500)&amp;"   |   Maintenance events: "&amp;COUNT('Maintenance Log'!A2:A1000)&amp;"   |   Updated live from source sheets"</f>
        <v>Assets: 15   |   Operations logged: 15   |   Maintenance events: 15   |   Updated live from source sheets</v>
      </c>
      <c r="C4" s="51"/>
      <c r="D4" s="51"/>
      <c r="E4" s="51"/>
      <c r="F4" s="51"/>
      <c r="G4" s="51"/>
      <c r="H4" s="51"/>
      <c r="I4" s="51"/>
      <c r="J4" s="51"/>
      <c r="K4" s="51"/>
      <c r="L4" s="51"/>
      <c r="M4" s="51"/>
      <c r="N4" s="51"/>
      <c r="O4" s="51"/>
      <c r="P4" s="51"/>
      <c r="Q4" s="51"/>
      <c r="R4" s="51"/>
      <c r="S4" s="51"/>
    </row>
    <row r="6" spans="2:19" ht="4.5" customHeight="1" x14ac:dyDescent="0.25">
      <c r="B6" s="52"/>
      <c r="C6" s="52"/>
      <c r="D6" s="53"/>
      <c r="E6" s="53"/>
      <c r="F6" s="54"/>
      <c r="G6" s="54"/>
      <c r="H6" s="55"/>
      <c r="I6" s="55"/>
      <c r="J6" s="56"/>
      <c r="K6" s="56"/>
    </row>
    <row r="7" spans="2:19" x14ac:dyDescent="0.25">
      <c r="B7" s="45" t="s">
        <v>1598</v>
      </c>
      <c r="C7" s="45"/>
      <c r="D7" s="46" t="s">
        <v>1599</v>
      </c>
      <c r="E7" s="46"/>
      <c r="F7" s="47" t="s">
        <v>1600</v>
      </c>
      <c r="G7" s="47"/>
      <c r="H7" s="48" t="s">
        <v>1601</v>
      </c>
      <c r="I7" s="48"/>
      <c r="J7" s="49" t="s">
        <v>1602</v>
      </c>
      <c r="K7" s="49"/>
    </row>
    <row r="8" spans="2:19" ht="25.5" customHeight="1" x14ac:dyDescent="0.25">
      <c r="B8" s="40">
        <f>COUNTA('Asset Register'!A2:A200)</f>
        <v>15</v>
      </c>
      <c r="C8" s="40"/>
      <c r="D8" s="41">
        <f>IFERROR(AVERAGE('Daily Operations Log'!J2:J500),0)</f>
        <v>0.90873015873015872</v>
      </c>
      <c r="E8" s="41"/>
      <c r="F8" s="42">
        <f>IFERROR(AVERAGE('Daily Operations Log'!K2:K500),0)</f>
        <v>0.77075396825396825</v>
      </c>
      <c r="G8" s="42"/>
      <c r="H8" s="43">
        <f>SUM('Daily Operations Log'!I2:I500)</f>
        <v>10.5</v>
      </c>
      <c r="I8" s="43"/>
      <c r="J8" s="44">
        <f>COUNTIFS('Daily Operations Log'!L2:L500,"&gt;0.3")</f>
        <v>1</v>
      </c>
      <c r="K8" s="44"/>
    </row>
    <row r="10" spans="2:19" ht="4.5" customHeight="1" x14ac:dyDescent="0.25">
      <c r="B10" s="36"/>
      <c r="C10" s="36"/>
      <c r="D10" s="37"/>
      <c r="E10" s="37"/>
      <c r="F10" s="38"/>
      <c r="G10" s="38"/>
      <c r="H10" s="39"/>
      <c r="I10" s="39"/>
      <c r="J10" s="39"/>
      <c r="K10" s="39"/>
    </row>
    <row r="11" spans="2:19" x14ac:dyDescent="0.25">
      <c r="B11" s="32" t="s">
        <v>1603</v>
      </c>
      <c r="C11" s="32"/>
      <c r="D11" s="33" t="s">
        <v>1604</v>
      </c>
      <c r="E11" s="33"/>
      <c r="F11" s="34" t="s">
        <v>1605</v>
      </c>
      <c r="G11" s="34"/>
      <c r="H11" s="35" t="s">
        <v>1606</v>
      </c>
      <c r="I11" s="35"/>
      <c r="J11" s="35" t="s">
        <v>1607</v>
      </c>
      <c r="K11" s="35"/>
    </row>
    <row r="12" spans="2:19" ht="25.5" customHeight="1" x14ac:dyDescent="0.25">
      <c r="B12" s="27">
        <f>SUM('Daily Operations Log'!U2:U500)</f>
        <v>100050</v>
      </c>
      <c r="C12" s="27"/>
      <c r="D12" s="28">
        <f>SUM('Maintenance Log'!AC2:AC1000)</f>
        <v>156175</v>
      </c>
      <c r="E12" s="28"/>
      <c r="F12" s="29">
        <f>B12-D12</f>
        <v>-56125</v>
      </c>
      <c r="G12" s="29"/>
      <c r="H12" s="30">
        <f>SUM('Daily Operations Log'!P2:P500)</f>
        <v>1550</v>
      </c>
      <c r="I12" s="30"/>
      <c r="J12" s="31">
        <f>IFERROR((SUM('Daily Operations Log'!P2:P500)-SUM('Daily Operations Log'!Q2:Q500))/SUM('Daily Operations Log'!Q2:Q500),0)</f>
        <v>4.5178691840863115E-2</v>
      </c>
      <c r="K12" s="31"/>
    </row>
    <row r="14" spans="2:19" ht="19.5" customHeight="1" x14ac:dyDescent="0.25">
      <c r="B14" s="22" t="s">
        <v>1608</v>
      </c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</row>
    <row r="16" spans="2:19" ht="30" x14ac:dyDescent="0.25">
      <c r="B16" s="6" t="s">
        <v>1469</v>
      </c>
      <c r="C16" s="6" t="s">
        <v>1516</v>
      </c>
      <c r="D16" s="6" t="s">
        <v>38</v>
      </c>
      <c r="E16" s="6" t="s">
        <v>1609</v>
      </c>
      <c r="F16" s="6" t="s">
        <v>1610</v>
      </c>
      <c r="G16" s="6" t="s">
        <v>1611</v>
      </c>
      <c r="H16" s="6" t="s">
        <v>1612</v>
      </c>
      <c r="I16" s="6" t="s">
        <v>1613</v>
      </c>
      <c r="J16" s="6" t="s">
        <v>1530</v>
      </c>
    </row>
    <row r="17" spans="2:10" x14ac:dyDescent="0.25">
      <c r="B17" s="7" t="str">
        <f>'Asset Register'!A2</f>
        <v>AA-65266</v>
      </c>
      <c r="C17" s="7" t="str">
        <f>'Asset Register'!B2</f>
        <v>Bull Dozer (CAT)</v>
      </c>
      <c r="D17" s="7" t="str">
        <f>'Asset Register'!D2</f>
        <v>Dozer</v>
      </c>
      <c r="E17" s="7">
        <f>SUMIFS('Daily Operations Log'!$G$2:$G$500,'Daily Operations Log'!$C$2:$C$500,$B17)</f>
        <v>5.5</v>
      </c>
      <c r="F17" s="7">
        <f>SUMIFS('Daily Operations Log'!$H$2:$H$500,'Daily Operations Log'!$C$2:$C$500,$B17)</f>
        <v>2</v>
      </c>
      <c r="G17" s="7">
        <f>SUMIFS('Daily Operations Log'!$I$2:$I$500,'Daily Operations Log'!$C$2:$C$500,$B17)</f>
        <v>0.5</v>
      </c>
      <c r="H17" s="13">
        <f>IFERROR(AVERAGEIFS('Daily Operations Log'!$J$2:$J$500,'Daily Operations Log'!$C$2:$C$500,$B17),"")</f>
        <v>0.91666666666666663</v>
      </c>
      <c r="I17" s="13">
        <f>IFERROR(AVERAGEIFS('Daily Operations Log'!$K$2:$K$500,'Daily Operations Log'!$C$2:$C$500,$B17),"")</f>
        <v>0.6875</v>
      </c>
      <c r="J17" s="13">
        <f t="shared" ref="J17:J31" si="0">IFERROR($F17/$E17,"")</f>
        <v>0.36363636363636365</v>
      </c>
    </row>
    <row r="18" spans="2:10" x14ac:dyDescent="0.25">
      <c r="B18" s="7" t="str">
        <f>'Asset Register'!A3</f>
        <v>AA-65265</v>
      </c>
      <c r="C18" s="7" t="str">
        <f>'Asset Register'!B3</f>
        <v>Bull Dozer (CAT)</v>
      </c>
      <c r="D18" s="7" t="str">
        <f>'Asset Register'!D3</f>
        <v>Dozer</v>
      </c>
      <c r="E18" s="7">
        <f>SUMIFS('Daily Operations Log'!$G$2:$G$500,'Daily Operations Log'!$C$2:$C$500,$B18)</f>
        <v>0</v>
      </c>
      <c r="F18" s="7">
        <f>SUMIFS('Daily Operations Log'!$H$2:$H$500,'Daily Operations Log'!$C$2:$C$500,$B18)</f>
        <v>0</v>
      </c>
      <c r="G18" s="7">
        <f>SUMIFS('Daily Operations Log'!$I$2:$I$500,'Daily Operations Log'!$C$2:$C$500,$B18)</f>
        <v>8</v>
      </c>
      <c r="H18" s="13">
        <f>IFERROR(AVERAGEIFS('Daily Operations Log'!$J$2:$J$500,'Daily Operations Log'!$C$2:$C$500,$B18),"")</f>
        <v>0</v>
      </c>
      <c r="I18" s="13">
        <f>IFERROR(AVERAGEIFS('Daily Operations Log'!$K$2:$K$500,'Daily Operations Log'!$C$2:$C$500,$B18),"")</f>
        <v>0</v>
      </c>
      <c r="J18" s="13" t="str">
        <f t="shared" si="0"/>
        <v/>
      </c>
    </row>
    <row r="19" spans="2:10" x14ac:dyDescent="0.25">
      <c r="B19" s="7" t="str">
        <f>'Asset Register'!A4</f>
        <v>AA-60042</v>
      </c>
      <c r="C19" s="7" t="str">
        <f>'Asset Register'!B4</f>
        <v>Bull Dozer (Komatsu)</v>
      </c>
      <c r="D19" s="7" t="str">
        <f>'Asset Register'!D4</f>
        <v>Dozer</v>
      </c>
      <c r="E19" s="7">
        <f>SUMIFS('Daily Operations Log'!$G$2:$G$500,'Daily Operations Log'!$C$2:$C$500,$B19)</f>
        <v>4</v>
      </c>
      <c r="F19" s="7">
        <f>SUMIFS('Daily Operations Log'!$H$2:$H$500,'Daily Operations Log'!$C$2:$C$500,$B19)</f>
        <v>4</v>
      </c>
      <c r="G19" s="7">
        <f>SUMIFS('Daily Operations Log'!$I$2:$I$500,'Daily Operations Log'!$C$2:$C$500,$B19)</f>
        <v>0</v>
      </c>
      <c r="H19" s="13">
        <f>IFERROR(AVERAGEIFS('Daily Operations Log'!$J$2:$J$500,'Daily Operations Log'!$C$2:$C$500,$B19),"")</f>
        <v>1</v>
      </c>
      <c r="I19" s="13">
        <f>IFERROR(AVERAGEIFS('Daily Operations Log'!$K$2:$K$500,'Daily Operations Log'!$C$2:$C$500,$B19),"")</f>
        <v>0.5</v>
      </c>
      <c r="J19" s="13">
        <f t="shared" si="0"/>
        <v>1</v>
      </c>
    </row>
    <row r="20" spans="2:10" x14ac:dyDescent="0.25">
      <c r="B20" s="7" t="str">
        <f>'Asset Register'!A5</f>
        <v>AA-65585</v>
      </c>
      <c r="C20" s="7" t="str">
        <f>'Asset Register'!B5</f>
        <v>Dump Truck (Volvo)</v>
      </c>
      <c r="D20" s="7" t="str">
        <f>'Asset Register'!D5</f>
        <v>Heavy Truck</v>
      </c>
      <c r="E20" s="7">
        <f>SUMIFS('Daily Operations Log'!$G$2:$G$500,'Daily Operations Log'!$C$2:$C$500,$B20)</f>
        <v>6.5</v>
      </c>
      <c r="F20" s="7">
        <f>SUMIFS('Daily Operations Log'!$H$2:$H$500,'Daily Operations Log'!$C$2:$C$500,$B20)</f>
        <v>1.5</v>
      </c>
      <c r="G20" s="7">
        <f>SUMIFS('Daily Operations Log'!$I$2:$I$500,'Daily Operations Log'!$C$2:$C$500,$B20)</f>
        <v>0</v>
      </c>
      <c r="H20" s="13">
        <f>IFERROR(AVERAGEIFS('Daily Operations Log'!$J$2:$J$500,'Daily Operations Log'!$C$2:$C$500,$B20),"")</f>
        <v>1</v>
      </c>
      <c r="I20" s="13">
        <f>IFERROR(AVERAGEIFS('Daily Operations Log'!$K$2:$K$500,'Daily Operations Log'!$C$2:$C$500,$B20),"")</f>
        <v>0.8125</v>
      </c>
      <c r="J20" s="13">
        <f t="shared" si="0"/>
        <v>0.23076923076923078</v>
      </c>
    </row>
    <row r="21" spans="2:10" x14ac:dyDescent="0.25">
      <c r="B21" s="7" t="str">
        <f>'Asset Register'!A6</f>
        <v>AA-9018</v>
      </c>
      <c r="C21" s="7" t="str">
        <f>'Asset Register'!B6</f>
        <v>Bull Dozer (CAT)</v>
      </c>
      <c r="D21" s="7" t="str">
        <f>'Asset Register'!D6</f>
        <v>Dozer</v>
      </c>
      <c r="E21" s="7">
        <f>SUMIFS('Daily Operations Log'!$G$2:$G$500,'Daily Operations Log'!$C$2:$C$500,$B21)</f>
        <v>5</v>
      </c>
      <c r="F21" s="7">
        <f>SUMIFS('Daily Operations Log'!$H$2:$H$500,'Daily Operations Log'!$C$2:$C$500,$B21)</f>
        <v>1</v>
      </c>
      <c r="G21" s="7">
        <f>SUMIFS('Daily Operations Log'!$I$2:$I$500,'Daily Operations Log'!$C$2:$C$500,$B21)</f>
        <v>2</v>
      </c>
      <c r="H21" s="13">
        <f>IFERROR(AVERAGEIFS('Daily Operations Log'!$J$2:$J$500,'Daily Operations Log'!$C$2:$C$500,$B21),"")</f>
        <v>0.7142857142857143</v>
      </c>
      <c r="I21" s="13">
        <f>IFERROR(AVERAGEIFS('Daily Operations Log'!$K$2:$K$500,'Daily Operations Log'!$C$2:$C$500,$B21),"")</f>
        <v>0.625</v>
      </c>
      <c r="J21" s="13">
        <f t="shared" si="0"/>
        <v>0.2</v>
      </c>
    </row>
    <row r="22" spans="2:10" x14ac:dyDescent="0.25">
      <c r="B22" s="7" t="str">
        <f>'Asset Register'!A7</f>
        <v>LV-1001</v>
      </c>
      <c r="C22" s="7" t="str">
        <f>'Asset Register'!B7</f>
        <v>Toyota Land Cruiser</v>
      </c>
      <c r="D22" s="7" t="str">
        <f>'Asset Register'!D7</f>
        <v>Automobile</v>
      </c>
      <c r="E22" s="7">
        <f>SUMIFS('Daily Operations Log'!$G$2:$G$500,'Daily Operations Log'!$C$2:$C$500,$B22)</f>
        <v>6</v>
      </c>
      <c r="F22" s="7">
        <f>SUMIFS('Daily Operations Log'!$H$2:$H$500,'Daily Operations Log'!$C$2:$C$500,$B22)</f>
        <v>1</v>
      </c>
      <c r="G22" s="7">
        <f>SUMIFS('Daily Operations Log'!$I$2:$I$500,'Daily Operations Log'!$C$2:$C$500,$B22)</f>
        <v>0</v>
      </c>
      <c r="H22" s="13">
        <f>IFERROR(AVERAGEIFS('Daily Operations Log'!$J$2:$J$500,'Daily Operations Log'!$C$2:$C$500,$B22),"")</f>
        <v>1</v>
      </c>
      <c r="I22" s="13">
        <f>IFERROR(AVERAGEIFS('Daily Operations Log'!$K$2:$K$500,'Daily Operations Log'!$C$2:$C$500,$B22),"")</f>
        <v>0.8571428571428571</v>
      </c>
      <c r="J22" s="13">
        <f t="shared" si="0"/>
        <v>0.16666666666666666</v>
      </c>
    </row>
    <row r="23" spans="2:10" x14ac:dyDescent="0.25">
      <c r="B23" s="7" t="str">
        <f>'Asset Register'!A8</f>
        <v>LV-1002</v>
      </c>
      <c r="C23" s="7" t="str">
        <f>'Asset Register'!B8</f>
        <v>Toyota Hilux Pickup</v>
      </c>
      <c r="D23" s="7" t="str">
        <f>'Asset Register'!D8</f>
        <v>Pick Up / Station Wagon / Mini Bus</v>
      </c>
      <c r="E23" s="7">
        <f>SUMIFS('Daily Operations Log'!$G$2:$G$500,'Daily Operations Log'!$C$2:$C$500,$B23)</f>
        <v>7</v>
      </c>
      <c r="F23" s="7">
        <f>SUMIFS('Daily Operations Log'!$H$2:$H$500,'Daily Operations Log'!$C$2:$C$500,$B23)</f>
        <v>0.5</v>
      </c>
      <c r="G23" s="7">
        <f>SUMIFS('Daily Operations Log'!$I$2:$I$500,'Daily Operations Log'!$C$2:$C$500,$B23)</f>
        <v>0</v>
      </c>
      <c r="H23" s="13">
        <f>IFERROR(AVERAGEIFS('Daily Operations Log'!$J$2:$J$500,'Daily Operations Log'!$C$2:$C$500,$B23),"")</f>
        <v>1</v>
      </c>
      <c r="I23" s="13">
        <f>IFERROR(AVERAGEIFS('Daily Operations Log'!$K$2:$K$500,'Daily Operations Log'!$C$2:$C$500,$B23),"")</f>
        <v>0.93333333333333335</v>
      </c>
      <c r="J23" s="13">
        <f t="shared" si="0"/>
        <v>7.1428571428571425E-2</v>
      </c>
    </row>
    <row r="24" spans="2:10" x14ac:dyDescent="0.25">
      <c r="B24" s="7" t="str">
        <f>'Asset Register'!A9</f>
        <v>LV-1003</v>
      </c>
      <c r="C24" s="7" t="str">
        <f>'Asset Register'!B9</f>
        <v>Sedan Pool Car</v>
      </c>
      <c r="D24" s="7" t="str">
        <f>'Asset Register'!D9</f>
        <v>Automobile</v>
      </c>
      <c r="E24" s="7">
        <f>SUMIFS('Daily Operations Log'!$G$2:$G$500,'Daily Operations Log'!$C$2:$C$500,$B24)</f>
        <v>5</v>
      </c>
      <c r="F24" s="7">
        <f>SUMIFS('Daily Operations Log'!$H$2:$H$500,'Daily Operations Log'!$C$2:$C$500,$B24)</f>
        <v>1</v>
      </c>
      <c r="G24" s="7">
        <f>SUMIFS('Daily Operations Log'!$I$2:$I$500,'Daily Operations Log'!$C$2:$C$500,$B24)</f>
        <v>0</v>
      </c>
      <c r="H24" s="13">
        <f>IFERROR(AVERAGEIFS('Daily Operations Log'!$J$2:$J$500,'Daily Operations Log'!$C$2:$C$500,$B24),"")</f>
        <v>1</v>
      </c>
      <c r="I24" s="13">
        <f>IFERROR(AVERAGEIFS('Daily Operations Log'!$K$2:$K$500,'Daily Operations Log'!$C$2:$C$500,$B24),"")</f>
        <v>0.83333333333333337</v>
      </c>
      <c r="J24" s="13">
        <f t="shared" si="0"/>
        <v>0.2</v>
      </c>
    </row>
    <row r="25" spans="2:10" x14ac:dyDescent="0.25">
      <c r="B25" s="7" t="str">
        <f>'Asset Register'!A10</f>
        <v>EX-2001</v>
      </c>
      <c r="C25" s="7" t="str">
        <f>'Asset Register'!B10</f>
        <v>Excavator (Komatsu PC200)</v>
      </c>
      <c r="D25" s="7" t="str">
        <f>'Asset Register'!D10</f>
        <v>Excavator</v>
      </c>
      <c r="E25" s="7">
        <f>SUMIFS('Daily Operations Log'!$G$2:$G$500,'Daily Operations Log'!$C$2:$C$500,$B25)</f>
        <v>7</v>
      </c>
      <c r="F25" s="7">
        <f>SUMIFS('Daily Operations Log'!$H$2:$H$500,'Daily Operations Log'!$C$2:$C$500,$B25)</f>
        <v>1</v>
      </c>
      <c r="G25" s="7">
        <f>SUMIFS('Daily Operations Log'!$I$2:$I$500,'Daily Operations Log'!$C$2:$C$500,$B25)</f>
        <v>0</v>
      </c>
      <c r="H25" s="13">
        <f>IFERROR(AVERAGEIFS('Daily Operations Log'!$J$2:$J$500,'Daily Operations Log'!$C$2:$C$500,$B25),"")</f>
        <v>1</v>
      </c>
      <c r="I25" s="13">
        <f>IFERROR(AVERAGEIFS('Daily Operations Log'!$K$2:$K$500,'Daily Operations Log'!$C$2:$C$500,$B25),"")</f>
        <v>0.875</v>
      </c>
      <c r="J25" s="13">
        <f t="shared" si="0"/>
        <v>0.14285714285714285</v>
      </c>
    </row>
    <row r="26" spans="2:10" x14ac:dyDescent="0.25">
      <c r="B26" s="7" t="str">
        <f>'Asset Register'!A11</f>
        <v>GD-3001</v>
      </c>
      <c r="C26" s="7" t="str">
        <f>'Asset Register'!B11</f>
        <v>Grader (CAT 140K)</v>
      </c>
      <c r="D26" s="7" t="str">
        <f>'Asset Register'!D11</f>
        <v>Grader</v>
      </c>
      <c r="E26" s="7">
        <f>SUMIFS('Daily Operations Log'!$G$2:$G$500,'Daily Operations Log'!$C$2:$C$500,$B26)</f>
        <v>6</v>
      </c>
      <c r="F26" s="7">
        <f>SUMIFS('Daily Operations Log'!$H$2:$H$500,'Daily Operations Log'!$C$2:$C$500,$B26)</f>
        <v>2</v>
      </c>
      <c r="G26" s="7">
        <f>SUMIFS('Daily Operations Log'!$I$2:$I$500,'Daily Operations Log'!$C$2:$C$500,$B26)</f>
        <v>0</v>
      </c>
      <c r="H26" s="13">
        <f>IFERROR(AVERAGEIFS('Daily Operations Log'!$J$2:$J$500,'Daily Operations Log'!$C$2:$C$500,$B26),"")</f>
        <v>1</v>
      </c>
      <c r="I26" s="13">
        <f>IFERROR(AVERAGEIFS('Daily Operations Log'!$K$2:$K$500,'Daily Operations Log'!$C$2:$C$500,$B26),"")</f>
        <v>0.75</v>
      </c>
      <c r="J26" s="13">
        <f t="shared" si="0"/>
        <v>0.33333333333333331</v>
      </c>
    </row>
    <row r="27" spans="2:10" x14ac:dyDescent="0.25">
      <c r="B27" s="7" t="str">
        <f>'Asset Register'!A12</f>
        <v>LD-4001</v>
      </c>
      <c r="C27" s="7" t="str">
        <f>'Asset Register'!B12</f>
        <v>Wheel Loader (CAT 950)</v>
      </c>
      <c r="D27" s="7" t="str">
        <f>'Asset Register'!D12</f>
        <v>Loader</v>
      </c>
      <c r="E27" s="7">
        <f>SUMIFS('Daily Operations Log'!$G$2:$G$500,'Daily Operations Log'!$C$2:$C$500,$B27)</f>
        <v>6.5</v>
      </c>
      <c r="F27" s="7">
        <f>SUMIFS('Daily Operations Log'!$H$2:$H$500,'Daily Operations Log'!$C$2:$C$500,$B27)</f>
        <v>1.5</v>
      </c>
      <c r="G27" s="7">
        <f>SUMIFS('Daily Operations Log'!$I$2:$I$500,'Daily Operations Log'!$C$2:$C$500,$B27)</f>
        <v>0</v>
      </c>
      <c r="H27" s="13">
        <f>IFERROR(AVERAGEIFS('Daily Operations Log'!$J$2:$J$500,'Daily Operations Log'!$C$2:$C$500,$B27),"")</f>
        <v>1</v>
      </c>
      <c r="I27" s="13">
        <f>IFERROR(AVERAGEIFS('Daily Operations Log'!$K$2:$K$500,'Daily Operations Log'!$C$2:$C$500,$B27),"")</f>
        <v>0.8125</v>
      </c>
      <c r="J27" s="13">
        <f t="shared" si="0"/>
        <v>0.23076923076923078</v>
      </c>
    </row>
    <row r="28" spans="2:10" x14ac:dyDescent="0.25">
      <c r="B28" s="7" t="str">
        <f>'Asset Register'!A13</f>
        <v>GN-5001</v>
      </c>
      <c r="C28" s="7" t="str">
        <f>'Asset Register'!B13</f>
        <v>Standby Generator 150KVA</v>
      </c>
      <c r="D28" s="7" t="str">
        <f>'Asset Register'!D13</f>
        <v>Generator</v>
      </c>
      <c r="E28" s="7">
        <f>SUMIFS('Daily Operations Log'!$G$2:$G$500,'Daily Operations Log'!$C$2:$C$500,$B28)</f>
        <v>8</v>
      </c>
      <c r="F28" s="7">
        <f>SUMIFS('Daily Operations Log'!$H$2:$H$500,'Daily Operations Log'!$C$2:$C$500,$B28)</f>
        <v>0</v>
      </c>
      <c r="G28" s="7">
        <f>SUMIFS('Daily Operations Log'!$I$2:$I$500,'Daily Operations Log'!$C$2:$C$500,$B28)</f>
        <v>0</v>
      </c>
      <c r="H28" s="13">
        <f>IFERROR(AVERAGEIFS('Daily Operations Log'!$J$2:$J$500,'Daily Operations Log'!$C$2:$C$500,$B28),"")</f>
        <v>1</v>
      </c>
      <c r="I28" s="13">
        <f>IFERROR(AVERAGEIFS('Daily Operations Log'!$K$2:$K$500,'Daily Operations Log'!$C$2:$C$500,$B28),"")</f>
        <v>1</v>
      </c>
      <c r="J28" s="13">
        <f t="shared" si="0"/>
        <v>0</v>
      </c>
    </row>
    <row r="29" spans="2:10" x14ac:dyDescent="0.25">
      <c r="B29" s="7" t="str">
        <f>'Asset Register'!A14</f>
        <v>AC-6001</v>
      </c>
      <c r="C29" s="7" t="str">
        <f>'Asset Register'!B14</f>
        <v>Air Compressor Unit 1</v>
      </c>
      <c r="D29" s="7" t="str">
        <f>'Asset Register'!D14</f>
        <v>Air Compressor</v>
      </c>
      <c r="E29" s="7">
        <f>SUMIFS('Daily Operations Log'!$G$2:$G$500,'Daily Operations Log'!$C$2:$C$500,$B29)</f>
        <v>8</v>
      </c>
      <c r="F29" s="7">
        <f>SUMIFS('Daily Operations Log'!$H$2:$H$500,'Daily Operations Log'!$C$2:$C$500,$B29)</f>
        <v>0</v>
      </c>
      <c r="G29" s="7">
        <f>SUMIFS('Daily Operations Log'!$I$2:$I$500,'Daily Operations Log'!$C$2:$C$500,$B29)</f>
        <v>0</v>
      </c>
      <c r="H29" s="13">
        <f>IFERROR(AVERAGEIFS('Daily Operations Log'!$J$2:$J$500,'Daily Operations Log'!$C$2:$C$500,$B29),"")</f>
        <v>1</v>
      </c>
      <c r="I29" s="13">
        <f>IFERROR(AVERAGEIFS('Daily Operations Log'!$K$2:$K$500,'Daily Operations Log'!$C$2:$C$500,$B29),"")</f>
        <v>1</v>
      </c>
      <c r="J29" s="13">
        <f t="shared" si="0"/>
        <v>0</v>
      </c>
    </row>
    <row r="30" spans="2:10" x14ac:dyDescent="0.25">
      <c r="B30" s="7" t="str">
        <f>'Asset Register'!A15</f>
        <v>HT-7001</v>
      </c>
      <c r="C30" s="7" t="str">
        <f>'Asset Register'!B15</f>
        <v>Heavy Fuel Tanker</v>
      </c>
      <c r="D30" s="7" t="str">
        <f>'Asset Register'!D15</f>
        <v>Heavy Truck</v>
      </c>
      <c r="E30" s="7">
        <f>SUMIFS('Daily Operations Log'!$G$2:$G$500,'Daily Operations Log'!$C$2:$C$500,$B30)</f>
        <v>7</v>
      </c>
      <c r="F30" s="7">
        <f>SUMIFS('Daily Operations Log'!$H$2:$H$500,'Daily Operations Log'!$C$2:$C$500,$B30)</f>
        <v>1</v>
      </c>
      <c r="G30" s="7">
        <f>SUMIFS('Daily Operations Log'!$I$2:$I$500,'Daily Operations Log'!$C$2:$C$500,$B30)</f>
        <v>0</v>
      </c>
      <c r="H30" s="13">
        <f>IFERROR(AVERAGEIFS('Daily Operations Log'!$J$2:$J$500,'Daily Operations Log'!$C$2:$C$500,$B30),"")</f>
        <v>1</v>
      </c>
      <c r="I30" s="13">
        <f>IFERROR(AVERAGEIFS('Daily Operations Log'!$K$2:$K$500,'Daily Operations Log'!$C$2:$C$500,$B30),"")</f>
        <v>0.875</v>
      </c>
      <c r="J30" s="13">
        <f t="shared" si="0"/>
        <v>0.14285714285714285</v>
      </c>
    </row>
    <row r="31" spans="2:10" x14ac:dyDescent="0.25">
      <c r="B31" s="7" t="str">
        <f>'Asset Register'!A16</f>
        <v>EL-8001</v>
      </c>
      <c r="C31" s="7" t="str">
        <f>'Asset Register'!B16</f>
        <v>Site Electrical Panel</v>
      </c>
      <c r="D31" s="7" t="str">
        <f>'Asset Register'!D16</f>
        <v>Electrical &amp; Electronics</v>
      </c>
      <c r="E31" s="7">
        <f>SUMIFS('Daily Operations Log'!$G$2:$G$500,'Daily Operations Log'!$C$2:$C$500,$B31)</f>
        <v>8</v>
      </c>
      <c r="F31" s="7">
        <f>SUMIFS('Daily Operations Log'!$H$2:$H$500,'Daily Operations Log'!$C$2:$C$500,$B31)</f>
        <v>0</v>
      </c>
      <c r="G31" s="7">
        <f>SUMIFS('Daily Operations Log'!$I$2:$I$500,'Daily Operations Log'!$C$2:$C$500,$B31)</f>
        <v>0</v>
      </c>
      <c r="H31" s="13">
        <f>IFERROR(AVERAGEIFS('Daily Operations Log'!$J$2:$J$500,'Daily Operations Log'!$C$2:$C$500,$B31),"")</f>
        <v>1</v>
      </c>
      <c r="I31" s="13">
        <f>IFERROR(AVERAGEIFS('Daily Operations Log'!$K$2:$K$500,'Daily Operations Log'!$C$2:$C$500,$B31),"")</f>
        <v>1</v>
      </c>
      <c r="J31" s="13">
        <f t="shared" si="0"/>
        <v>0</v>
      </c>
    </row>
    <row r="34" spans="2:19" ht="19.5" customHeight="1" x14ac:dyDescent="0.25">
      <c r="B34" s="23" t="s">
        <v>1614</v>
      </c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</row>
    <row r="36" spans="2:19" x14ac:dyDescent="0.25">
      <c r="B36" s="6" t="s">
        <v>1469</v>
      </c>
      <c r="C36" s="6" t="s">
        <v>1611</v>
      </c>
      <c r="D36" s="6" t="s">
        <v>1522</v>
      </c>
      <c r="E36" s="6" t="s">
        <v>1475</v>
      </c>
    </row>
    <row r="37" spans="2:19" x14ac:dyDescent="0.25">
      <c r="B37" s="7" t="str">
        <f>'Asset Register'!A2</f>
        <v>AA-65266</v>
      </c>
      <c r="C37" s="7">
        <f>SUMIFS('Daily Operations Log'!$I$2:$I$500,'Daily Operations Log'!$C$2:$C$500,$B37)</f>
        <v>0.5</v>
      </c>
      <c r="D37" s="13">
        <f>IFERROR($C37/(SUMIFS('Daily Operations Log'!$G$2:$G$500,'Daily Operations Log'!$C$2:$C$500,$B37)+$C37),0)</f>
        <v>8.3333333333333329E-2</v>
      </c>
      <c r="E37" s="7" t="str">
        <f t="shared" ref="E37:E51" si="1">IF($D37&gt;0.3,"Critical",IF($D37&gt;0,"Watch","Healthy"))</f>
        <v>Watch</v>
      </c>
    </row>
    <row r="38" spans="2:19" x14ac:dyDescent="0.25">
      <c r="B38" s="7" t="str">
        <f>'Asset Register'!A3</f>
        <v>AA-65265</v>
      </c>
      <c r="C38" s="7">
        <f>SUMIFS('Daily Operations Log'!$I$2:$I$500,'Daily Operations Log'!$C$2:$C$500,$B38)</f>
        <v>8</v>
      </c>
      <c r="D38" s="13">
        <f>IFERROR($C38/(SUMIFS('Daily Operations Log'!$G$2:$G$500,'Daily Operations Log'!$C$2:$C$500,$B38)+$C38),0)</f>
        <v>1</v>
      </c>
      <c r="E38" s="7" t="str">
        <f t="shared" si="1"/>
        <v>Critical</v>
      </c>
    </row>
    <row r="39" spans="2:19" x14ac:dyDescent="0.25">
      <c r="B39" s="7" t="str">
        <f>'Asset Register'!A4</f>
        <v>AA-60042</v>
      </c>
      <c r="C39" s="7">
        <f>SUMIFS('Daily Operations Log'!$I$2:$I$500,'Daily Operations Log'!$C$2:$C$500,$B39)</f>
        <v>0</v>
      </c>
      <c r="D39" s="13">
        <f>IFERROR($C39/(SUMIFS('Daily Operations Log'!$G$2:$G$500,'Daily Operations Log'!$C$2:$C$500,$B39)+$C39),0)</f>
        <v>0</v>
      </c>
      <c r="E39" s="7" t="str">
        <f t="shared" si="1"/>
        <v>Healthy</v>
      </c>
    </row>
    <row r="40" spans="2:19" x14ac:dyDescent="0.25">
      <c r="B40" s="7" t="str">
        <f>'Asset Register'!A5</f>
        <v>AA-65585</v>
      </c>
      <c r="C40" s="7">
        <f>SUMIFS('Daily Operations Log'!$I$2:$I$500,'Daily Operations Log'!$C$2:$C$500,$B40)</f>
        <v>0</v>
      </c>
      <c r="D40" s="13">
        <f>IFERROR($C40/(SUMIFS('Daily Operations Log'!$G$2:$G$500,'Daily Operations Log'!$C$2:$C$500,$B40)+$C40),0)</f>
        <v>0</v>
      </c>
      <c r="E40" s="7" t="str">
        <f t="shared" si="1"/>
        <v>Healthy</v>
      </c>
    </row>
    <row r="41" spans="2:19" x14ac:dyDescent="0.25">
      <c r="B41" s="7" t="str">
        <f>'Asset Register'!A6</f>
        <v>AA-9018</v>
      </c>
      <c r="C41" s="7">
        <f>SUMIFS('Daily Operations Log'!$I$2:$I$500,'Daily Operations Log'!$C$2:$C$500,$B41)</f>
        <v>2</v>
      </c>
      <c r="D41" s="13">
        <f>IFERROR($C41/(SUMIFS('Daily Operations Log'!$G$2:$G$500,'Daily Operations Log'!$C$2:$C$500,$B41)+$C41),0)</f>
        <v>0.2857142857142857</v>
      </c>
      <c r="E41" s="7" t="str">
        <f t="shared" si="1"/>
        <v>Watch</v>
      </c>
    </row>
    <row r="42" spans="2:19" x14ac:dyDescent="0.25">
      <c r="B42" s="7" t="str">
        <f>'Asset Register'!A7</f>
        <v>LV-1001</v>
      </c>
      <c r="C42" s="7">
        <f>SUMIFS('Daily Operations Log'!$I$2:$I$500,'Daily Operations Log'!$C$2:$C$500,$B42)</f>
        <v>0</v>
      </c>
      <c r="D42" s="13">
        <f>IFERROR($C42/(SUMIFS('Daily Operations Log'!$G$2:$G$500,'Daily Operations Log'!$C$2:$C$500,$B42)+$C42),0)</f>
        <v>0</v>
      </c>
      <c r="E42" s="7" t="str">
        <f t="shared" si="1"/>
        <v>Healthy</v>
      </c>
    </row>
    <row r="43" spans="2:19" x14ac:dyDescent="0.25">
      <c r="B43" s="7" t="str">
        <f>'Asset Register'!A8</f>
        <v>LV-1002</v>
      </c>
      <c r="C43" s="7">
        <f>SUMIFS('Daily Operations Log'!$I$2:$I$500,'Daily Operations Log'!$C$2:$C$500,$B43)</f>
        <v>0</v>
      </c>
      <c r="D43" s="13">
        <f>IFERROR($C43/(SUMIFS('Daily Operations Log'!$G$2:$G$500,'Daily Operations Log'!$C$2:$C$500,$B43)+$C43),0)</f>
        <v>0</v>
      </c>
      <c r="E43" s="7" t="str">
        <f t="shared" si="1"/>
        <v>Healthy</v>
      </c>
    </row>
    <row r="44" spans="2:19" x14ac:dyDescent="0.25">
      <c r="B44" s="7" t="str">
        <f>'Asset Register'!A9</f>
        <v>LV-1003</v>
      </c>
      <c r="C44" s="7">
        <f>SUMIFS('Daily Operations Log'!$I$2:$I$500,'Daily Operations Log'!$C$2:$C$500,$B44)</f>
        <v>0</v>
      </c>
      <c r="D44" s="13">
        <f>IFERROR($C44/(SUMIFS('Daily Operations Log'!$G$2:$G$500,'Daily Operations Log'!$C$2:$C$500,$B44)+$C44),0)</f>
        <v>0</v>
      </c>
      <c r="E44" s="7" t="str">
        <f t="shared" si="1"/>
        <v>Healthy</v>
      </c>
    </row>
    <row r="45" spans="2:19" x14ac:dyDescent="0.25">
      <c r="B45" s="7" t="str">
        <f>'Asset Register'!A10</f>
        <v>EX-2001</v>
      </c>
      <c r="C45" s="7">
        <f>SUMIFS('Daily Operations Log'!$I$2:$I$500,'Daily Operations Log'!$C$2:$C$500,$B45)</f>
        <v>0</v>
      </c>
      <c r="D45" s="13">
        <f>IFERROR($C45/(SUMIFS('Daily Operations Log'!$G$2:$G$500,'Daily Operations Log'!$C$2:$C$500,$B45)+$C45),0)</f>
        <v>0</v>
      </c>
      <c r="E45" s="7" t="str">
        <f t="shared" si="1"/>
        <v>Healthy</v>
      </c>
    </row>
    <row r="46" spans="2:19" x14ac:dyDescent="0.25">
      <c r="B46" s="7" t="str">
        <f>'Asset Register'!A11</f>
        <v>GD-3001</v>
      </c>
      <c r="C46" s="7">
        <f>SUMIFS('Daily Operations Log'!$I$2:$I$500,'Daily Operations Log'!$C$2:$C$500,$B46)</f>
        <v>0</v>
      </c>
      <c r="D46" s="13">
        <f>IFERROR($C46/(SUMIFS('Daily Operations Log'!$G$2:$G$500,'Daily Operations Log'!$C$2:$C$500,$B46)+$C46),0)</f>
        <v>0</v>
      </c>
      <c r="E46" s="7" t="str">
        <f t="shared" si="1"/>
        <v>Healthy</v>
      </c>
    </row>
    <row r="47" spans="2:19" x14ac:dyDescent="0.25">
      <c r="B47" s="7" t="str">
        <f>'Asset Register'!A12</f>
        <v>LD-4001</v>
      </c>
      <c r="C47" s="7">
        <f>SUMIFS('Daily Operations Log'!$I$2:$I$500,'Daily Operations Log'!$C$2:$C$500,$B47)</f>
        <v>0</v>
      </c>
      <c r="D47" s="13">
        <f>IFERROR($C47/(SUMIFS('Daily Operations Log'!$G$2:$G$500,'Daily Operations Log'!$C$2:$C$500,$B47)+$C47),0)</f>
        <v>0</v>
      </c>
      <c r="E47" s="7" t="str">
        <f t="shared" si="1"/>
        <v>Healthy</v>
      </c>
    </row>
    <row r="48" spans="2:19" x14ac:dyDescent="0.25">
      <c r="B48" s="7" t="str">
        <f>'Asset Register'!A13</f>
        <v>GN-5001</v>
      </c>
      <c r="C48" s="7">
        <f>SUMIFS('Daily Operations Log'!$I$2:$I$500,'Daily Operations Log'!$C$2:$C$500,$B48)</f>
        <v>0</v>
      </c>
      <c r="D48" s="13">
        <f>IFERROR($C48/(SUMIFS('Daily Operations Log'!$G$2:$G$500,'Daily Operations Log'!$C$2:$C$500,$B48)+$C48),0)</f>
        <v>0</v>
      </c>
      <c r="E48" s="7" t="str">
        <f t="shared" si="1"/>
        <v>Healthy</v>
      </c>
    </row>
    <row r="49" spans="2:19" x14ac:dyDescent="0.25">
      <c r="B49" s="7" t="str">
        <f>'Asset Register'!A14</f>
        <v>AC-6001</v>
      </c>
      <c r="C49" s="7">
        <f>SUMIFS('Daily Operations Log'!$I$2:$I$500,'Daily Operations Log'!$C$2:$C$500,$B49)</f>
        <v>0</v>
      </c>
      <c r="D49" s="13">
        <f>IFERROR($C49/(SUMIFS('Daily Operations Log'!$G$2:$G$500,'Daily Operations Log'!$C$2:$C$500,$B49)+$C49),0)</f>
        <v>0</v>
      </c>
      <c r="E49" s="7" t="str">
        <f t="shared" si="1"/>
        <v>Healthy</v>
      </c>
    </row>
    <row r="50" spans="2:19" x14ac:dyDescent="0.25">
      <c r="B50" s="7" t="str">
        <f>'Asset Register'!A15</f>
        <v>HT-7001</v>
      </c>
      <c r="C50" s="7">
        <f>SUMIFS('Daily Operations Log'!$I$2:$I$500,'Daily Operations Log'!$C$2:$C$500,$B50)</f>
        <v>0</v>
      </c>
      <c r="D50" s="13">
        <f>IFERROR($C50/(SUMIFS('Daily Operations Log'!$G$2:$G$500,'Daily Operations Log'!$C$2:$C$500,$B50)+$C50),0)</f>
        <v>0</v>
      </c>
      <c r="E50" s="7" t="str">
        <f t="shared" si="1"/>
        <v>Healthy</v>
      </c>
    </row>
    <row r="51" spans="2:19" x14ac:dyDescent="0.25">
      <c r="B51" s="7" t="str">
        <f>'Asset Register'!A16</f>
        <v>EL-8001</v>
      </c>
      <c r="C51" s="7">
        <f>SUMIFS('Daily Operations Log'!$I$2:$I$500,'Daily Operations Log'!$C$2:$C$500,$B51)</f>
        <v>0</v>
      </c>
      <c r="D51" s="13">
        <f>IFERROR($C51/(SUMIFS('Daily Operations Log'!$G$2:$G$500,'Daily Operations Log'!$C$2:$C$500,$B51)+$C51),0)</f>
        <v>0</v>
      </c>
      <c r="E51" s="7" t="str">
        <f t="shared" si="1"/>
        <v>Healthy</v>
      </c>
    </row>
    <row r="54" spans="2:19" ht="19.5" customHeight="1" x14ac:dyDescent="0.25">
      <c r="B54" s="24" t="s">
        <v>1615</v>
      </c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</row>
    <row r="56" spans="2:19" ht="30" x14ac:dyDescent="0.25">
      <c r="B56" s="6" t="s">
        <v>25</v>
      </c>
      <c r="C56" s="6" t="s">
        <v>1616</v>
      </c>
      <c r="D56" s="6" t="s">
        <v>1617</v>
      </c>
      <c r="E56" s="6" t="s">
        <v>1555</v>
      </c>
    </row>
    <row r="57" spans="2:19" x14ac:dyDescent="0.25">
      <c r="B57" s="7" t="s">
        <v>49</v>
      </c>
      <c r="C57" s="7">
        <f>COUNTIFS('Maintenance Log'!$I$2:$I$1000,$B57)</f>
        <v>8</v>
      </c>
      <c r="D57" s="7">
        <f>SUMIFS('Maintenance Log'!$K$2:$K$1000,'Maintenance Log'!$I$2:$I$1000,$B57)</f>
        <v>19</v>
      </c>
      <c r="E57" s="15">
        <f>SUMIFS('Maintenance Log'!$AC$2:$AC$1000,'Maintenance Log'!$I$2:$I$1000,$B57)</f>
        <v>14305</v>
      </c>
    </row>
    <row r="58" spans="2:19" x14ac:dyDescent="0.25">
      <c r="B58" s="7" t="s">
        <v>145</v>
      </c>
      <c r="C58" s="7">
        <f>COUNTIFS('Maintenance Log'!$I$2:$I$1000,$B58)</f>
        <v>7</v>
      </c>
      <c r="D58" s="7">
        <f>SUMIFS('Maintenance Log'!$K$2:$K$1000,'Maintenance Log'!$I$2:$I$1000,$B58)</f>
        <v>101</v>
      </c>
      <c r="E58" s="15">
        <f>SUMIFS('Maintenance Log'!$AC$2:$AC$1000,'Maintenance Log'!$I$2:$I$1000,$B58)</f>
        <v>141870</v>
      </c>
    </row>
    <row r="59" spans="2:19" x14ac:dyDescent="0.25">
      <c r="B59" s="7" t="s">
        <v>117</v>
      </c>
      <c r="C59" s="7">
        <f>COUNTIFS('Maintenance Log'!$I$2:$I$1000,$B59)</f>
        <v>0</v>
      </c>
      <c r="D59" s="7">
        <f>SUMIFS('Maintenance Log'!$K$2:$K$1000,'Maintenance Log'!$I$2:$I$1000,$B59)</f>
        <v>0</v>
      </c>
      <c r="E59" s="15">
        <f>SUMIFS('Maintenance Log'!$AC$2:$AC$1000,'Maintenance Log'!$I$2:$I$1000,$B59)</f>
        <v>0</v>
      </c>
    </row>
    <row r="60" spans="2:19" x14ac:dyDescent="0.25">
      <c r="B60" s="20" t="s">
        <v>1618</v>
      </c>
    </row>
    <row r="61" spans="2:19" x14ac:dyDescent="0.25">
      <c r="B61" s="6" t="s">
        <v>40</v>
      </c>
      <c r="C61" s="6" t="s">
        <v>1616</v>
      </c>
      <c r="D61" s="6" t="s">
        <v>1555</v>
      </c>
    </row>
    <row r="62" spans="2:19" x14ac:dyDescent="0.25">
      <c r="B62" s="7" t="s">
        <v>48</v>
      </c>
      <c r="C62" s="7">
        <f>COUNTIFS('Maintenance Log'!$H$2:$H$1000,$B62)</f>
        <v>2</v>
      </c>
      <c r="D62" s="15">
        <f>SUMIFS('Maintenance Log'!$AC$2:$AC$1000,'Maintenance Log'!$H$2:$H$1000,$B62)</f>
        <v>4775</v>
      </c>
    </row>
    <row r="63" spans="2:19" x14ac:dyDescent="0.25">
      <c r="B63" s="7" t="s">
        <v>1143</v>
      </c>
      <c r="C63" s="7">
        <f>COUNTIFS('Maintenance Log'!$H$2:$H$1000,$B63)</f>
        <v>1</v>
      </c>
      <c r="D63" s="15">
        <f>SUMIFS('Maintenance Log'!$AC$2:$AC$1000,'Maintenance Log'!$H$2:$H$1000,$B63)</f>
        <v>16840</v>
      </c>
    </row>
    <row r="64" spans="2:19" x14ac:dyDescent="0.25">
      <c r="B64" s="7" t="s">
        <v>977</v>
      </c>
      <c r="C64" s="7">
        <f>COUNTIFS('Maintenance Log'!$H$2:$H$1000,$B64)</f>
        <v>4</v>
      </c>
      <c r="D64" s="15">
        <f>SUMIFS('Maintenance Log'!$AC$2:$AC$1000,'Maintenance Log'!$H$2:$H$1000,$B64)</f>
        <v>118500</v>
      </c>
    </row>
    <row r="65" spans="2:4" x14ac:dyDescent="0.25">
      <c r="B65" s="7" t="s">
        <v>884</v>
      </c>
      <c r="C65" s="7">
        <f>COUNTIFS('Maintenance Log'!$H$2:$H$1000,$B65)</f>
        <v>0</v>
      </c>
      <c r="D65" s="15">
        <f>SUMIFS('Maintenance Log'!$AC$2:$AC$1000,'Maintenance Log'!$H$2:$H$1000,$B65)</f>
        <v>0</v>
      </c>
    </row>
    <row r="66" spans="2:4" x14ac:dyDescent="0.25">
      <c r="B66" s="7" t="s">
        <v>660</v>
      </c>
      <c r="C66" s="7">
        <f>COUNTIFS('Maintenance Log'!$H$2:$H$1000,$B66)</f>
        <v>0</v>
      </c>
      <c r="D66" s="15">
        <f>SUMIFS('Maintenance Log'!$AC$2:$AC$1000,'Maintenance Log'!$H$2:$H$1000,$B66)</f>
        <v>0</v>
      </c>
    </row>
    <row r="67" spans="2:4" x14ac:dyDescent="0.25">
      <c r="B67" s="7" t="s">
        <v>1340</v>
      </c>
      <c r="C67" s="7">
        <f>COUNTIFS('Maintenance Log'!$H$2:$H$1000,$B67)</f>
        <v>1</v>
      </c>
      <c r="D67" s="15">
        <f>SUMIFS('Maintenance Log'!$AC$2:$AC$1000,'Maintenance Log'!$H$2:$H$1000,$B67)</f>
        <v>330</v>
      </c>
    </row>
    <row r="68" spans="2:4" x14ac:dyDescent="0.25">
      <c r="B68" s="7" t="s">
        <v>887</v>
      </c>
      <c r="C68" s="7">
        <f>COUNTIFS('Maintenance Log'!$H$2:$H$1000,$B68)</f>
        <v>2</v>
      </c>
      <c r="D68" s="15">
        <f>SUMIFS('Maintenance Log'!$AC$2:$AC$1000,'Maintenance Log'!$H$2:$H$1000,$B68)</f>
        <v>2420</v>
      </c>
    </row>
    <row r="69" spans="2:4" x14ac:dyDescent="0.25">
      <c r="B69" s="7" t="s">
        <v>68</v>
      </c>
      <c r="C69" s="7">
        <f>COUNTIFS('Maintenance Log'!$H$2:$H$1000,$B69)</f>
        <v>1</v>
      </c>
      <c r="D69" s="15">
        <f>SUMIFS('Maintenance Log'!$AC$2:$AC$1000,'Maintenance Log'!$H$2:$H$1000,$B69)</f>
        <v>1600</v>
      </c>
    </row>
    <row r="70" spans="2:4" x14ac:dyDescent="0.25">
      <c r="B70" s="7" t="s">
        <v>1038</v>
      </c>
      <c r="C70" s="7">
        <f>COUNTIFS('Maintenance Log'!$H$2:$H$1000,$B70)</f>
        <v>0</v>
      </c>
      <c r="D70" s="15">
        <f>SUMIFS('Maintenance Log'!$AC$2:$AC$1000,'Maintenance Log'!$H$2:$H$1000,$B70)</f>
        <v>0</v>
      </c>
    </row>
    <row r="71" spans="2:4" x14ac:dyDescent="0.25">
      <c r="B71" s="7" t="s">
        <v>898</v>
      </c>
      <c r="C71" s="7">
        <f>COUNTIFS('Maintenance Log'!$H$2:$H$1000,$B71)</f>
        <v>1</v>
      </c>
      <c r="D71" s="15">
        <f>SUMIFS('Maintenance Log'!$AC$2:$AC$1000,'Maintenance Log'!$H$2:$H$1000,$B71)</f>
        <v>1140</v>
      </c>
    </row>
    <row r="72" spans="2:4" x14ac:dyDescent="0.25">
      <c r="B72" s="7" t="s">
        <v>88</v>
      </c>
      <c r="C72" s="7">
        <f>COUNTIFS('Maintenance Log'!$H$2:$H$1000,$B72)</f>
        <v>2</v>
      </c>
      <c r="D72" s="15">
        <f>SUMIFS('Maintenance Log'!$AC$2:$AC$1000,'Maintenance Log'!$H$2:$H$1000,$B72)</f>
        <v>4370</v>
      </c>
    </row>
    <row r="73" spans="2:4" x14ac:dyDescent="0.25">
      <c r="B73" s="7" t="s">
        <v>1379</v>
      </c>
      <c r="C73" s="7">
        <f>COUNTIFS('Maintenance Log'!$H$2:$H$1000,$B73)</f>
        <v>0</v>
      </c>
      <c r="D73" s="15">
        <f>SUMIFS('Maintenance Log'!$AC$2:$AC$1000,'Maintenance Log'!$H$2:$H$1000,$B73)</f>
        <v>0</v>
      </c>
    </row>
    <row r="74" spans="2:4" x14ac:dyDescent="0.25">
      <c r="B74" s="7" t="s">
        <v>1401</v>
      </c>
      <c r="C74" s="7">
        <f>COUNTIFS('Maintenance Log'!$H$2:$H$1000,$B74)</f>
        <v>0</v>
      </c>
      <c r="D74" s="15">
        <f>SUMIFS('Maintenance Log'!$AC$2:$AC$1000,'Maintenance Log'!$H$2:$H$1000,$B74)</f>
        <v>0</v>
      </c>
    </row>
    <row r="75" spans="2:4" x14ac:dyDescent="0.25">
      <c r="B75" s="7" t="s">
        <v>909</v>
      </c>
      <c r="C75" s="7">
        <f>COUNTIFS('Maintenance Log'!$H$2:$H$1000,$B75)</f>
        <v>0</v>
      </c>
      <c r="D75" s="15">
        <f>SUMIFS('Maintenance Log'!$AC$2:$AC$1000,'Maintenance Log'!$H$2:$H$1000,$B75)</f>
        <v>0</v>
      </c>
    </row>
    <row r="76" spans="2:4" x14ac:dyDescent="0.25">
      <c r="B76" s="7" t="s">
        <v>101</v>
      </c>
      <c r="C76" s="7">
        <f>COUNTIFS('Maintenance Log'!$H$2:$H$1000,$B76)</f>
        <v>0</v>
      </c>
      <c r="D76" s="15">
        <f>SUMIFS('Maintenance Log'!$AC$2:$AC$1000,'Maintenance Log'!$H$2:$H$1000,$B76)</f>
        <v>0</v>
      </c>
    </row>
    <row r="77" spans="2:4" x14ac:dyDescent="0.25">
      <c r="B77" s="7" t="s">
        <v>685</v>
      </c>
      <c r="C77" s="7">
        <f>COUNTIFS('Maintenance Log'!$H$2:$H$1000,$B77)</f>
        <v>0</v>
      </c>
      <c r="D77" s="15">
        <f>SUMIFS('Maintenance Log'!$AC$2:$AC$1000,'Maintenance Log'!$H$2:$H$1000,$B77)</f>
        <v>0</v>
      </c>
    </row>
    <row r="78" spans="2:4" x14ac:dyDescent="0.25">
      <c r="B78" s="7" t="s">
        <v>1390</v>
      </c>
      <c r="C78" s="7">
        <f>COUNTIFS('Maintenance Log'!$H$2:$H$1000,$B78)</f>
        <v>0</v>
      </c>
      <c r="D78" s="15">
        <f>SUMIFS('Maintenance Log'!$AC$2:$AC$1000,'Maintenance Log'!$H$2:$H$1000,$B78)</f>
        <v>0</v>
      </c>
    </row>
    <row r="79" spans="2:4" x14ac:dyDescent="0.25">
      <c r="B79" s="7" t="s">
        <v>260</v>
      </c>
      <c r="C79" s="7">
        <f>COUNTIFS('Maintenance Log'!$H$2:$H$1000,$B79)</f>
        <v>0</v>
      </c>
      <c r="D79" s="15">
        <f>SUMIFS('Maintenance Log'!$AC$2:$AC$1000,'Maintenance Log'!$H$2:$H$1000,$B79)</f>
        <v>0</v>
      </c>
    </row>
    <row r="80" spans="2:4" x14ac:dyDescent="0.25">
      <c r="B80" s="7" t="s">
        <v>809</v>
      </c>
      <c r="C80" s="7">
        <f>COUNTIFS('Maintenance Log'!$H$2:$H$1000,$B80)</f>
        <v>0</v>
      </c>
      <c r="D80" s="15">
        <f>SUMIFS('Maintenance Log'!$AC$2:$AC$1000,'Maintenance Log'!$H$2:$H$1000,$B80)</f>
        <v>0</v>
      </c>
    </row>
    <row r="81" spans="2:4" x14ac:dyDescent="0.25">
      <c r="B81" s="7" t="s">
        <v>1203</v>
      </c>
      <c r="C81" s="7">
        <f>COUNTIFS('Maintenance Log'!$H$2:$H$1000,$B81)</f>
        <v>0</v>
      </c>
      <c r="D81" s="15">
        <f>SUMIFS('Maintenance Log'!$AC$2:$AC$1000,'Maintenance Log'!$H$2:$H$1000,$B81)</f>
        <v>0</v>
      </c>
    </row>
    <row r="82" spans="2:4" x14ac:dyDescent="0.25">
      <c r="B82" s="7" t="s">
        <v>1412</v>
      </c>
      <c r="C82" s="7">
        <f>COUNTIFS('Maintenance Log'!$H$2:$H$1000,$B82)</f>
        <v>0</v>
      </c>
      <c r="D82" s="15">
        <f>SUMIFS('Maintenance Log'!$AC$2:$AC$1000,'Maintenance Log'!$H$2:$H$1000,$B82)</f>
        <v>0</v>
      </c>
    </row>
    <row r="83" spans="2:4" x14ac:dyDescent="0.25">
      <c r="B83" s="7" t="s">
        <v>695</v>
      </c>
      <c r="C83" s="7">
        <f>COUNTIFS('Maintenance Log'!$H$2:$H$1000,$B83)</f>
        <v>0</v>
      </c>
      <c r="D83" s="15">
        <f>SUMIFS('Maintenance Log'!$AC$2:$AC$1000,'Maintenance Log'!$H$2:$H$1000,$B83)</f>
        <v>0</v>
      </c>
    </row>
    <row r="84" spans="2:4" x14ac:dyDescent="0.25">
      <c r="B84" s="7" t="s">
        <v>920</v>
      </c>
      <c r="C84" s="7">
        <f>COUNTIFS('Maintenance Log'!$H$2:$H$1000,$B84)</f>
        <v>0</v>
      </c>
      <c r="D84" s="15">
        <f>SUMIFS('Maintenance Log'!$AC$2:$AC$1000,'Maintenance Log'!$H$2:$H$1000,$B84)</f>
        <v>0</v>
      </c>
    </row>
    <row r="85" spans="2:4" x14ac:dyDescent="0.25">
      <c r="B85" s="7" t="s">
        <v>1287</v>
      </c>
      <c r="C85" s="7">
        <f>COUNTIFS('Maintenance Log'!$H$2:$H$1000,$B85)</f>
        <v>0</v>
      </c>
      <c r="D85" s="15">
        <f>SUMIFS('Maintenance Log'!$AC$2:$AC$1000,'Maintenance Log'!$H$2:$H$1000,$B85)</f>
        <v>0</v>
      </c>
    </row>
    <row r="86" spans="2:4" x14ac:dyDescent="0.25">
      <c r="B86" s="7" t="s">
        <v>116</v>
      </c>
      <c r="C86" s="7">
        <f>COUNTIFS('Maintenance Log'!$H$2:$H$1000,$B86)</f>
        <v>0</v>
      </c>
      <c r="D86" s="15">
        <f>SUMIFS('Maintenance Log'!$AC$2:$AC$1000,'Maintenance Log'!$H$2:$H$1000,$B86)</f>
        <v>0</v>
      </c>
    </row>
    <row r="87" spans="2:4" x14ac:dyDescent="0.25">
      <c r="B87" s="7" t="s">
        <v>1224</v>
      </c>
      <c r="C87" s="7">
        <f>COUNTIFS('Maintenance Log'!$H$2:$H$1000,$B87)</f>
        <v>0</v>
      </c>
      <c r="D87" s="15">
        <f>SUMIFS('Maintenance Log'!$AC$2:$AC$1000,'Maintenance Log'!$H$2:$H$1000,$B87)</f>
        <v>0</v>
      </c>
    </row>
    <row r="88" spans="2:4" x14ac:dyDescent="0.25">
      <c r="B88" s="7" t="s">
        <v>1225</v>
      </c>
      <c r="C88" s="7">
        <f>COUNTIFS('Maintenance Log'!$H$2:$H$1000,$B88)</f>
        <v>0</v>
      </c>
      <c r="D88" s="15">
        <f>SUMIFS('Maintenance Log'!$AC$2:$AC$1000,'Maintenance Log'!$H$2:$H$1000,$B88)</f>
        <v>0</v>
      </c>
    </row>
    <row r="89" spans="2:4" x14ac:dyDescent="0.25">
      <c r="B89" s="7" t="s">
        <v>1213</v>
      </c>
      <c r="C89" s="7">
        <f>COUNTIFS('Maintenance Log'!$H$2:$H$1000,$B89)</f>
        <v>0</v>
      </c>
      <c r="D89" s="15">
        <f>SUMIFS('Maintenance Log'!$AC$2:$AC$1000,'Maintenance Log'!$H$2:$H$1000,$B89)</f>
        <v>0</v>
      </c>
    </row>
    <row r="90" spans="2:4" x14ac:dyDescent="0.25">
      <c r="B90" s="7" t="s">
        <v>929</v>
      </c>
      <c r="C90" s="7">
        <f>COUNTIFS('Maintenance Log'!$H$2:$H$1000,$B90)</f>
        <v>1</v>
      </c>
      <c r="D90" s="15">
        <f>SUMIFS('Maintenance Log'!$AC$2:$AC$1000,'Maintenance Log'!$H$2:$H$1000,$B90)</f>
        <v>6200</v>
      </c>
    </row>
    <row r="91" spans="2:4" x14ac:dyDescent="0.25">
      <c r="B91" s="7" t="s">
        <v>721</v>
      </c>
      <c r="C91" s="7">
        <f>COUNTIFS('Maintenance Log'!$H$2:$H$1000,$B91)</f>
        <v>0</v>
      </c>
      <c r="D91" s="15">
        <f>SUMIFS('Maintenance Log'!$AC$2:$AC$1000,'Maintenance Log'!$H$2:$H$1000,$B91)</f>
        <v>0</v>
      </c>
    </row>
    <row r="92" spans="2:4" x14ac:dyDescent="0.25">
      <c r="B92" s="7" t="s">
        <v>144</v>
      </c>
      <c r="C92" s="7">
        <f>COUNTIFS('Maintenance Log'!$H$2:$H$1000,$B92)</f>
        <v>0</v>
      </c>
      <c r="D92" s="15">
        <f>SUMIFS('Maintenance Log'!$AC$2:$AC$1000,'Maintenance Log'!$H$2:$H$1000,$B92)</f>
        <v>0</v>
      </c>
    </row>
    <row r="93" spans="2:4" x14ac:dyDescent="0.25">
      <c r="B93" s="7" t="s">
        <v>202</v>
      </c>
      <c r="C93" s="7">
        <f>COUNTIFS('Maintenance Log'!$H$2:$H$1000,$B93)</f>
        <v>0</v>
      </c>
      <c r="D93" s="15">
        <f>SUMIFS('Maintenance Log'!$AC$2:$AC$1000,'Maintenance Log'!$H$2:$H$1000,$B93)</f>
        <v>0</v>
      </c>
    </row>
    <row r="94" spans="2:4" x14ac:dyDescent="0.25">
      <c r="B94" s="7" t="s">
        <v>944</v>
      </c>
      <c r="C94" s="7">
        <f>COUNTIFS('Maintenance Log'!$H$2:$H$1000,$B94)</f>
        <v>0</v>
      </c>
      <c r="D94" s="15">
        <f>SUMIFS('Maintenance Log'!$AC$2:$AC$1000,'Maintenance Log'!$H$2:$H$1000,$B94)</f>
        <v>0</v>
      </c>
    </row>
    <row r="95" spans="2:4" x14ac:dyDescent="0.25">
      <c r="B95" s="7" t="s">
        <v>1227</v>
      </c>
      <c r="C95" s="7">
        <f>COUNTIFS('Maintenance Log'!$H$2:$H$1000,$B95)</f>
        <v>0</v>
      </c>
      <c r="D95" s="15">
        <f>SUMIFS('Maintenance Log'!$AC$2:$AC$1000,'Maintenance Log'!$H$2:$H$1000,$B95)</f>
        <v>0</v>
      </c>
    </row>
    <row r="96" spans="2:4" x14ac:dyDescent="0.25">
      <c r="B96" s="7" t="s">
        <v>748</v>
      </c>
      <c r="C96" s="7">
        <f>COUNTIFS('Maintenance Log'!$H$2:$H$1000,$B96)</f>
        <v>0</v>
      </c>
      <c r="D96" s="15">
        <f>SUMIFS('Maintenance Log'!$AC$2:$AC$1000,'Maintenance Log'!$H$2:$H$1000,$B96)</f>
        <v>0</v>
      </c>
    </row>
    <row r="97" spans="2:19" x14ac:dyDescent="0.25">
      <c r="B97" s="7" t="s">
        <v>778</v>
      </c>
      <c r="C97" s="7">
        <f>COUNTIFS('Maintenance Log'!$H$2:$H$1000,$B97)</f>
        <v>0</v>
      </c>
      <c r="D97" s="15">
        <f>SUMIFS('Maintenance Log'!$AC$2:$AC$1000,'Maintenance Log'!$H$2:$H$1000,$B97)</f>
        <v>0</v>
      </c>
    </row>
    <row r="98" spans="2:19" x14ac:dyDescent="0.25">
      <c r="B98" s="7" t="s">
        <v>963</v>
      </c>
      <c r="C98" s="7">
        <f>COUNTIFS('Maintenance Log'!$H$2:$H$1000,$B98)</f>
        <v>0</v>
      </c>
      <c r="D98" s="15">
        <f>SUMIFS('Maintenance Log'!$AC$2:$AC$1000,'Maintenance Log'!$H$2:$H$1000,$B98)</f>
        <v>0</v>
      </c>
    </row>
    <row r="99" spans="2:19" x14ac:dyDescent="0.25">
      <c r="B99" s="7" t="s">
        <v>1251</v>
      </c>
      <c r="C99" s="7">
        <f>COUNTIFS('Maintenance Log'!$H$2:$H$1000,$B99)</f>
        <v>0</v>
      </c>
      <c r="D99" s="15">
        <f>SUMIFS('Maintenance Log'!$AC$2:$AC$1000,'Maintenance Log'!$H$2:$H$1000,$B99)</f>
        <v>0</v>
      </c>
    </row>
    <row r="100" spans="2:19" x14ac:dyDescent="0.25">
      <c r="B100" s="7" t="s">
        <v>221</v>
      </c>
      <c r="C100" s="7">
        <f>COUNTIFS('Maintenance Log'!$H$2:$H$1000,$B100)</f>
        <v>0</v>
      </c>
      <c r="D100" s="15">
        <f>SUMIFS('Maintenance Log'!$AC$2:$AC$1000,'Maintenance Log'!$H$2:$H$1000,$B100)</f>
        <v>0</v>
      </c>
    </row>
    <row r="101" spans="2:19" x14ac:dyDescent="0.25">
      <c r="B101" s="7" t="s">
        <v>323</v>
      </c>
      <c r="C101" s="7">
        <f>COUNTIFS('Maintenance Log'!$H$2:$H$1000,$B101)</f>
        <v>0</v>
      </c>
      <c r="D101" s="15">
        <f>SUMIFS('Maintenance Log'!$AC$2:$AC$1000,'Maintenance Log'!$H$2:$H$1000,$B101)</f>
        <v>0</v>
      </c>
    </row>
    <row r="102" spans="2:19" x14ac:dyDescent="0.25">
      <c r="B102" s="7" t="s">
        <v>334</v>
      </c>
      <c r="C102" s="7">
        <f>COUNTIFS('Maintenance Log'!$H$2:$H$1000,$B102)</f>
        <v>0</v>
      </c>
      <c r="D102" s="15">
        <f>SUMIFS('Maintenance Log'!$AC$2:$AC$1000,'Maintenance Log'!$H$2:$H$1000,$B102)</f>
        <v>0</v>
      </c>
    </row>
    <row r="103" spans="2:19" x14ac:dyDescent="0.25">
      <c r="B103" s="7" t="s">
        <v>850</v>
      </c>
      <c r="C103" s="7">
        <f>COUNTIFS('Maintenance Log'!$H$2:$H$1000,$B103)</f>
        <v>0</v>
      </c>
      <c r="D103" s="15">
        <f>SUMIFS('Maintenance Log'!$AC$2:$AC$1000,'Maintenance Log'!$H$2:$H$1000,$B103)</f>
        <v>0</v>
      </c>
    </row>
    <row r="106" spans="2:19" ht="19.5" customHeight="1" x14ac:dyDescent="0.25">
      <c r="B106" s="25" t="s">
        <v>1619</v>
      </c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</row>
    <row r="108" spans="2:19" ht="45" x14ac:dyDescent="0.25">
      <c r="B108" s="6" t="s">
        <v>1469</v>
      </c>
      <c r="C108" s="6" t="s">
        <v>1473</v>
      </c>
      <c r="D108" s="6" t="s">
        <v>1609</v>
      </c>
      <c r="E108" s="6" t="s">
        <v>1526</v>
      </c>
      <c r="F108" s="6" t="s">
        <v>1525</v>
      </c>
      <c r="G108" s="6" t="s">
        <v>1528</v>
      </c>
      <c r="H108" s="6" t="s">
        <v>1620</v>
      </c>
      <c r="I108" s="6" t="s">
        <v>1529</v>
      </c>
      <c r="J108" s="6" t="s">
        <v>1621</v>
      </c>
      <c r="K108" s="6" t="s">
        <v>1622</v>
      </c>
      <c r="L108" s="6" t="s">
        <v>1623</v>
      </c>
    </row>
    <row r="109" spans="2:19" x14ac:dyDescent="0.25">
      <c r="B109" s="7" t="str">
        <f>'Asset Register'!A2</f>
        <v>AA-65266</v>
      </c>
      <c r="C109" s="14">
        <f>'Asset Register'!G2</f>
        <v>28</v>
      </c>
      <c r="D109" s="15">
        <f>SUMIFS('Daily Operations Log'!$G$2:$G$500,'Daily Operations Log'!$C$2:$C$500,$B109)</f>
        <v>5.5</v>
      </c>
      <c r="E109" s="15">
        <f>SUMIFS('Daily Operations Log'!$Q$2:$Q$500,'Daily Operations Log'!$C$2:$C$500,$B109)</f>
        <v>154</v>
      </c>
      <c r="F109" s="15">
        <f>SUMIFS('Daily Operations Log'!$P$2:$P$500,'Daily Operations Log'!$C$2:$C$500,$B109)</f>
        <v>154</v>
      </c>
      <c r="G109" s="13">
        <f t="shared" ref="G109:G123" si="2">IFERROR(($F109-$E109)/$E109,0)</f>
        <v>0</v>
      </c>
      <c r="H109" s="15">
        <f>'Asset Register'!H2</f>
        <v>1800</v>
      </c>
      <c r="I109" s="15">
        <f>SUMIFS('Daily Operations Log'!$U$2:$U$500,'Daily Operations Log'!$C$2:$C$500,$B109)</f>
        <v>9900</v>
      </c>
      <c r="J109" s="15">
        <f>SUMIFS('Maintenance Log'!$AC$2:$AC$1000,'Maintenance Log'!$C$2:$C$1000,$B109)</f>
        <v>27300</v>
      </c>
      <c r="K109" s="15">
        <f t="shared" ref="K109:K123" si="3">$I109-$J109</f>
        <v>-17400</v>
      </c>
      <c r="L109" s="15">
        <f t="shared" ref="L109:L123" si="4">IFERROR($J109/$D109,"")</f>
        <v>4963.636363636364</v>
      </c>
    </row>
    <row r="110" spans="2:19" x14ac:dyDescent="0.25">
      <c r="B110" s="7" t="str">
        <f>'Asset Register'!A3</f>
        <v>AA-65265</v>
      </c>
      <c r="C110" s="14">
        <f>'Asset Register'!G3</f>
        <v>28</v>
      </c>
      <c r="D110" s="15">
        <f>SUMIFS('Daily Operations Log'!$G$2:$G$500,'Daily Operations Log'!$C$2:$C$500,$B110)</f>
        <v>0</v>
      </c>
      <c r="E110" s="15">
        <f>SUMIFS('Daily Operations Log'!$Q$2:$Q$500,'Daily Operations Log'!$C$2:$C$500,$B110)</f>
        <v>0</v>
      </c>
      <c r="F110" s="15">
        <f>SUMIFS('Daily Operations Log'!$P$2:$P$500,'Daily Operations Log'!$C$2:$C$500,$B110)</f>
        <v>0</v>
      </c>
      <c r="G110" s="13">
        <f t="shared" si="2"/>
        <v>0</v>
      </c>
      <c r="H110" s="15">
        <f>'Asset Register'!H3</f>
        <v>1800</v>
      </c>
      <c r="I110" s="15">
        <f>SUMIFS('Daily Operations Log'!$U$2:$U$500,'Daily Operations Log'!$C$2:$C$500,$B110)</f>
        <v>0</v>
      </c>
      <c r="J110" s="15">
        <f>SUMIFS('Maintenance Log'!$AC$2:$AC$1000,'Maintenance Log'!$C$2:$C$1000,$B110)</f>
        <v>0</v>
      </c>
      <c r="K110" s="15">
        <f t="shared" si="3"/>
        <v>0</v>
      </c>
      <c r="L110" s="15" t="str">
        <f t="shared" si="4"/>
        <v/>
      </c>
    </row>
    <row r="111" spans="2:19" x14ac:dyDescent="0.25">
      <c r="B111" s="7" t="str">
        <f>'Asset Register'!A4</f>
        <v>AA-60042</v>
      </c>
      <c r="C111" s="14">
        <f>'Asset Register'!G4</f>
        <v>28</v>
      </c>
      <c r="D111" s="15">
        <f>SUMIFS('Daily Operations Log'!$G$2:$G$500,'Daily Operations Log'!$C$2:$C$500,$B111)</f>
        <v>4</v>
      </c>
      <c r="E111" s="15">
        <f>SUMIFS('Daily Operations Log'!$Q$2:$Q$500,'Daily Operations Log'!$C$2:$C$500,$B111)</f>
        <v>112</v>
      </c>
      <c r="F111" s="15">
        <f>SUMIFS('Daily Operations Log'!$P$2:$P$500,'Daily Operations Log'!$C$2:$C$500,$B111)</f>
        <v>120</v>
      </c>
      <c r="G111" s="13">
        <f t="shared" si="2"/>
        <v>7.1428571428571425E-2</v>
      </c>
      <c r="H111" s="15">
        <f>'Asset Register'!H4</f>
        <v>1800</v>
      </c>
      <c r="I111" s="15">
        <f>SUMIFS('Daily Operations Log'!$U$2:$U$500,'Daily Operations Log'!$C$2:$C$500,$B111)</f>
        <v>7200</v>
      </c>
      <c r="J111" s="15">
        <f>SUMIFS('Maintenance Log'!$AC$2:$AC$1000,'Maintenance Log'!$C$2:$C$1000,$B111)</f>
        <v>800</v>
      </c>
      <c r="K111" s="15">
        <f t="shared" si="3"/>
        <v>6400</v>
      </c>
      <c r="L111" s="15">
        <f t="shared" si="4"/>
        <v>200</v>
      </c>
    </row>
    <row r="112" spans="2:19" x14ac:dyDescent="0.25">
      <c r="B112" s="7" t="str">
        <f>'Asset Register'!A5</f>
        <v>AA-65585</v>
      </c>
      <c r="C112" s="14">
        <f>'Asset Register'!G5</f>
        <v>24</v>
      </c>
      <c r="D112" s="15">
        <f>SUMIFS('Daily Operations Log'!$G$2:$G$500,'Daily Operations Log'!$C$2:$C$500,$B112)</f>
        <v>6.5</v>
      </c>
      <c r="E112" s="15">
        <f>SUMIFS('Daily Operations Log'!$Q$2:$Q$500,'Daily Operations Log'!$C$2:$C$500,$B112)</f>
        <v>156</v>
      </c>
      <c r="F112" s="15">
        <f>SUMIFS('Daily Operations Log'!$P$2:$P$500,'Daily Operations Log'!$C$2:$C$500,$B112)</f>
        <v>182</v>
      </c>
      <c r="G112" s="13">
        <f t="shared" si="2"/>
        <v>0.16666666666666666</v>
      </c>
      <c r="H112" s="15">
        <f>'Asset Register'!H5</f>
        <v>1500</v>
      </c>
      <c r="I112" s="15">
        <f>SUMIFS('Daily Operations Log'!$U$2:$U$500,'Daily Operations Log'!$C$2:$C$500,$B112)</f>
        <v>9750</v>
      </c>
      <c r="J112" s="15">
        <f>SUMIFS('Maintenance Log'!$AC$2:$AC$1000,'Maintenance Log'!$C$2:$C$1000,$B112)</f>
        <v>1600</v>
      </c>
      <c r="K112" s="15">
        <f t="shared" si="3"/>
        <v>8150</v>
      </c>
      <c r="L112" s="15">
        <f t="shared" si="4"/>
        <v>246.15384615384616</v>
      </c>
    </row>
    <row r="113" spans="2:19" x14ac:dyDescent="0.25">
      <c r="B113" s="7" t="str">
        <f>'Asset Register'!A6</f>
        <v>AA-9018</v>
      </c>
      <c r="C113" s="14">
        <f>'Asset Register'!G6</f>
        <v>26</v>
      </c>
      <c r="D113" s="15">
        <f>SUMIFS('Daily Operations Log'!$G$2:$G$500,'Daily Operations Log'!$C$2:$C$500,$B113)</f>
        <v>5</v>
      </c>
      <c r="E113" s="15">
        <f>SUMIFS('Daily Operations Log'!$Q$2:$Q$500,'Daily Operations Log'!$C$2:$C$500,$B113)</f>
        <v>130</v>
      </c>
      <c r="F113" s="15">
        <f>SUMIFS('Daily Operations Log'!$P$2:$P$500,'Daily Operations Log'!$C$2:$C$500,$B113)</f>
        <v>140</v>
      </c>
      <c r="G113" s="13">
        <f t="shared" si="2"/>
        <v>7.6923076923076927E-2</v>
      </c>
      <c r="H113" s="15">
        <f>'Asset Register'!H6</f>
        <v>1800</v>
      </c>
      <c r="I113" s="15">
        <f>SUMIFS('Daily Operations Log'!$U$2:$U$500,'Daily Operations Log'!$C$2:$C$500,$B113)</f>
        <v>9000</v>
      </c>
      <c r="J113" s="15">
        <f>SUMIFS('Maintenance Log'!$AC$2:$AC$1000,'Maintenance Log'!$C$2:$C$1000,$B113)</f>
        <v>6200</v>
      </c>
      <c r="K113" s="15">
        <f t="shared" si="3"/>
        <v>2800</v>
      </c>
      <c r="L113" s="15">
        <f t="shared" si="4"/>
        <v>1240</v>
      </c>
    </row>
    <row r="114" spans="2:19" x14ac:dyDescent="0.25">
      <c r="B114" s="7" t="str">
        <f>'Asset Register'!A7</f>
        <v>LV-1001</v>
      </c>
      <c r="C114" s="14">
        <f>'Asset Register'!G7</f>
        <v>12</v>
      </c>
      <c r="D114" s="15">
        <f>SUMIFS('Daily Operations Log'!$G$2:$G$500,'Daily Operations Log'!$C$2:$C$500,$B114)</f>
        <v>6</v>
      </c>
      <c r="E114" s="15">
        <f>SUMIFS('Daily Operations Log'!$Q$2:$Q$500,'Daily Operations Log'!$C$2:$C$500,$B114)</f>
        <v>72</v>
      </c>
      <c r="F114" s="15">
        <f>SUMIFS('Daily Operations Log'!$P$2:$P$500,'Daily Operations Log'!$C$2:$C$500,$B114)</f>
        <v>75</v>
      </c>
      <c r="G114" s="13">
        <f t="shared" si="2"/>
        <v>4.1666666666666664E-2</v>
      </c>
      <c r="H114" s="15">
        <f>'Asset Register'!H7</f>
        <v>450</v>
      </c>
      <c r="I114" s="15">
        <f>SUMIFS('Daily Operations Log'!$U$2:$U$500,'Daily Operations Log'!$C$2:$C$500,$B114)</f>
        <v>2700</v>
      </c>
      <c r="J114" s="15">
        <f>SUMIFS('Maintenance Log'!$AC$2:$AC$1000,'Maintenance Log'!$C$2:$C$1000,$B114)</f>
        <v>1475</v>
      </c>
      <c r="K114" s="15">
        <f t="shared" si="3"/>
        <v>1225</v>
      </c>
      <c r="L114" s="15">
        <f t="shared" si="4"/>
        <v>245.83333333333334</v>
      </c>
    </row>
    <row r="115" spans="2:19" x14ac:dyDescent="0.25">
      <c r="B115" s="7" t="str">
        <f>'Asset Register'!A8</f>
        <v>LV-1002</v>
      </c>
      <c r="C115" s="14">
        <f>'Asset Register'!G8</f>
        <v>9</v>
      </c>
      <c r="D115" s="15">
        <f>SUMIFS('Daily Operations Log'!$G$2:$G$500,'Daily Operations Log'!$C$2:$C$500,$B115)</f>
        <v>7</v>
      </c>
      <c r="E115" s="15">
        <f>SUMIFS('Daily Operations Log'!$Q$2:$Q$500,'Daily Operations Log'!$C$2:$C$500,$B115)</f>
        <v>63</v>
      </c>
      <c r="F115" s="15">
        <f>SUMIFS('Daily Operations Log'!$P$2:$P$500,'Daily Operations Log'!$C$2:$C$500,$B115)</f>
        <v>66</v>
      </c>
      <c r="G115" s="13">
        <f t="shared" si="2"/>
        <v>4.7619047619047616E-2</v>
      </c>
      <c r="H115" s="15">
        <f>'Asset Register'!H8</f>
        <v>400</v>
      </c>
      <c r="I115" s="15">
        <f>SUMIFS('Daily Operations Log'!$U$2:$U$500,'Daily Operations Log'!$C$2:$C$500,$B115)</f>
        <v>2800</v>
      </c>
      <c r="J115" s="15">
        <f>SUMIFS('Maintenance Log'!$AC$2:$AC$1000,'Maintenance Log'!$C$2:$C$1000,$B115)</f>
        <v>3300</v>
      </c>
      <c r="K115" s="15">
        <f t="shared" si="3"/>
        <v>-500</v>
      </c>
      <c r="L115" s="15">
        <f t="shared" si="4"/>
        <v>471.42857142857144</v>
      </c>
    </row>
    <row r="116" spans="2:19" x14ac:dyDescent="0.25">
      <c r="B116" s="7" t="str">
        <f>'Asset Register'!A9</f>
        <v>LV-1003</v>
      </c>
      <c r="C116" s="14">
        <f>'Asset Register'!G9</f>
        <v>7</v>
      </c>
      <c r="D116" s="15">
        <f>SUMIFS('Daily Operations Log'!$G$2:$G$500,'Daily Operations Log'!$C$2:$C$500,$B116)</f>
        <v>5</v>
      </c>
      <c r="E116" s="15">
        <f>SUMIFS('Daily Operations Log'!$Q$2:$Q$500,'Daily Operations Log'!$C$2:$C$500,$B116)</f>
        <v>35</v>
      </c>
      <c r="F116" s="15">
        <f>SUMIFS('Daily Operations Log'!$P$2:$P$500,'Daily Operations Log'!$C$2:$C$500,$B116)</f>
        <v>34</v>
      </c>
      <c r="G116" s="13">
        <f t="shared" si="2"/>
        <v>-2.8571428571428571E-2</v>
      </c>
      <c r="H116" s="15">
        <f>'Asset Register'!H9</f>
        <v>350</v>
      </c>
      <c r="I116" s="15">
        <f>SUMIFS('Daily Operations Log'!$U$2:$U$500,'Daily Operations Log'!$C$2:$C$500,$B116)</f>
        <v>1750</v>
      </c>
      <c r="J116" s="15">
        <f>SUMIFS('Maintenance Log'!$AC$2:$AC$1000,'Maintenance Log'!$C$2:$C$1000,$B116)</f>
        <v>450</v>
      </c>
      <c r="K116" s="15">
        <f t="shared" si="3"/>
        <v>1300</v>
      </c>
      <c r="L116" s="15">
        <f t="shared" si="4"/>
        <v>90</v>
      </c>
    </row>
    <row r="117" spans="2:19" x14ac:dyDescent="0.25">
      <c r="B117" s="7" t="str">
        <f>'Asset Register'!A10</f>
        <v>EX-2001</v>
      </c>
      <c r="C117" s="14">
        <f>'Asset Register'!G10</f>
        <v>22</v>
      </c>
      <c r="D117" s="15">
        <f>SUMIFS('Daily Operations Log'!$G$2:$G$500,'Daily Operations Log'!$C$2:$C$500,$B117)</f>
        <v>7</v>
      </c>
      <c r="E117" s="15">
        <f>SUMIFS('Daily Operations Log'!$Q$2:$Q$500,'Daily Operations Log'!$C$2:$C$500,$B117)</f>
        <v>154</v>
      </c>
      <c r="F117" s="15">
        <f>SUMIFS('Daily Operations Log'!$P$2:$P$500,'Daily Operations Log'!$C$2:$C$500,$B117)</f>
        <v>158</v>
      </c>
      <c r="G117" s="13">
        <f t="shared" si="2"/>
        <v>2.5974025974025976E-2</v>
      </c>
      <c r="H117" s="15">
        <f>'Asset Register'!H10</f>
        <v>2200</v>
      </c>
      <c r="I117" s="15">
        <f>SUMIFS('Daily Operations Log'!$U$2:$U$500,'Daily Operations Log'!$C$2:$C$500,$B117)</f>
        <v>15400</v>
      </c>
      <c r="J117" s="15">
        <f>SUMIFS('Maintenance Log'!$AC$2:$AC$1000,'Maintenance Log'!$C$2:$C$1000,$B117)</f>
        <v>84000</v>
      </c>
      <c r="K117" s="15">
        <f t="shared" si="3"/>
        <v>-68600</v>
      </c>
      <c r="L117" s="15">
        <f t="shared" si="4"/>
        <v>12000</v>
      </c>
    </row>
    <row r="118" spans="2:19" x14ac:dyDescent="0.25">
      <c r="B118" s="7" t="str">
        <f>'Asset Register'!A11</f>
        <v>GD-3001</v>
      </c>
      <c r="C118" s="14">
        <f>'Asset Register'!G11</f>
        <v>20</v>
      </c>
      <c r="D118" s="15">
        <f>SUMIFS('Daily Operations Log'!$G$2:$G$500,'Daily Operations Log'!$C$2:$C$500,$B118)</f>
        <v>6</v>
      </c>
      <c r="E118" s="15">
        <f>SUMIFS('Daily Operations Log'!$Q$2:$Q$500,'Daily Operations Log'!$C$2:$C$500,$B118)</f>
        <v>120</v>
      </c>
      <c r="F118" s="15">
        <f>SUMIFS('Daily Operations Log'!$P$2:$P$500,'Daily Operations Log'!$C$2:$C$500,$B118)</f>
        <v>128</v>
      </c>
      <c r="G118" s="13">
        <f t="shared" si="2"/>
        <v>6.6666666666666666E-2</v>
      </c>
      <c r="H118" s="15">
        <f>'Asset Register'!H11</f>
        <v>2000</v>
      </c>
      <c r="I118" s="15">
        <f>SUMIFS('Daily Operations Log'!$U$2:$U$500,'Daily Operations Log'!$C$2:$C$500,$B118)</f>
        <v>12000</v>
      </c>
      <c r="J118" s="15">
        <f>SUMIFS('Maintenance Log'!$AC$2:$AC$1000,'Maintenance Log'!$C$2:$C$1000,$B118)</f>
        <v>16840</v>
      </c>
      <c r="K118" s="15">
        <f t="shared" si="3"/>
        <v>-4840</v>
      </c>
      <c r="L118" s="15">
        <f t="shared" si="4"/>
        <v>2806.6666666666665</v>
      </c>
    </row>
    <row r="119" spans="2:19" x14ac:dyDescent="0.25">
      <c r="B119" s="7" t="str">
        <f>'Asset Register'!A12</f>
        <v>LD-4001</v>
      </c>
      <c r="C119" s="14">
        <f>'Asset Register'!G12</f>
        <v>18</v>
      </c>
      <c r="D119" s="15">
        <f>SUMIFS('Daily Operations Log'!$G$2:$G$500,'Daily Operations Log'!$C$2:$C$500,$B119)</f>
        <v>6.5</v>
      </c>
      <c r="E119" s="15">
        <f>SUMIFS('Daily Operations Log'!$Q$2:$Q$500,'Daily Operations Log'!$C$2:$C$500,$B119)</f>
        <v>117</v>
      </c>
      <c r="F119" s="15">
        <f>SUMIFS('Daily Operations Log'!$P$2:$P$500,'Daily Operations Log'!$C$2:$C$500,$B119)</f>
        <v>122</v>
      </c>
      <c r="G119" s="13">
        <f t="shared" si="2"/>
        <v>4.2735042735042736E-2</v>
      </c>
      <c r="H119" s="15">
        <f>'Asset Register'!H12</f>
        <v>1900</v>
      </c>
      <c r="I119" s="15">
        <f>SUMIFS('Daily Operations Log'!$U$2:$U$500,'Daily Operations Log'!$C$2:$C$500,$B119)</f>
        <v>12350</v>
      </c>
      <c r="J119" s="15">
        <f>SUMIFS('Maintenance Log'!$AC$2:$AC$1000,'Maintenance Log'!$C$2:$C$1000,$B119)</f>
        <v>7200</v>
      </c>
      <c r="K119" s="15">
        <f t="shared" si="3"/>
        <v>5150</v>
      </c>
      <c r="L119" s="15">
        <f t="shared" si="4"/>
        <v>1107.6923076923076</v>
      </c>
    </row>
    <row r="120" spans="2:19" x14ac:dyDescent="0.25">
      <c r="B120" s="7" t="str">
        <f>'Asset Register'!A13</f>
        <v>GN-5001</v>
      </c>
      <c r="C120" s="14">
        <f>'Asset Register'!G13</f>
        <v>12</v>
      </c>
      <c r="D120" s="15">
        <f>SUMIFS('Daily Operations Log'!$G$2:$G$500,'Daily Operations Log'!$C$2:$C$500,$B120)</f>
        <v>8</v>
      </c>
      <c r="E120" s="15">
        <f>SUMIFS('Daily Operations Log'!$Q$2:$Q$500,'Daily Operations Log'!$C$2:$C$500,$B120)</f>
        <v>96</v>
      </c>
      <c r="F120" s="15">
        <f>SUMIFS('Daily Operations Log'!$P$2:$P$500,'Daily Operations Log'!$C$2:$C$500,$B120)</f>
        <v>100</v>
      </c>
      <c r="G120" s="13">
        <f t="shared" si="2"/>
        <v>4.1666666666666664E-2</v>
      </c>
      <c r="H120" s="15">
        <f>'Asset Register'!H13</f>
        <v>300</v>
      </c>
      <c r="I120" s="15">
        <f>SUMIFS('Daily Operations Log'!$U$2:$U$500,'Daily Operations Log'!$C$2:$C$500,$B120)</f>
        <v>2400</v>
      </c>
      <c r="J120" s="15">
        <f>SUMIFS('Maintenance Log'!$AC$2:$AC$1000,'Maintenance Log'!$C$2:$C$1000,$B120)</f>
        <v>1620</v>
      </c>
      <c r="K120" s="15">
        <f t="shared" si="3"/>
        <v>780</v>
      </c>
      <c r="L120" s="15">
        <f t="shared" si="4"/>
        <v>202.5</v>
      </c>
    </row>
    <row r="121" spans="2:19" x14ac:dyDescent="0.25">
      <c r="B121" s="7" t="str">
        <f>'Asset Register'!A14</f>
        <v>AC-6001</v>
      </c>
      <c r="C121" s="14">
        <f>'Asset Register'!G14</f>
        <v>8</v>
      </c>
      <c r="D121" s="15">
        <f>SUMIFS('Daily Operations Log'!$G$2:$G$500,'Daily Operations Log'!$C$2:$C$500,$B121)</f>
        <v>8</v>
      </c>
      <c r="E121" s="15">
        <f>SUMIFS('Daily Operations Log'!$Q$2:$Q$500,'Daily Operations Log'!$C$2:$C$500,$B121)</f>
        <v>64</v>
      </c>
      <c r="F121" s="15">
        <f>SUMIFS('Daily Operations Log'!$P$2:$P$500,'Daily Operations Log'!$C$2:$C$500,$B121)</f>
        <v>66</v>
      </c>
      <c r="G121" s="13">
        <f t="shared" si="2"/>
        <v>3.125E-2</v>
      </c>
      <c r="H121" s="15">
        <f>'Asset Register'!H14</f>
        <v>250</v>
      </c>
      <c r="I121" s="15">
        <f>SUMIFS('Daily Operations Log'!$U$2:$U$500,'Daily Operations Log'!$C$2:$C$500,$B121)</f>
        <v>2000</v>
      </c>
      <c r="J121" s="15">
        <f>SUMIFS('Maintenance Log'!$AC$2:$AC$1000,'Maintenance Log'!$C$2:$C$1000,$B121)</f>
        <v>1140</v>
      </c>
      <c r="K121" s="15">
        <f t="shared" si="3"/>
        <v>860</v>
      </c>
      <c r="L121" s="15">
        <f t="shared" si="4"/>
        <v>142.5</v>
      </c>
    </row>
    <row r="122" spans="2:19" x14ac:dyDescent="0.25">
      <c r="B122" s="7" t="str">
        <f>'Asset Register'!A15</f>
        <v>HT-7001</v>
      </c>
      <c r="C122" s="14">
        <f>'Asset Register'!G15</f>
        <v>30</v>
      </c>
      <c r="D122" s="15">
        <f>SUMIFS('Daily Operations Log'!$G$2:$G$500,'Daily Operations Log'!$C$2:$C$500,$B122)</f>
        <v>7</v>
      </c>
      <c r="E122" s="15">
        <f>SUMIFS('Daily Operations Log'!$Q$2:$Q$500,'Daily Operations Log'!$C$2:$C$500,$B122)</f>
        <v>210</v>
      </c>
      <c r="F122" s="15">
        <f>SUMIFS('Daily Operations Log'!$P$2:$P$500,'Daily Operations Log'!$C$2:$C$500,$B122)</f>
        <v>205</v>
      </c>
      <c r="G122" s="13">
        <f t="shared" si="2"/>
        <v>-2.3809523809523808E-2</v>
      </c>
      <c r="H122" s="15">
        <f>'Asset Register'!H15</f>
        <v>1600</v>
      </c>
      <c r="I122" s="15">
        <f>SUMIFS('Daily Operations Log'!$U$2:$U$500,'Daily Operations Log'!$C$2:$C$500,$B122)</f>
        <v>11200</v>
      </c>
      <c r="J122" s="15">
        <f>SUMIFS('Maintenance Log'!$AC$2:$AC$1000,'Maintenance Log'!$C$2:$C$1000,$B122)</f>
        <v>3920</v>
      </c>
      <c r="K122" s="15">
        <f t="shared" si="3"/>
        <v>7280</v>
      </c>
      <c r="L122" s="15">
        <f t="shared" si="4"/>
        <v>560</v>
      </c>
    </row>
    <row r="123" spans="2:19" x14ac:dyDescent="0.25">
      <c r="B123" s="7" t="str">
        <f>'Asset Register'!A16</f>
        <v>EL-8001</v>
      </c>
      <c r="C123" s="14">
        <f>'Asset Register'!G16</f>
        <v>0</v>
      </c>
      <c r="D123" s="15">
        <f>SUMIFS('Daily Operations Log'!$G$2:$G$500,'Daily Operations Log'!$C$2:$C$500,$B123)</f>
        <v>8</v>
      </c>
      <c r="E123" s="15">
        <f>SUMIFS('Daily Operations Log'!$Q$2:$Q$500,'Daily Operations Log'!$C$2:$C$500,$B123)</f>
        <v>0</v>
      </c>
      <c r="F123" s="15">
        <f>SUMIFS('Daily Operations Log'!$P$2:$P$500,'Daily Operations Log'!$C$2:$C$500,$B123)</f>
        <v>0</v>
      </c>
      <c r="G123" s="13">
        <f t="shared" si="2"/>
        <v>0</v>
      </c>
      <c r="H123" s="15">
        <f>'Asset Register'!H16</f>
        <v>200</v>
      </c>
      <c r="I123" s="15">
        <f>SUMIFS('Daily Operations Log'!$U$2:$U$500,'Daily Operations Log'!$C$2:$C$500,$B123)</f>
        <v>1600</v>
      </c>
      <c r="J123" s="15">
        <f>SUMIFS('Maintenance Log'!$AC$2:$AC$1000,'Maintenance Log'!$C$2:$C$1000,$B123)</f>
        <v>330</v>
      </c>
      <c r="K123" s="15">
        <f t="shared" si="3"/>
        <v>1270</v>
      </c>
      <c r="L123" s="15">
        <f t="shared" si="4"/>
        <v>41.25</v>
      </c>
    </row>
    <row r="126" spans="2:19" ht="19.5" customHeight="1" x14ac:dyDescent="0.25">
      <c r="B126" s="26" t="s">
        <v>1624</v>
      </c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</row>
    <row r="128" spans="2:19" ht="30" x14ac:dyDescent="0.25">
      <c r="B128" s="6" t="s">
        <v>1469</v>
      </c>
      <c r="C128" s="6" t="s">
        <v>1625</v>
      </c>
      <c r="D128" s="6" t="s">
        <v>1626</v>
      </c>
      <c r="E128" s="6" t="s">
        <v>1627</v>
      </c>
      <c r="F128" s="6" t="s">
        <v>1628</v>
      </c>
      <c r="G128" s="6" t="s">
        <v>1629</v>
      </c>
    </row>
    <row r="129" spans="2:7" x14ac:dyDescent="0.25">
      <c r="B129" s="7" t="str">
        <f t="shared" ref="B129:B143" si="5">$B17</f>
        <v>AA-65266</v>
      </c>
      <c r="C129" s="7" t="str">
        <f t="shared" ref="C129:C143" si="6">IF($H17="","No data",IF($H17&gt;=0.9,"Good",IF($H17&gt;=0.7,"Moderate","Low")))</f>
        <v>Good</v>
      </c>
      <c r="D129" s="7" t="str">
        <f t="shared" ref="D129:D143" si="7">IF($I17="","No data",IF($I17&gt;=0.7,"Good",IF($I17&gt;=0.4,"Moderate","Underutilized")))</f>
        <v>Moderate</v>
      </c>
      <c r="E129" s="7" t="str">
        <f t="shared" ref="E129:E143" si="8">IF($G109="","No data",IF(ABS($G109)&gt;0.1,"Overconsuming","Normal"))</f>
        <v>Normal</v>
      </c>
      <c r="F129" s="7" t="str">
        <f t="shared" ref="F129:F143" si="9">IF($D37&gt;0.3,"Critical",IF($D37&gt;0,"Watch","OK"))</f>
        <v>Watch</v>
      </c>
      <c r="G129" s="7" t="str">
        <f t="shared" ref="G129:G143" si="10">IF($F129="Critical","Prioritize repair / consider replacement",IF($E129="Overconsuming","Investigate fuel use or operator behavior",IF($D129="Underutilized","Reassign or reduce lease commitment",IF($C129="Low","Schedule preventive service","Operating normally"))))</f>
        <v>Operating normally</v>
      </c>
    </row>
    <row r="130" spans="2:7" x14ac:dyDescent="0.25">
      <c r="B130" s="7" t="str">
        <f t="shared" si="5"/>
        <v>AA-65265</v>
      </c>
      <c r="C130" s="7" t="str">
        <f t="shared" si="6"/>
        <v>Low</v>
      </c>
      <c r="D130" s="7" t="str">
        <f t="shared" si="7"/>
        <v>Underutilized</v>
      </c>
      <c r="E130" s="7" t="str">
        <f t="shared" si="8"/>
        <v>Normal</v>
      </c>
      <c r="F130" s="7" t="str">
        <f t="shared" si="9"/>
        <v>Critical</v>
      </c>
      <c r="G130" s="7" t="str">
        <f t="shared" si="10"/>
        <v>Prioritize repair / consider replacement</v>
      </c>
    </row>
    <row r="131" spans="2:7" x14ac:dyDescent="0.25">
      <c r="B131" s="7" t="str">
        <f t="shared" si="5"/>
        <v>AA-60042</v>
      </c>
      <c r="C131" s="7" t="str">
        <f t="shared" si="6"/>
        <v>Good</v>
      </c>
      <c r="D131" s="7" t="str">
        <f t="shared" si="7"/>
        <v>Moderate</v>
      </c>
      <c r="E131" s="7" t="str">
        <f t="shared" si="8"/>
        <v>Normal</v>
      </c>
      <c r="F131" s="7" t="str">
        <f t="shared" si="9"/>
        <v>OK</v>
      </c>
      <c r="G131" s="7" t="str">
        <f t="shared" si="10"/>
        <v>Operating normally</v>
      </c>
    </row>
    <row r="132" spans="2:7" x14ac:dyDescent="0.25">
      <c r="B132" s="7" t="str">
        <f t="shared" si="5"/>
        <v>AA-65585</v>
      </c>
      <c r="C132" s="7" t="str">
        <f t="shared" si="6"/>
        <v>Good</v>
      </c>
      <c r="D132" s="7" t="str">
        <f t="shared" si="7"/>
        <v>Good</v>
      </c>
      <c r="E132" s="7" t="str">
        <f t="shared" si="8"/>
        <v>Overconsuming</v>
      </c>
      <c r="F132" s="7" t="str">
        <f t="shared" si="9"/>
        <v>OK</v>
      </c>
      <c r="G132" s="7" t="str">
        <f t="shared" si="10"/>
        <v>Investigate fuel use or operator behavior</v>
      </c>
    </row>
    <row r="133" spans="2:7" x14ac:dyDescent="0.25">
      <c r="B133" s="7" t="str">
        <f t="shared" si="5"/>
        <v>AA-9018</v>
      </c>
      <c r="C133" s="7" t="str">
        <f t="shared" si="6"/>
        <v>Moderate</v>
      </c>
      <c r="D133" s="7" t="str">
        <f t="shared" si="7"/>
        <v>Moderate</v>
      </c>
      <c r="E133" s="7" t="str">
        <f t="shared" si="8"/>
        <v>Normal</v>
      </c>
      <c r="F133" s="7" t="str">
        <f t="shared" si="9"/>
        <v>Watch</v>
      </c>
      <c r="G133" s="7" t="str">
        <f t="shared" si="10"/>
        <v>Operating normally</v>
      </c>
    </row>
    <row r="134" spans="2:7" x14ac:dyDescent="0.25">
      <c r="B134" s="7" t="str">
        <f t="shared" si="5"/>
        <v>LV-1001</v>
      </c>
      <c r="C134" s="7" t="str">
        <f t="shared" si="6"/>
        <v>Good</v>
      </c>
      <c r="D134" s="7" t="str">
        <f t="shared" si="7"/>
        <v>Good</v>
      </c>
      <c r="E134" s="7" t="str">
        <f t="shared" si="8"/>
        <v>Normal</v>
      </c>
      <c r="F134" s="7" t="str">
        <f t="shared" si="9"/>
        <v>OK</v>
      </c>
      <c r="G134" s="7" t="str">
        <f t="shared" si="10"/>
        <v>Operating normally</v>
      </c>
    </row>
    <row r="135" spans="2:7" x14ac:dyDescent="0.25">
      <c r="B135" s="7" t="str">
        <f t="shared" si="5"/>
        <v>LV-1002</v>
      </c>
      <c r="C135" s="7" t="str">
        <f t="shared" si="6"/>
        <v>Good</v>
      </c>
      <c r="D135" s="7" t="str">
        <f t="shared" si="7"/>
        <v>Good</v>
      </c>
      <c r="E135" s="7" t="str">
        <f t="shared" si="8"/>
        <v>Normal</v>
      </c>
      <c r="F135" s="7" t="str">
        <f t="shared" si="9"/>
        <v>OK</v>
      </c>
      <c r="G135" s="7" t="str">
        <f t="shared" si="10"/>
        <v>Operating normally</v>
      </c>
    </row>
    <row r="136" spans="2:7" x14ac:dyDescent="0.25">
      <c r="B136" s="7" t="str">
        <f t="shared" si="5"/>
        <v>LV-1003</v>
      </c>
      <c r="C136" s="7" t="str">
        <f t="shared" si="6"/>
        <v>Good</v>
      </c>
      <c r="D136" s="7" t="str">
        <f t="shared" si="7"/>
        <v>Good</v>
      </c>
      <c r="E136" s="7" t="str">
        <f t="shared" si="8"/>
        <v>Normal</v>
      </c>
      <c r="F136" s="7" t="str">
        <f t="shared" si="9"/>
        <v>OK</v>
      </c>
      <c r="G136" s="7" t="str">
        <f t="shared" si="10"/>
        <v>Operating normally</v>
      </c>
    </row>
    <row r="137" spans="2:7" x14ac:dyDescent="0.25">
      <c r="B137" s="7" t="str">
        <f t="shared" si="5"/>
        <v>EX-2001</v>
      </c>
      <c r="C137" s="7" t="str">
        <f t="shared" si="6"/>
        <v>Good</v>
      </c>
      <c r="D137" s="7" t="str">
        <f t="shared" si="7"/>
        <v>Good</v>
      </c>
      <c r="E137" s="7" t="str">
        <f t="shared" si="8"/>
        <v>Normal</v>
      </c>
      <c r="F137" s="7" t="str">
        <f t="shared" si="9"/>
        <v>OK</v>
      </c>
      <c r="G137" s="7" t="str">
        <f t="shared" si="10"/>
        <v>Operating normally</v>
      </c>
    </row>
    <row r="138" spans="2:7" x14ac:dyDescent="0.25">
      <c r="B138" s="7" t="str">
        <f t="shared" si="5"/>
        <v>GD-3001</v>
      </c>
      <c r="C138" s="7" t="str">
        <f t="shared" si="6"/>
        <v>Good</v>
      </c>
      <c r="D138" s="7" t="str">
        <f t="shared" si="7"/>
        <v>Good</v>
      </c>
      <c r="E138" s="7" t="str">
        <f t="shared" si="8"/>
        <v>Normal</v>
      </c>
      <c r="F138" s="7" t="str">
        <f t="shared" si="9"/>
        <v>OK</v>
      </c>
      <c r="G138" s="7" t="str">
        <f t="shared" si="10"/>
        <v>Operating normally</v>
      </c>
    </row>
    <row r="139" spans="2:7" x14ac:dyDescent="0.25">
      <c r="B139" s="7" t="str">
        <f t="shared" si="5"/>
        <v>LD-4001</v>
      </c>
      <c r="C139" s="7" t="str">
        <f t="shared" si="6"/>
        <v>Good</v>
      </c>
      <c r="D139" s="7" t="str">
        <f t="shared" si="7"/>
        <v>Good</v>
      </c>
      <c r="E139" s="7" t="str">
        <f t="shared" si="8"/>
        <v>Normal</v>
      </c>
      <c r="F139" s="7" t="str">
        <f t="shared" si="9"/>
        <v>OK</v>
      </c>
      <c r="G139" s="7" t="str">
        <f t="shared" si="10"/>
        <v>Operating normally</v>
      </c>
    </row>
    <row r="140" spans="2:7" x14ac:dyDescent="0.25">
      <c r="B140" s="7" t="str">
        <f t="shared" si="5"/>
        <v>GN-5001</v>
      </c>
      <c r="C140" s="7" t="str">
        <f t="shared" si="6"/>
        <v>Good</v>
      </c>
      <c r="D140" s="7" t="str">
        <f t="shared" si="7"/>
        <v>Good</v>
      </c>
      <c r="E140" s="7" t="str">
        <f t="shared" si="8"/>
        <v>Normal</v>
      </c>
      <c r="F140" s="7" t="str">
        <f t="shared" si="9"/>
        <v>OK</v>
      </c>
      <c r="G140" s="7" t="str">
        <f t="shared" si="10"/>
        <v>Operating normally</v>
      </c>
    </row>
    <row r="141" spans="2:7" x14ac:dyDescent="0.25">
      <c r="B141" s="7" t="str">
        <f t="shared" si="5"/>
        <v>AC-6001</v>
      </c>
      <c r="C141" s="7" t="str">
        <f t="shared" si="6"/>
        <v>Good</v>
      </c>
      <c r="D141" s="7" t="str">
        <f t="shared" si="7"/>
        <v>Good</v>
      </c>
      <c r="E141" s="7" t="str">
        <f t="shared" si="8"/>
        <v>Normal</v>
      </c>
      <c r="F141" s="7" t="str">
        <f t="shared" si="9"/>
        <v>OK</v>
      </c>
      <c r="G141" s="7" t="str">
        <f t="shared" si="10"/>
        <v>Operating normally</v>
      </c>
    </row>
    <row r="142" spans="2:7" x14ac:dyDescent="0.25">
      <c r="B142" s="7" t="str">
        <f t="shared" si="5"/>
        <v>HT-7001</v>
      </c>
      <c r="C142" s="7" t="str">
        <f t="shared" si="6"/>
        <v>Good</v>
      </c>
      <c r="D142" s="7" t="str">
        <f t="shared" si="7"/>
        <v>Good</v>
      </c>
      <c r="E142" s="7" t="str">
        <f t="shared" si="8"/>
        <v>Normal</v>
      </c>
      <c r="F142" s="7" t="str">
        <f t="shared" si="9"/>
        <v>OK</v>
      </c>
      <c r="G142" s="7" t="str">
        <f t="shared" si="10"/>
        <v>Operating normally</v>
      </c>
    </row>
    <row r="143" spans="2:7" x14ac:dyDescent="0.25">
      <c r="B143" s="7" t="str">
        <f t="shared" si="5"/>
        <v>EL-8001</v>
      </c>
      <c r="C143" s="7" t="str">
        <f t="shared" si="6"/>
        <v>Good</v>
      </c>
      <c r="D143" s="7" t="str">
        <f t="shared" si="7"/>
        <v>Good</v>
      </c>
      <c r="E143" s="7" t="str">
        <f t="shared" si="8"/>
        <v>Normal</v>
      </c>
      <c r="F143" s="7" t="str">
        <f t="shared" si="9"/>
        <v>OK</v>
      </c>
      <c r="G143" s="7" t="str">
        <f t="shared" si="10"/>
        <v>Operating normally</v>
      </c>
    </row>
    <row r="146" spans="2:8" ht="30" customHeight="1" x14ac:dyDescent="0.25">
      <c r="B146" s="21" t="s">
        <v>1630</v>
      </c>
      <c r="C146" s="21"/>
      <c r="D146" s="21"/>
      <c r="E146" s="21"/>
      <c r="F146" s="21"/>
      <c r="G146" s="21"/>
      <c r="H146" s="21"/>
    </row>
  </sheetData>
  <mergeCells count="38">
    <mergeCell ref="B2:S3"/>
    <mergeCell ref="B4:S4"/>
    <mergeCell ref="B6:C6"/>
    <mergeCell ref="D6:E6"/>
    <mergeCell ref="F6:G6"/>
    <mergeCell ref="H6:I6"/>
    <mergeCell ref="J6:K6"/>
    <mergeCell ref="B7:C7"/>
    <mergeCell ref="D7:E7"/>
    <mergeCell ref="F7:G7"/>
    <mergeCell ref="H7:I7"/>
    <mergeCell ref="J7:K7"/>
    <mergeCell ref="B8:C8"/>
    <mergeCell ref="D8:E8"/>
    <mergeCell ref="F8:G8"/>
    <mergeCell ref="H8:I8"/>
    <mergeCell ref="J8:K8"/>
    <mergeCell ref="B10:C10"/>
    <mergeCell ref="D10:E10"/>
    <mergeCell ref="F10:G10"/>
    <mergeCell ref="H10:I10"/>
    <mergeCell ref="J10:K10"/>
    <mergeCell ref="B11:C11"/>
    <mergeCell ref="D11:E11"/>
    <mergeCell ref="F11:G11"/>
    <mergeCell ref="H11:I11"/>
    <mergeCell ref="J11:K11"/>
    <mergeCell ref="B12:C12"/>
    <mergeCell ref="D12:E12"/>
    <mergeCell ref="F12:G12"/>
    <mergeCell ref="H12:I12"/>
    <mergeCell ref="J12:K12"/>
    <mergeCell ref="B146:H146"/>
    <mergeCell ref="B14:S14"/>
    <mergeCell ref="B34:S34"/>
    <mergeCell ref="B54:S54"/>
    <mergeCell ref="B106:S106"/>
    <mergeCell ref="B126:S126"/>
  </mergeCells>
  <conditionalFormatting sqref="H17:H31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7:I31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7:D5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37:E51">
    <cfRule type="expression" dxfId="38" priority="5">
      <formula>$E37="Critical"</formula>
    </cfRule>
    <cfRule type="expression" dxfId="37" priority="6">
      <formula>$E37="Watch"</formula>
    </cfRule>
    <cfRule type="expression" dxfId="36" priority="7">
      <formula>$E37="Healthy"</formula>
    </cfRule>
  </conditionalFormatting>
  <conditionalFormatting sqref="E57:E59">
    <cfRule type="dataBar" priority="8">
      <dataBar>
        <cfvo type="min"/>
        <cfvo type="max"/>
        <color rgb="FF6B3FA0"/>
      </dataBar>
      <extLst>
        <ext xmlns:x14="http://schemas.microsoft.com/office/spreadsheetml/2009/9/main" uri="{B025F937-C7B1-47D3-B67F-A62EFF666E3E}">
          <x14:id>{6F1E6556-F659-4DFC-ACE6-5C353CB12870}</x14:id>
        </ext>
      </extLst>
    </cfRule>
  </conditionalFormatting>
  <conditionalFormatting sqref="D62:D103">
    <cfRule type="dataBar" priority="9">
      <dataBar>
        <cfvo type="min"/>
        <cfvo type="max"/>
        <color rgb="FF6B3FA0"/>
      </dataBar>
      <extLst>
        <ext xmlns:x14="http://schemas.microsoft.com/office/spreadsheetml/2009/9/main" uri="{B025F937-C7B1-47D3-B67F-A62EFF666E3E}">
          <x14:id>{3DC5B299-BAFF-4223-84AA-347AA7C91E24}</x14:id>
        </ext>
      </extLst>
    </cfRule>
  </conditionalFormatting>
  <conditionalFormatting sqref="G109:G123">
    <cfRule type="colorScale" priority="10">
      <colorScale>
        <cfvo type="min"/>
        <cfvo type="num" val="0"/>
        <cfvo type="max"/>
        <color rgb="FF63BE7B"/>
        <color rgb="FFFFEB84"/>
        <color rgb="FFF8696B"/>
      </colorScale>
    </cfRule>
  </conditionalFormatting>
  <conditionalFormatting sqref="K109:K123">
    <cfRule type="dataBar" priority="11">
      <dataBar>
        <cfvo type="min"/>
        <cfvo type="max"/>
        <color rgb="FF1E8449"/>
      </dataBar>
      <extLst>
        <ext xmlns:x14="http://schemas.microsoft.com/office/spreadsheetml/2009/9/main" uri="{B025F937-C7B1-47D3-B67F-A62EFF666E3E}">
          <x14:id>{A083D5C0-5F22-4017-B0DC-5FEC31314B24}</x14:id>
        </ext>
      </extLst>
    </cfRule>
  </conditionalFormatting>
  <conditionalFormatting sqref="C129:C143">
    <cfRule type="expression" dxfId="35" priority="12">
      <formula>C129="Good"</formula>
    </cfRule>
    <cfRule type="expression" dxfId="34" priority="13">
      <formula>C129="OK"</formula>
    </cfRule>
    <cfRule type="expression" dxfId="33" priority="14">
      <formula>C129="Normal"</formula>
    </cfRule>
    <cfRule type="expression" dxfId="32" priority="15">
      <formula>C129="Moderate"</formula>
    </cfRule>
    <cfRule type="expression" dxfId="31" priority="16">
      <formula>C129="Watch"</formula>
    </cfRule>
    <cfRule type="expression" dxfId="30" priority="17">
      <formula>C129="Low"</formula>
    </cfRule>
    <cfRule type="expression" dxfId="29" priority="18">
      <formula>C129="Underutilized"</formula>
    </cfRule>
    <cfRule type="expression" dxfId="28" priority="19">
      <formula>C129="Overconsuming"</formula>
    </cfRule>
    <cfRule type="expression" dxfId="27" priority="20">
      <formula>C129="Critical"</formula>
    </cfRule>
  </conditionalFormatting>
  <conditionalFormatting sqref="D129:D143">
    <cfRule type="expression" dxfId="26" priority="21">
      <formula>D129="Good"</formula>
    </cfRule>
    <cfRule type="expression" dxfId="25" priority="22">
      <formula>D129="OK"</formula>
    </cfRule>
    <cfRule type="expression" dxfId="24" priority="23">
      <formula>D129="Normal"</formula>
    </cfRule>
    <cfRule type="expression" dxfId="23" priority="24">
      <formula>D129="Moderate"</formula>
    </cfRule>
    <cfRule type="expression" dxfId="22" priority="25">
      <formula>D129="Watch"</formula>
    </cfRule>
    <cfRule type="expression" dxfId="21" priority="26">
      <formula>D129="Low"</formula>
    </cfRule>
    <cfRule type="expression" dxfId="20" priority="27">
      <formula>D129="Underutilized"</formula>
    </cfRule>
    <cfRule type="expression" dxfId="19" priority="28">
      <formula>D129="Overconsuming"</formula>
    </cfRule>
    <cfRule type="expression" dxfId="18" priority="29">
      <formula>D129="Critical"</formula>
    </cfRule>
  </conditionalFormatting>
  <conditionalFormatting sqref="E129:E143">
    <cfRule type="expression" dxfId="17" priority="30">
      <formula>E129="Good"</formula>
    </cfRule>
    <cfRule type="expression" dxfId="16" priority="31">
      <formula>E129="OK"</formula>
    </cfRule>
    <cfRule type="expression" dxfId="15" priority="32">
      <formula>E129="Normal"</formula>
    </cfRule>
    <cfRule type="expression" dxfId="14" priority="33">
      <formula>E129="Moderate"</formula>
    </cfRule>
    <cfRule type="expression" dxfId="13" priority="34">
      <formula>E129="Watch"</formula>
    </cfRule>
    <cfRule type="expression" dxfId="12" priority="35">
      <formula>E129="Low"</formula>
    </cfRule>
    <cfRule type="expression" dxfId="11" priority="36">
      <formula>E129="Underutilized"</formula>
    </cfRule>
    <cfRule type="expression" dxfId="10" priority="37">
      <formula>E129="Overconsuming"</formula>
    </cfRule>
    <cfRule type="expression" dxfId="9" priority="38">
      <formula>E129="Critical"</formula>
    </cfRule>
  </conditionalFormatting>
  <conditionalFormatting sqref="F129:F143">
    <cfRule type="expression" dxfId="8" priority="39">
      <formula>F129="Good"</formula>
    </cfRule>
    <cfRule type="expression" dxfId="7" priority="40">
      <formula>F129="OK"</formula>
    </cfRule>
    <cfRule type="expression" dxfId="6" priority="41">
      <formula>F129="Normal"</formula>
    </cfRule>
    <cfRule type="expression" dxfId="5" priority="42">
      <formula>F129="Moderate"</formula>
    </cfRule>
    <cfRule type="expression" dxfId="4" priority="43">
      <formula>F129="Watch"</formula>
    </cfRule>
    <cfRule type="expression" dxfId="3" priority="44">
      <formula>F129="Low"</formula>
    </cfRule>
    <cfRule type="expression" dxfId="2" priority="45">
      <formula>F129="Underutilized"</formula>
    </cfRule>
    <cfRule type="expression" dxfId="1" priority="46">
      <formula>F129="Overconsuming"</formula>
    </cfRule>
    <cfRule type="expression" dxfId="0" priority="47">
      <formula>F129="Critical"</formula>
    </cfRule>
  </conditionalFormatting>
  <pageMargins left="0.75" right="0.75" top="1" bottom="1" header="0.511811023622047" footer="0.511811023622047"/>
  <pageSetup paperSize="9" orientation="portrait" horizontalDpi="300" verticalDpi="300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F1E6556-F659-4DFC-ACE6-5C353CB12870}">
            <x14:dataBar axisPosition="none">
              <x14:cfvo type="min"/>
              <x14:cfvo type="max"/>
              <x14:negativeFillColor rgb="FF6B3FA0"/>
            </x14:dataBar>
          </x14:cfRule>
          <xm:sqref>E57:E59</xm:sqref>
        </x14:conditionalFormatting>
        <x14:conditionalFormatting xmlns:xm="http://schemas.microsoft.com/office/excel/2006/main">
          <x14:cfRule type="dataBar" id="{3DC5B299-BAFF-4223-84AA-347AA7C91E24}">
            <x14:dataBar axisPosition="none">
              <x14:cfvo type="min"/>
              <x14:cfvo type="max"/>
              <x14:negativeFillColor rgb="FF6B3FA0"/>
            </x14:dataBar>
          </x14:cfRule>
          <xm:sqref>D62:D103</xm:sqref>
        </x14:conditionalFormatting>
        <x14:conditionalFormatting xmlns:xm="http://schemas.microsoft.com/office/excel/2006/main">
          <x14:cfRule type="dataBar" id="{A083D5C0-5F22-4017-B0DC-5FEC31314B24}">
            <x14:dataBar axisPosition="none">
              <x14:cfvo type="min"/>
              <x14:cfvo type="max"/>
              <x14:negativeFillColor rgb="FF1E8449"/>
            </x14:dataBar>
          </x14:cfRule>
          <xm:sqref>K109:K123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18</vt:i4>
      </vt:variant>
    </vt:vector>
  </HeadingPairs>
  <TitlesOfParts>
    <vt:vector size="25" baseType="lpstr">
      <vt:lpstr>Read Me</vt:lpstr>
      <vt:lpstr>Task Master</vt:lpstr>
      <vt:lpstr>Asset Register</vt:lpstr>
      <vt:lpstr>Lists</vt:lpstr>
      <vt:lpstr>Daily Operations Log</vt:lpstr>
      <vt:lpstr>Maintenance Log</vt:lpstr>
      <vt:lpstr>Dashboard</vt:lpstr>
      <vt:lpstr>Air_Compressor</vt:lpstr>
      <vt:lpstr>AssetList</vt:lpstr>
      <vt:lpstr>Automobile</vt:lpstr>
      <vt:lpstr>CategoryList</vt:lpstr>
      <vt:lpstr>Dozer</vt:lpstr>
      <vt:lpstr>Earth_Moving_Machinery_General_PM_Engine</vt:lpstr>
      <vt:lpstr>Electrical_Electronics</vt:lpstr>
      <vt:lpstr>Excavator</vt:lpstr>
      <vt:lpstr>Generator</vt:lpstr>
      <vt:lpstr>Grader</vt:lpstr>
      <vt:lpstr>Heavy</vt:lpstr>
      <vt:lpstr>Heavy_Truck</vt:lpstr>
      <vt:lpstr>Light</vt:lpstr>
      <vt:lpstr>Loader</vt:lpstr>
      <vt:lpstr>Machinery</vt:lpstr>
      <vt:lpstr>MTypeList</vt:lpstr>
      <vt:lpstr>Others</vt:lpstr>
      <vt:lpstr>Pick_Up_Station_Wagon_Mini_Bus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Hailemariam Genet</cp:lastModifiedBy>
  <cp:revision>1</cp:revision>
  <dcterms:created xsi:type="dcterms:W3CDTF">2026-07-13T06:37:10Z</dcterms:created>
  <dcterms:modified xsi:type="dcterms:W3CDTF">2026-07-16T11:02:19Z</dcterms:modified>
  <dc:language>en-US</dc:language>
</cp:coreProperties>
</file>